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njjones14/PycharmProjects/Slater_Technology/"/>
    </mc:Choice>
  </mc:AlternateContent>
  <xr:revisionPtr revIDLastSave="0" documentId="13_ncr:1_{04C688B1-39AB-0540-B7AA-1373F52A09E0}" xr6:coauthVersionLast="45" xr6:coauthVersionMax="45" xr10:uidLastSave="{00000000-0000-0000-0000-000000000000}"/>
  <bookViews>
    <workbookView xWindow="1060" yWindow="460" windowWidth="19140" windowHeight="14760" xr2:uid="{00000000-000D-0000-FFFF-FFFF00000000}"/>
  </bookViews>
  <sheets>
    <sheet name="Data" sheetId="6" r:id="rId1"/>
    <sheet name="Disclaimer" sheetId="7" r:id="rId2"/>
  </sheets>
  <definedNames>
    <definedName name="CreatedFor">Data!#REF!</definedName>
    <definedName name="CreatedForTitle">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I284" i="6" l="1"/>
  <c r="DI283" i="6"/>
  <c r="DI282" i="6"/>
  <c r="DI281" i="6"/>
  <c r="DI280" i="6"/>
  <c r="DI279" i="6"/>
  <c r="DI278" i="6"/>
  <c r="DI277" i="6"/>
  <c r="DI276" i="6"/>
  <c r="DI275" i="6"/>
  <c r="DI274" i="6"/>
  <c r="DI273" i="6"/>
  <c r="DI272" i="6"/>
  <c r="DI271" i="6"/>
  <c r="DI270" i="6"/>
  <c r="DI269" i="6"/>
  <c r="DI268" i="6"/>
  <c r="DI267" i="6"/>
  <c r="DI266" i="6"/>
  <c r="DI265" i="6"/>
  <c r="DI264" i="6"/>
  <c r="DI263" i="6"/>
  <c r="DI262" i="6"/>
  <c r="DI261" i="6"/>
  <c r="DI260" i="6"/>
  <c r="DI259" i="6"/>
  <c r="DI258" i="6"/>
  <c r="DI257" i="6"/>
  <c r="DI256" i="6"/>
  <c r="DI255" i="6"/>
  <c r="DI254" i="6"/>
  <c r="DI253" i="6"/>
  <c r="DI252" i="6"/>
  <c r="DI251" i="6"/>
  <c r="DI250" i="6"/>
  <c r="DI249" i="6"/>
  <c r="DI248" i="6"/>
  <c r="DI247" i="6"/>
  <c r="DI246" i="6"/>
  <c r="DI245" i="6"/>
  <c r="DI244" i="6"/>
  <c r="DI243" i="6"/>
  <c r="DI242" i="6"/>
  <c r="DI241" i="6"/>
  <c r="DI240" i="6"/>
  <c r="DI239" i="6"/>
  <c r="DI238" i="6"/>
  <c r="DI237" i="6"/>
  <c r="DI236" i="6"/>
  <c r="DI235" i="6"/>
  <c r="DI234" i="6"/>
  <c r="DI233" i="6"/>
  <c r="DI232" i="6"/>
  <c r="DI231" i="6"/>
  <c r="DI230" i="6"/>
  <c r="DI229" i="6"/>
  <c r="DI228" i="6"/>
  <c r="DI227" i="6"/>
  <c r="DI226" i="6"/>
  <c r="DI225" i="6"/>
  <c r="DI224" i="6"/>
  <c r="DI223" i="6"/>
  <c r="DI222" i="6"/>
  <c r="DI221" i="6"/>
  <c r="DI220" i="6"/>
  <c r="DI219" i="6"/>
  <c r="DI218" i="6"/>
  <c r="DI217" i="6"/>
  <c r="DI216" i="6"/>
  <c r="DI215" i="6"/>
  <c r="DI214" i="6"/>
  <c r="DI213" i="6"/>
  <c r="DI212" i="6"/>
  <c r="DI211" i="6"/>
  <c r="DI210" i="6"/>
  <c r="DI209" i="6"/>
  <c r="DI208" i="6"/>
  <c r="DI207" i="6"/>
  <c r="DI206" i="6"/>
  <c r="DI205" i="6"/>
  <c r="DI204" i="6"/>
  <c r="DI203" i="6"/>
  <c r="DI202" i="6"/>
  <c r="DI201" i="6"/>
  <c r="DI200" i="6"/>
  <c r="DI199" i="6"/>
  <c r="DI198" i="6"/>
  <c r="DI197" i="6"/>
  <c r="DI196" i="6"/>
  <c r="DI195" i="6"/>
  <c r="DI194" i="6"/>
  <c r="DI193" i="6"/>
  <c r="DI192" i="6"/>
  <c r="DI191" i="6"/>
  <c r="DI190" i="6"/>
  <c r="DI189" i="6"/>
  <c r="DI188" i="6"/>
  <c r="DI187" i="6"/>
  <c r="DI186" i="6"/>
  <c r="DI185" i="6"/>
  <c r="DI184" i="6"/>
  <c r="DI183" i="6"/>
  <c r="DI182" i="6"/>
  <c r="DI181" i="6"/>
  <c r="DI180" i="6"/>
  <c r="DI179" i="6"/>
  <c r="DI178" i="6"/>
  <c r="DI177" i="6"/>
  <c r="DI176" i="6"/>
  <c r="DI175" i="6"/>
  <c r="DI174" i="6"/>
  <c r="DI173" i="6"/>
  <c r="DI172" i="6"/>
  <c r="DI171" i="6"/>
  <c r="DI170" i="6"/>
  <c r="DI169" i="6"/>
  <c r="DI168" i="6"/>
  <c r="DI167" i="6"/>
  <c r="DI166" i="6"/>
  <c r="DI165" i="6"/>
  <c r="DI164" i="6"/>
  <c r="DI163" i="6"/>
  <c r="DI162" i="6"/>
  <c r="DI161" i="6"/>
  <c r="DI160" i="6"/>
  <c r="DI159" i="6"/>
  <c r="DI158" i="6"/>
  <c r="DI157" i="6"/>
  <c r="DI156" i="6"/>
  <c r="DI155" i="6"/>
  <c r="DI154" i="6"/>
  <c r="DI153" i="6"/>
  <c r="DI152" i="6"/>
  <c r="DI151" i="6"/>
  <c r="DI150" i="6"/>
  <c r="DI149" i="6"/>
  <c r="DI148" i="6"/>
  <c r="DI147" i="6"/>
  <c r="DI146" i="6"/>
  <c r="DI145" i="6"/>
  <c r="DI144" i="6"/>
  <c r="DI143" i="6"/>
  <c r="DI142" i="6"/>
  <c r="DI141" i="6"/>
  <c r="DI140" i="6"/>
  <c r="DI139" i="6"/>
  <c r="DI138" i="6"/>
  <c r="DI137" i="6"/>
  <c r="DI136" i="6"/>
  <c r="DI135" i="6"/>
  <c r="DI134" i="6"/>
  <c r="DI133" i="6"/>
  <c r="DI132" i="6"/>
  <c r="DI131" i="6"/>
  <c r="DI130" i="6"/>
  <c r="DI129" i="6"/>
  <c r="DI128" i="6"/>
  <c r="DI127" i="6"/>
  <c r="DI126" i="6"/>
  <c r="DI125" i="6"/>
  <c r="DI124" i="6"/>
  <c r="DI123" i="6"/>
  <c r="DI122" i="6"/>
  <c r="DI121" i="6"/>
  <c r="DI120" i="6"/>
  <c r="DI119" i="6"/>
  <c r="DI118" i="6"/>
  <c r="DI117" i="6"/>
  <c r="DI116" i="6"/>
  <c r="DI115" i="6"/>
  <c r="DI114" i="6"/>
  <c r="DI113" i="6"/>
  <c r="DI112" i="6"/>
  <c r="DI111" i="6"/>
  <c r="DI110" i="6"/>
  <c r="DI109" i="6"/>
  <c r="DI108" i="6"/>
  <c r="DI107" i="6"/>
  <c r="DI106" i="6"/>
  <c r="DI105" i="6"/>
  <c r="DI104" i="6"/>
  <c r="DI103" i="6"/>
  <c r="DI102" i="6"/>
  <c r="DI101" i="6"/>
  <c r="DI100" i="6"/>
  <c r="DI99" i="6"/>
  <c r="DI98" i="6"/>
  <c r="DI97" i="6"/>
  <c r="DI96" i="6"/>
  <c r="DI95" i="6"/>
  <c r="DI94" i="6"/>
  <c r="DI93" i="6"/>
  <c r="DI92" i="6"/>
  <c r="DI91" i="6"/>
  <c r="DI90" i="6"/>
  <c r="DI89" i="6"/>
  <c r="DI88" i="6"/>
  <c r="DI87" i="6"/>
  <c r="DI86" i="6"/>
  <c r="DI85" i="6"/>
  <c r="DI84" i="6"/>
  <c r="DI83" i="6"/>
  <c r="DI82" i="6"/>
  <c r="DI81" i="6"/>
  <c r="DI80" i="6"/>
  <c r="DI79" i="6"/>
  <c r="DI78" i="6"/>
  <c r="DI77" i="6"/>
  <c r="DI76" i="6"/>
  <c r="DI75" i="6"/>
  <c r="DI74" i="6"/>
  <c r="DI73" i="6"/>
  <c r="DI72" i="6"/>
  <c r="DI71" i="6"/>
  <c r="DI70" i="6"/>
  <c r="DI69" i="6"/>
  <c r="DI68" i="6"/>
  <c r="DI67" i="6"/>
  <c r="DI66" i="6"/>
  <c r="DI65" i="6"/>
  <c r="DI64" i="6"/>
  <c r="DI63" i="6"/>
  <c r="DI62" i="6"/>
  <c r="DI61" i="6"/>
  <c r="DI60" i="6"/>
  <c r="DI59" i="6"/>
  <c r="DI58" i="6"/>
  <c r="DI57" i="6"/>
  <c r="DI56" i="6"/>
  <c r="DI55" i="6"/>
  <c r="DI54" i="6"/>
  <c r="DI53" i="6"/>
  <c r="DI52" i="6"/>
  <c r="DI51" i="6"/>
  <c r="DI50" i="6"/>
  <c r="DI49" i="6"/>
  <c r="DI48" i="6"/>
  <c r="DI47" i="6"/>
  <c r="DI46" i="6"/>
  <c r="DI45" i="6"/>
  <c r="DI44" i="6"/>
  <c r="DI43" i="6"/>
  <c r="DI42" i="6"/>
  <c r="DI41" i="6"/>
  <c r="DI40" i="6"/>
  <c r="DI39" i="6"/>
  <c r="DI38" i="6"/>
  <c r="DI37" i="6"/>
  <c r="DI36" i="6"/>
  <c r="DI35" i="6"/>
  <c r="DI34" i="6"/>
  <c r="DI33" i="6"/>
  <c r="DI32" i="6"/>
  <c r="DI31" i="6"/>
  <c r="DI30" i="6"/>
  <c r="DI29" i="6"/>
  <c r="DI28" i="6"/>
  <c r="DI27" i="6"/>
  <c r="DI26" i="6"/>
  <c r="DI25" i="6"/>
  <c r="DI24" i="6"/>
  <c r="DI23" i="6"/>
  <c r="DI22" i="6"/>
  <c r="DI21" i="6"/>
  <c r="DI20" i="6"/>
  <c r="DI19" i="6"/>
  <c r="DI18" i="6"/>
  <c r="DI17" i="6"/>
  <c r="DI16" i="6"/>
  <c r="DI15" i="6"/>
  <c r="DI14" i="6"/>
  <c r="DI13" i="6"/>
  <c r="DI12" i="6"/>
  <c r="DI11" i="6"/>
  <c r="DI10" i="6"/>
  <c r="DI9" i="6"/>
  <c r="DI8" i="6"/>
  <c r="DI7" i="6"/>
  <c r="DI6" i="6"/>
  <c r="DI5" i="6"/>
  <c r="DI4" i="6"/>
  <c r="DI3" i="6"/>
  <c r="DI2" i="6"/>
</calcChain>
</file>

<file path=xl/sharedStrings.xml><?xml version="1.0" encoding="utf-8"?>
<sst xmlns="http://schemas.openxmlformats.org/spreadsheetml/2006/main" count="28761" uniqueCount="3201">
  <si>
    <t>Deal ID</t>
  </si>
  <si>
    <t>Company Name</t>
  </si>
  <si>
    <t>Company ID</t>
  </si>
  <si>
    <t>Description</t>
  </si>
  <si>
    <t>Financing Status Note</t>
  </si>
  <si>
    <t>Primary Industry Sector</t>
  </si>
  <si>
    <t>Primary Industry Group</t>
  </si>
  <si>
    <t>Primary Industry Code</t>
  </si>
  <si>
    <t>All Industries</t>
  </si>
  <si>
    <t>Verticals</t>
  </si>
  <si>
    <t>Keywords</t>
  </si>
  <si>
    <t>Current Financing Status</t>
  </si>
  <si>
    <t>Current Business Status</t>
  </si>
  <si>
    <t>Universe</t>
  </si>
  <si>
    <t>CEO (at time of deal)</t>
  </si>
  <si>
    <t>CEO PBId</t>
  </si>
  <si>
    <t>CEO Phone</t>
  </si>
  <si>
    <t>CEO Email</t>
  </si>
  <si>
    <t>CEO Biography</t>
  </si>
  <si>
    <t>CEO Education</t>
  </si>
  <si>
    <t>Deal No.</t>
  </si>
  <si>
    <t>Announced Date</t>
  </si>
  <si>
    <t>Deal Date</t>
  </si>
  <si>
    <t>Deal Size</t>
  </si>
  <si>
    <t>Deal Size Status</t>
  </si>
  <si>
    <t>Pre-money Valuation</t>
  </si>
  <si>
    <t>Post Valuation</t>
  </si>
  <si>
    <t>Post Valuation Status</t>
  </si>
  <si>
    <t>% Acquired</t>
  </si>
  <si>
    <t>Raised to Date</t>
  </si>
  <si>
    <t>VC Round</t>
  </si>
  <si>
    <t>VC Round Up/Down/Flat</t>
  </si>
  <si>
    <t>Price per Share</t>
  </si>
  <si>
    <t>Series</t>
  </si>
  <si>
    <t>Deal Type</t>
  </si>
  <si>
    <t>Deal Type 2</t>
  </si>
  <si>
    <t>Deal Type 3</t>
  </si>
  <si>
    <t>Deal Class</t>
  </si>
  <si>
    <t>Deal Synopsis</t>
  </si>
  <si>
    <t>Total Invested Equity</t>
  </si>
  <si>
    <t>Add-on</t>
  </si>
  <si>
    <t>Add-on Sponsors</t>
  </si>
  <si>
    <t>Add-on Platform</t>
  </si>
  <si>
    <t>Debt Type</t>
  </si>
  <si>
    <t>Debt Type 2</t>
  </si>
  <si>
    <t>Debt Type 3</t>
  </si>
  <si>
    <t>Debt Amount 1</t>
  </si>
  <si>
    <t>Debt Amount 2</t>
  </si>
  <si>
    <t>Debt Amount 3</t>
  </si>
  <si>
    <t>Debt Raised in Round</t>
  </si>
  <si>
    <t>Contingent Payout</t>
  </si>
  <si>
    <t>Deal Status</t>
  </si>
  <si>
    <t>Business Status</t>
  </si>
  <si>
    <t>Financing Status</t>
  </si>
  <si>
    <t>Employees</t>
  </si>
  <si>
    <t># Investors</t>
  </si>
  <si>
    <t>New Investors</t>
  </si>
  <si>
    <t># New Investors</t>
  </si>
  <si>
    <t>Follow-on Investors</t>
  </si>
  <si>
    <t># Follow-on Investors</t>
  </si>
  <si>
    <t>Lenders</t>
  </si>
  <si>
    <t>Investors Websites</t>
  </si>
  <si>
    <t>Investors</t>
  </si>
  <si>
    <t>Lead/Sole Investors</t>
  </si>
  <si>
    <t>Investor Funds</t>
  </si>
  <si>
    <t>Sellers</t>
  </si>
  <si>
    <t>Exiters with no Proceeds</t>
  </si>
  <si>
    <t>Dividend/Distribution Beneficiaries</t>
  </si>
  <si>
    <t>Service Providers (All)</t>
  </si>
  <si>
    <t>Service Providers (Sell-side)</t>
  </si>
  <si>
    <t>Service Providers (Sell-side Intermediaries)</t>
  </si>
  <si>
    <t>Service Providers (Buy-side)</t>
  </si>
  <si>
    <t>Debt &amp; Lenders</t>
  </si>
  <si>
    <t>Implied EV</t>
  </si>
  <si>
    <t>Revenue</t>
  </si>
  <si>
    <t>Revenue Growth since last debt deal</t>
  </si>
  <si>
    <t>Gross Profit</t>
  </si>
  <si>
    <t>Net Income</t>
  </si>
  <si>
    <t>EBITDA</t>
  </si>
  <si>
    <t>EBIT</t>
  </si>
  <si>
    <t>Total Debt (from financials)</t>
  </si>
  <si>
    <t>Fiscal Year</t>
  </si>
  <si>
    <t>Valuation/EBITDA</t>
  </si>
  <si>
    <t>Valuation/EBIT</t>
  </si>
  <si>
    <t>Valuation/Net Income</t>
  </si>
  <si>
    <t>Valuation/Revenue</t>
  </si>
  <si>
    <t>Valuation/Cash Flow</t>
  </si>
  <si>
    <t>Deal Size/EBITDA</t>
  </si>
  <si>
    <t>Deal Size/EBIT</t>
  </si>
  <si>
    <t>Deal Size/Net Income</t>
  </si>
  <si>
    <t>Deal Size/Revenue</t>
  </si>
  <si>
    <t>Deal Size/Cash Flow</t>
  </si>
  <si>
    <t>Debt/EBITDA</t>
  </si>
  <si>
    <t>Debt/Equity</t>
  </si>
  <si>
    <t>Implied EV/EBITDA</t>
  </si>
  <si>
    <t>Implied EV/EBIT</t>
  </si>
  <si>
    <t>Implied EV/Net Income</t>
  </si>
  <si>
    <t>Implied EV/Revenue</t>
  </si>
  <si>
    <t>Implied EV/Cash Flow</t>
  </si>
  <si>
    <t>EBITDA Margin %</t>
  </si>
  <si>
    <t>Current Employees</t>
  </si>
  <si>
    <t>Native Currency of Deal</t>
  </si>
  <si>
    <t>HQ Location</t>
  </si>
  <si>
    <t>HQ Global Region</t>
  </si>
  <si>
    <t>HQ Global Sub Region</t>
  </si>
  <si>
    <t>Company City</t>
  </si>
  <si>
    <t>Company State/Province</t>
  </si>
  <si>
    <t>Company Post Code</t>
  </si>
  <si>
    <t>Company Country</t>
  </si>
  <si>
    <t>Year Founded</t>
  </si>
  <si>
    <t>Company Website</t>
  </si>
  <si>
    <t>PitchBook Link</t>
  </si>
  <si>
    <t>All data copyright PitchBook Data, Inc.</t>
  </si>
  <si>
    <t>For customized data reports and analyses, contact us at:</t>
  </si>
  <si>
    <t xml:space="preserve">clientservices@pitchbook.com </t>
  </si>
  <si>
    <t xml:space="preserve">In accordance with the </t>
  </si>
  <si>
    <t>PitchBook User Agreement</t>
  </si>
  <si>
    <t>, this document and its contents are meant for data purposes only. This file must be deleted by all recipients after 30 days of download unless express written consent has been given by PitchBook Data, Inc.</t>
  </si>
  <si>
    <t>If you have any further questions or concerns, please contact client services at 1-877-267-5593 or by email at</t>
  </si>
  <si>
    <t>clientservices@pitchbook.com.</t>
  </si>
  <si>
    <t>© PitchBook Data, Inc. 2020</t>
  </si>
  <si>
    <t>102160-90T</t>
  </si>
  <si>
    <t>2ULaundry</t>
  </si>
  <si>
    <t>168152-14</t>
  </si>
  <si>
    <t>Provider of on-demand laundry and dry cleaning services intended to offer subscription-based cleaning services. The company's services include free and convenient pickup and delivery of the clothes, enabling customers to track updates throughout the entire process in a hassle-free manner.</t>
  </si>
  <si>
    <t>The company raised $7.90 million of Series A venture funding in a deal led by Morgan Creek Capital Management, Full Tilt Capital and Florida Funders on October 24, 2019, putting the company's pre-money valuation at $14.10 million. Reform Ventures, Service Provider Capital, Tech Square Venture Partners, Engage Ventures and Engage Capital also participated in the round. The funds will be used to hire new employees and expand in other parts of the country.</t>
  </si>
  <si>
    <t>Consumer Products and Services (B2C)</t>
  </si>
  <si>
    <t>Services (Non-Financial)</t>
  </si>
  <si>
    <t>Other Services (B2C Non-Financial)</t>
  </si>
  <si>
    <t>Application Software, Other Services (B2C Non-Financial)*</t>
  </si>
  <si>
    <t>Mobile, TMT</t>
  </si>
  <si>
    <t>dry cleaning service provider, laundry firm, laundry service, on demand laundry platform, on demand laundry service</t>
  </si>
  <si>
    <t>Venture Capital-Backed</t>
  </si>
  <si>
    <t>Generating Revenue</t>
  </si>
  <si>
    <t>Debt Financed, Venture Capital</t>
  </si>
  <si>
    <t>John Smereczniak</t>
  </si>
  <si>
    <t>149881-51P</t>
  </si>
  <si>
    <t>+1 (651) 764-0342</t>
  </si>
  <si>
    <t>alex@2ulaundry.com</t>
  </si>
  <si>
    <t>Mr. John Smereczniak is a Co-Founder and serves as Chief Executive Officer at 2ULaundry. He holds a Degree from Wake Forest University.</t>
  </si>
  <si>
    <t>Wake Forest University, Degree</t>
  </si>
  <si>
    <t/>
  </si>
  <si>
    <t>Accelerator/Incubator</t>
  </si>
  <si>
    <t>Other</t>
  </si>
  <si>
    <t>The company joined Techstars as a part of its Techstars Atlanta Class of 2017 on July 17, 2017.</t>
  </si>
  <si>
    <t>No</t>
  </si>
  <si>
    <t>Completed</t>
  </si>
  <si>
    <t>Techstars</t>
  </si>
  <si>
    <t>Techstars(www.techstars.com)</t>
  </si>
  <si>
    <t>Techstars Chicago 2017(Techstars)</t>
  </si>
  <si>
    <t>US Dollars (USD)</t>
  </si>
  <si>
    <t>Charlotte, NC</t>
  </si>
  <si>
    <t>Americas</t>
  </si>
  <si>
    <t>North America</t>
  </si>
  <si>
    <t>Charlotte</t>
  </si>
  <si>
    <t>North Carolina</t>
  </si>
  <si>
    <t>28205</t>
  </si>
  <si>
    <t>United States</t>
  </si>
  <si>
    <t>www.2ulaundry.com</t>
  </si>
  <si>
    <t>140281-93T</t>
  </si>
  <si>
    <t>Bentocart</t>
  </si>
  <si>
    <t>300281-95</t>
  </si>
  <si>
    <t>Developer of an online food delivery platform designed to provide lunch delivery for office workers. The company's platform allows people to order a variety of food from several listed restaurants without a hefty delivery fee, enabling customers to enjoy great tasty food at an affordable cost.</t>
  </si>
  <si>
    <t>The company joined Y Combinator as a part of its Winter 2019 Class on March 18, 2019 and received $125,000 in the form of SAFE notes.</t>
  </si>
  <si>
    <t>Information Technology</t>
  </si>
  <si>
    <t>Software</t>
  </si>
  <si>
    <t>Business/Productivity Software</t>
  </si>
  <si>
    <t>Application Software, Business/Productivity Software*, Food Products</t>
  </si>
  <si>
    <t>FoodTech</t>
  </si>
  <si>
    <t>food delivery boxes, food delivery business, food delivery firm, lunch delivery service, lunch ordering</t>
  </si>
  <si>
    <t>Venture Capital</t>
  </si>
  <si>
    <t>Joseph Lai</t>
  </si>
  <si>
    <t>211252-96P</t>
  </si>
  <si>
    <t>+1 (415) 286-5436</t>
  </si>
  <si>
    <t>joseph@bentocart.com</t>
  </si>
  <si>
    <t>Mr. Joseph Joseph is a Co-Founder and serves as Chief Executive Officer at Bentocart. He served Product Manager at Yelp working from the New Montgomery office.</t>
  </si>
  <si>
    <t>University of Washington, BS (Bachelor of Science), Computer Science</t>
  </si>
  <si>
    <t>Actual</t>
  </si>
  <si>
    <t>Y Combinator</t>
  </si>
  <si>
    <t>Y Combinator(www.ycombinator.com)</t>
  </si>
  <si>
    <t>San Francisco, CA</t>
  </si>
  <si>
    <t>San Francisco</t>
  </si>
  <si>
    <t>California</t>
  </si>
  <si>
    <t>94105</t>
  </si>
  <si>
    <t>www.bentocart.com</t>
  </si>
  <si>
    <t>130583-26T</t>
  </si>
  <si>
    <t>Bowl</t>
  </si>
  <si>
    <t>343131-49</t>
  </si>
  <si>
    <t>Developer of a food ordering application intended to offer fresh foods. The company's application offers a variety of food, salad as well it let customers make their own food with a choice of toppings online from several listed restaurants, enabling customers to enjoy delicious food at low cost.</t>
  </si>
  <si>
    <t>The company joined SOSV as part of the HAX Seed program in 2018.</t>
  </si>
  <si>
    <t>Application Software</t>
  </si>
  <si>
    <t>Application Software*, Food Products</t>
  </si>
  <si>
    <t>food ordering app development, food ordering system, meals ordering platform, online food, salads items</t>
  </si>
  <si>
    <t>Accelerator/Incubator Backed</t>
  </si>
  <si>
    <t>Danny Aiken</t>
  </si>
  <si>
    <t>215883-46P</t>
  </si>
  <si>
    <t>daiken@bowl.company</t>
  </si>
  <si>
    <t>Mr. Danny Aiken is a Co-Founder and serves as Chief Executive Officer at Bowl. He has spent the past three years in KPMG's Strategy group, focusing on growth strategy and merger and acquisition work across a variety of sectors. He has experience in market research and sizing, customer and supplier analysis, financial modeling and product development.</t>
  </si>
  <si>
    <t>SOSV</t>
  </si>
  <si>
    <t>SOSV(www.sosv.com)</t>
  </si>
  <si>
    <t>New York, NY</t>
  </si>
  <si>
    <t>New York</t>
  </si>
  <si>
    <t>www.bowl.company</t>
  </si>
  <si>
    <t>37010-26T</t>
  </si>
  <si>
    <t>BringMe That</t>
  </si>
  <si>
    <t>66420-55</t>
  </si>
  <si>
    <t>Developer of a food ordering platform designed to help people order food online from near-by restaurants. The company's platform helps to choose from restaurants in the area and get the food delivered at the doorstep with secure payment options, enabling customers to avail food seamlessly.</t>
  </si>
  <si>
    <t>The company raised an undisclosed amount of convertible debt financing from Forefront Venture Partners and Edge Harris Ventures on August 19, 2015.</t>
  </si>
  <si>
    <t>Restaurants, Hotels and Leisure</t>
  </si>
  <si>
    <t>Other Restaurants, Hotels and Leisure</t>
  </si>
  <si>
    <t>Application Software, Other Restaurants, Hotels and Leisure*</t>
  </si>
  <si>
    <t>FoodTech, Mobile, Restaurant Technology, TMT</t>
  </si>
  <si>
    <t>delivery portal, food delivering platform, food delivery, food ordering app, food platform</t>
  </si>
  <si>
    <t>Jason Liang</t>
  </si>
  <si>
    <t>77156-38P</t>
  </si>
  <si>
    <t>Mr. Jason Liang co-founded and served as Chief Executive Officer at BringMe That. He was the Director of Product Management at Bundle.</t>
  </si>
  <si>
    <t>Columbia University, BS (Bachelor of Science), 2005, Computer Science; Harvard Business School, MBA (Master of Business Administration), 2010</t>
  </si>
  <si>
    <t>The company joined The Startup Factory as part of the Spring 2013 class, and received $50,000 in funding.</t>
  </si>
  <si>
    <t>The Startup Factory</t>
  </si>
  <si>
    <t>The Startup Factory(www.thestartupfactory.co)</t>
  </si>
  <si>
    <t>The Startup Factory(Dave Neal)</t>
  </si>
  <si>
    <t>Wilson Sonsini Goodrich &amp; Rosati (Legal Advisor to Company)</t>
  </si>
  <si>
    <t>10003</t>
  </si>
  <si>
    <t>www.bringmethat.com</t>
  </si>
  <si>
    <t>98889-76T</t>
  </si>
  <si>
    <t>Broomly</t>
  </si>
  <si>
    <t>127756-90</t>
  </si>
  <si>
    <t>Developer of a mobile application designed to offer on-demand home services. The company's application offers the user to book and manage appointments for home services that include lawn care, laundry, plumbing and pest control, enabling people to conveniently book and manage their home's maintenance needs.</t>
  </si>
  <si>
    <t>The company joined Texas Venture Labs as a part of its Spring 2016 Class on January 22, 2016.</t>
  </si>
  <si>
    <t>Application Software*, Other Services (B2C Non-Financial)</t>
  </si>
  <si>
    <t>home cleaning, home maintenance app, home maintenance platform, home maintenance services, home maintenance tools, home services, home services app, hospitality services, on demand home services</t>
  </si>
  <si>
    <t>Pre-venture</t>
  </si>
  <si>
    <t>Joseph Shiraz</t>
  </si>
  <si>
    <t>119071-18P</t>
  </si>
  <si>
    <t>+1 (512) 782-4578</t>
  </si>
  <si>
    <t>Mr. Joseph Shiraz co-founded and served as Chief Executive Officer and Board Member at ServiceBot. He is also a Co-Founder at Broomly. He was an MBA Candidate at Acton School of Business. He holds a BA in Mathematics from the University of Texas.</t>
  </si>
  <si>
    <t>MBA (Master of Business Administration), 2011, Entrepreneurship; University of Texas, BA (Bachelor of Arts), 2006, Mathematics</t>
  </si>
  <si>
    <t>The company joined Capital Factory on July 9, 2015.</t>
  </si>
  <si>
    <t>Capital Factory</t>
  </si>
  <si>
    <t>Capital Factory(www.capitalfactory.com)</t>
  </si>
  <si>
    <t>Austin, TX</t>
  </si>
  <si>
    <t>Austin</t>
  </si>
  <si>
    <t>Texas</t>
  </si>
  <si>
    <t>www.broomly.com</t>
  </si>
  <si>
    <t>98889-94T</t>
  </si>
  <si>
    <t>Texas Venture Labs</t>
  </si>
  <si>
    <t>Texas Venture Labs(www.mccombs.utexas.edu/Centers/Texas-Venture-Labs)</t>
  </si>
  <si>
    <t>24984-19T</t>
  </si>
  <si>
    <t>BuildZoom</t>
  </si>
  <si>
    <t>56341-36</t>
  </si>
  <si>
    <t>Operator of an online construction data and analytics marketplace designed to connect homeowners with construction contractors. The company's marketplace offers a community of home improvement contractors for homeowners to find contractors and get their houses built, remodeled and repaired, enabling customers to find the perfect contractors for any commercial or residential purpose.</t>
  </si>
  <si>
    <t>Fifth Wall sold a stake in the company to an undisclosed buyer.</t>
  </si>
  <si>
    <t>Media</t>
  </si>
  <si>
    <t>Information Services (B2C)</t>
  </si>
  <si>
    <t>Application Software, Information Services (B2C)*, Real Estate Services (B2C)</t>
  </si>
  <si>
    <t>E-Commerce, TMT</t>
  </si>
  <si>
    <t>commercial renovation, construction assistance, construction bidding, contractor finder, contractor marketplace, data aggregation, home construction service, home renovation, home renovation app, local general contractor</t>
  </si>
  <si>
    <t>Jiyan Wei</t>
  </si>
  <si>
    <t>47779-48P</t>
  </si>
  <si>
    <t>jiyan@buildzoom.com</t>
  </si>
  <si>
    <t>Mr. Jiyan Wei is a Co-Founder of BuildZoom. He focuses on operations, business development and product development. He has over a decade of experience building platforms in the PR, online marketing and news media industries. Prior to BuildZoom, he served as Director of Product Management for Vocus (VOCS), where he spearheaded the development of PRWeb, a leading online marketing tool. He earned his BA in English from Georgetown University and Masters from the London School of Economics. He also serves as an Advisor at 8VC.</t>
  </si>
  <si>
    <t>Georgetown University, BA (Bachelor of Arts), 2000, English; London School of Economics and Political Science, MS (Master of Science), 2006, New Media</t>
  </si>
  <si>
    <t>The company joined Y Combinator as a part of Winter 2013 class and received $98,000 in funding.</t>
  </si>
  <si>
    <t>Startup</t>
  </si>
  <si>
    <t>Y Combinator Fund II(Y Combinator)</t>
  </si>
  <si>
    <t>94108</t>
  </si>
  <si>
    <t>www.buildzoom.com</t>
  </si>
  <si>
    <t>34578-19T</t>
  </si>
  <si>
    <t>Burpy</t>
  </si>
  <si>
    <t>63788-59</t>
  </si>
  <si>
    <t>Provider of a grocery delivery service intended to connect customers to the right product. The company's service focuses on delivering home essentials from local stores within an hour of ordering, enabling customers to have a personalized shopping experience.</t>
  </si>
  <si>
    <t>The company joined Techstars as part of its 2014 Austin class on June 1, 2014 and received $118,000 of funding. Azim Makanojiya also participated in the round.</t>
  </si>
  <si>
    <t>Internet Retail, Other Services (B2C Non-Financial)*</t>
  </si>
  <si>
    <t>E-Commerce, FoodTech, Mobile, TMT</t>
  </si>
  <si>
    <t>grocery delivery, grocery delivery business, home delivery service, online grocery platform, online grocery shopping</t>
  </si>
  <si>
    <t>Aseem Ali</t>
  </si>
  <si>
    <t>69363-28P</t>
  </si>
  <si>
    <t>+1 (866) 925-1338</t>
  </si>
  <si>
    <t>aseem@burpy.com</t>
  </si>
  <si>
    <t>Mr. Aseem Ali is a Co-Founder and serves as Chief Executive Officer at Burpy. He was a Machine Performance and Controls Engineer Intern at Caterpillar Inc. He has done his Bachelor's in Mechanical Engineering from University of Texas in 2014.</t>
  </si>
  <si>
    <t>University of Texas, Bachelor's, 2014, Mechanical Engineering</t>
  </si>
  <si>
    <t>Bridge</t>
  </si>
  <si>
    <t>Azim Makanojiya, Techstars</t>
  </si>
  <si>
    <t>78701</t>
  </si>
  <si>
    <t>www.burpy.com</t>
  </si>
  <si>
    <t>65315-08T</t>
  </si>
  <si>
    <t>Alishah Momin</t>
  </si>
  <si>
    <t>69363-73P</t>
  </si>
  <si>
    <t>alishah@burpy.com</t>
  </si>
  <si>
    <t>Mr. Alishah Momin serves as the Vice President of Sales &amp; Marketing at Burpy. He has done his Bachelor's from University of Texas in Economics.</t>
  </si>
  <si>
    <t>University of Texas, Bachelor's, 2016, Economics</t>
  </si>
  <si>
    <t>The company joined Longhorn Startup as part of the Spring 2013 Class, and received an undisclosed amount in funding.</t>
  </si>
  <si>
    <t>Longhorn Startup</t>
  </si>
  <si>
    <t>Longhorn Startup(www.longhornstartup.com)</t>
  </si>
  <si>
    <t>122278-42T</t>
  </si>
  <si>
    <t>Chute Laundry</t>
  </si>
  <si>
    <t>279502-93</t>
  </si>
  <si>
    <t>Provider of an online laundry delivery service intended to make laundry easy and convenient for students by doing it for them. The company's online laundry delivery service includes the whole ordeal pick up, wash, dry, fold and drop off as per a client's convenient location, enabling customers to experience hassle free laundry services at affordable prices.</t>
  </si>
  <si>
    <t>The company joined XRC Labs as part of its Cohort 7 in January 2019 and received $135,000 in seed funding. The funding was received in the form of SAFE notes.</t>
  </si>
  <si>
    <t>cloth washing, drying cleaning, online laundry, online laundry pickup, online laundry service</t>
  </si>
  <si>
    <t>Reid Moncada</t>
  </si>
  <si>
    <t>209506-60P</t>
  </si>
  <si>
    <t>+1 (814) 626-8899</t>
  </si>
  <si>
    <t>reid@yourlaundrychute.com</t>
  </si>
  <si>
    <t>Mr. Reid Moncada is a Co-Founder of Chute Laundry and also serves as its Chief Executive Officer. He is a Chick Evans Caddie Scholar studying Finance and Chinese at Penn-State University. After interning at a variety of start-ups focused in Agritech, EduTech, and cryptocurrencies, Reid was selected into Draper University, an incubator/accelerator based in Silicon Valley founded by billionaire venture capitalist Tim Draper. It was at Draper where Reid was exposed to emerging technology and found the inspiration to take Chute further than laundry. Reid is an infinite learner with a passion for streetwear, astronomy, and technology.</t>
  </si>
  <si>
    <t>Pennsylvania State University (Penn State), Graduate, Finance and Chinese</t>
  </si>
  <si>
    <t>XRC Labs</t>
  </si>
  <si>
    <t>XRC Labs(www.xrclabs.com)</t>
  </si>
  <si>
    <t>State College, PA</t>
  </si>
  <si>
    <t>State College</t>
  </si>
  <si>
    <t>Pennsylvania</t>
  </si>
  <si>
    <t>16802</t>
  </si>
  <si>
    <t>www.fittedlaundry.com</t>
  </si>
  <si>
    <t>138701-26T</t>
  </si>
  <si>
    <t>Cleancio</t>
  </si>
  <si>
    <t>267966-82</t>
  </si>
  <si>
    <t>Provider of an on demand vacation rental cleaning intended to improve the guest experience. The company's platform offers professional cleaning and disinfection services to vacation rental properties and residential buildings, enabling hosts, managers and home owners keep clean and maintain their property.</t>
  </si>
  <si>
    <t>The company joined Women's Business Enterprise National Council in October 2018.</t>
  </si>
  <si>
    <t>Other Services (B2C Non-Financial)*</t>
  </si>
  <si>
    <t>cleaning services, homeaway cleaning, hotel quality cleanings, housekeeping portal, housekeeping service provider, vacation rental cleaning</t>
  </si>
  <si>
    <t>Rocio Lane</t>
  </si>
  <si>
    <t>233731-00P</t>
  </si>
  <si>
    <t>+1 (312) 789-5714</t>
  </si>
  <si>
    <t>Ms. Rocio Lane is the Founder and also serves as the Chief Executive Officer at Cleancio.</t>
  </si>
  <si>
    <t>The company joined 1871 Chicago as a part of WiSTEM's sixth cohort on March 6, 2018.</t>
  </si>
  <si>
    <t>1871 Chicago</t>
  </si>
  <si>
    <t>1871 Chicago(www.1871.com)</t>
  </si>
  <si>
    <t>Chicago, IL</t>
  </si>
  <si>
    <t>Chicago</t>
  </si>
  <si>
    <t>Illinois</t>
  </si>
  <si>
    <t>60654</t>
  </si>
  <si>
    <t>www.cleancio.com</t>
  </si>
  <si>
    <t>138705-67T</t>
  </si>
  <si>
    <t>Women's Business Enterprise National Council</t>
  </si>
  <si>
    <t>Women's Business Enterprise National Council(www.wbenc.org)</t>
  </si>
  <si>
    <t>122960-80T</t>
  </si>
  <si>
    <t>Cornershop</t>
  </si>
  <si>
    <t>121262-23</t>
  </si>
  <si>
    <t>Operator of an online grocery shopping platform designed to order from several stores at once. The company's platform offers to purchase groceries online from a variety of local stores and have them delivered at doorstep, enabling customers to avail the product in a hassle free manner.</t>
  </si>
  <si>
    <t>The company was acquired by Uber (NYS: UBER) for $459 million in July 2020.</t>
  </si>
  <si>
    <t>Retail</t>
  </si>
  <si>
    <t>Specialty Retail</t>
  </si>
  <si>
    <t>Internet Retail, Specialty Retail*</t>
  </si>
  <si>
    <t>E-Commerce, FoodTech, Mobile, Mobility Tech, Supply Chain Tech</t>
  </si>
  <si>
    <t>grocery delivery business, grocery shopping, grocery shopping platform, impact investing vertical, mobility tech, online grocery, online grocery shopping platform, supply chain tech</t>
  </si>
  <si>
    <t>Formerly VC-backed</t>
  </si>
  <si>
    <t>M&amp;A, Venture Capital</t>
  </si>
  <si>
    <t>Oskar Hjertonsson</t>
  </si>
  <si>
    <t>77879-89P</t>
  </si>
  <si>
    <t>oskar@cornershopapp.com</t>
  </si>
  <si>
    <t>Mr. Oskar Hjertonsson is a Co-Founder of Cornershop and serves as its Chief Executive Officer. He was also the Founder and Chief Executive Officer at Seahorse. He was previously with and founded startupen Needish, a service that allowed individuals and businesses put up requests on the internet about what they wanted help with, in principle no matter what kind of help requests at any time other then got the answer.</t>
  </si>
  <si>
    <t>Lund University, MS (Master of Science), 2005, Industrial Engineering &amp; Management</t>
  </si>
  <si>
    <t>The company joined The Pool on an undisclosed date.</t>
  </si>
  <si>
    <t>The Pool</t>
  </si>
  <si>
    <t>The Pool(www.thepool.mx)</t>
  </si>
  <si>
    <t>www.cornershopapp.com</t>
  </si>
  <si>
    <t>27540-19T</t>
  </si>
  <si>
    <t>DoorDash</t>
  </si>
  <si>
    <t>58167-28</t>
  </si>
  <si>
    <t>Developer of a food delivery application intended to provide on-demand food-ordering and delivery services. The company's application offers wide range restaurants and menus to select from for a single meal or large groups with features to schedule delivery and real-time order tracking, enabling users to easily and conveniently order their favourite food for delivery at the time and place of their choosing.</t>
  </si>
  <si>
    <t>The company raised $400 million of Series H venture funding in a deal led by Fidelity Investments and Durable Capital Partners on June 18, 2020, putting the company's pre-money valuation at $15.6 billion. Dragoneer Investment Group, Darsana Capital Partners, Founders Circle Capital and T. Rowe Price also participated in the round. The funds will be used towards new products and services to address the changing commerce landscape made necessary by Covid-19.</t>
  </si>
  <si>
    <t>Application Software, Information Services (B2C), Other Restaurants, Hotels and Leisure*</t>
  </si>
  <si>
    <t>FoodTech, Mobile, Mobility Tech, Restaurant Technology, Supply Chain Tech, TMT</t>
  </si>
  <si>
    <t>cloud kitchen, food delivery platform, food delivery system, ghost kitchen, mobility tech, on demand food delivery, on demand food ordering, online food delivery, online food delivery platform, supply chain tech</t>
  </si>
  <si>
    <t>Andy Fang</t>
  </si>
  <si>
    <t>52215-31P</t>
  </si>
  <si>
    <t>+1 (855) 973-1040</t>
  </si>
  <si>
    <t>andy@doordash.com</t>
  </si>
  <si>
    <t>Mr. Andy Fang is a Co-Founder and serves as the Chief Technology Officer at DoorDash. He was the CS106 Section Leader at Stanford University. He holds Bachelor's Degree in Computer Science from Stanford University. He is an angel investor.</t>
  </si>
  <si>
    <t>Stanford University, Bachelor's, 2014, Computer Science</t>
  </si>
  <si>
    <t>The company joined Y Combinator as part of its Summer 2013 class and received $120,000 in funding on January 1, 2013.</t>
  </si>
  <si>
    <t>Y Combinator(Paul Buchheit)</t>
  </si>
  <si>
    <t>Gunderson Dettmer (Legal Advisor to Company)</t>
  </si>
  <si>
    <t>94107</t>
  </si>
  <si>
    <t>www.doordash.com</t>
  </si>
  <si>
    <t>79192-54T</t>
  </si>
  <si>
    <t>DUFL</t>
  </si>
  <si>
    <t>101423-35</t>
  </si>
  <si>
    <t>Developer of a travel valet platform designed to provide business travelers the freedom to roam. The company's platform offers a service that eliminates the need to launder, dry clean, and pack clothes, enabling clients to have their baggage delivered according to their desired time and venue.</t>
  </si>
  <si>
    <t>The company raised $3 million of convertible debt financing from undisclosed investors on February 21, 2017.</t>
  </si>
  <si>
    <t>baggage delivery service, travel valet, travel valet platform, travel valet services, virtual closet</t>
  </si>
  <si>
    <t>William Rinehart</t>
  </si>
  <si>
    <t>64371-34P</t>
  </si>
  <si>
    <t>+1 (844) 383-5224</t>
  </si>
  <si>
    <t>billrinehart@dufl.com</t>
  </si>
  <si>
    <t>Mr. William Rinehart is a Co-Founder and serves as Chief Executive Officer &amp; Chairman at DUFL. He has built and orchestrated successful exits for 5 companies in 15 years, serving as the driving force behind startups and enterprises that have helped shape the Internet as we know it today. At DUFL, Bill drives overall strategy, managers operations and oversees commercial activities. Prior to founding DUFL, Bill was founder, chairman and CEO of Unicorn Media, a cloud video ad insertion technology that was acquired by Brightcove for $49M. Before that, he founded and led Limelight Networks, a global leader in digital content delivery that was backed by Goldman Sachs Capital, Oak Investment Partners and Palo Alto Investors to a successful IPO. Bill also founded and served as chairman of Octoblu, a real-time connections and communications management pioneer that was later acquired by Citrix. He has also held senior leadership roles at GlobalCenter, Critical Path and Genuity during his career.</t>
  </si>
  <si>
    <t>Ball State University, BS (Bachelor of Science), 1986, Business Administration</t>
  </si>
  <si>
    <t>The company joined Plug and Play on an undisclosed date.</t>
  </si>
  <si>
    <t>Plug and Play Tech Center</t>
  </si>
  <si>
    <t>Plug and Play Tech Center(www.plugandplaytechcenter.com)</t>
  </si>
  <si>
    <t>Tempe, AZ</t>
  </si>
  <si>
    <t>Tempe</t>
  </si>
  <si>
    <t>Arizona</t>
  </si>
  <si>
    <t>85281</t>
  </si>
  <si>
    <t>www.dufl.com</t>
  </si>
  <si>
    <t>77171-77T</t>
  </si>
  <si>
    <t>Envi</t>
  </si>
  <si>
    <t>121623-76</t>
  </si>
  <si>
    <t>Provider of an application for on-demand car-washing services. The company's mobile application allows users to schedule water-less car wash and waxing services, provided by deaf individuals that the company employs.</t>
  </si>
  <si>
    <t>The company raised $60,000 of convertible debt financing from John Tyler in November, 2016, putting the company's pre-money valuation cap at $5 million. The funds will be used to launch new marketing efforts.</t>
  </si>
  <si>
    <t>CleanTech, Mobile, TMT</t>
  </si>
  <si>
    <t>car cleaning services, car detailing service, car washing, cleantech, water conservation</t>
  </si>
  <si>
    <t>Angel-Backed</t>
  </si>
  <si>
    <t>Chad Zani</t>
  </si>
  <si>
    <t>147808-09P</t>
  </si>
  <si>
    <t>Mr. Chad Zani Founded &amp; served as Chief Executive Officer at Envi.</t>
  </si>
  <si>
    <t>The company joined Los Angeles Cleantech Incubator on September 1, 2016.</t>
  </si>
  <si>
    <t>Los Angeles Cleantech Incubator</t>
  </si>
  <si>
    <t>Los Angeles Cleantech Incubator(www.laincubator.org)</t>
  </si>
  <si>
    <t>Gardena, CA</t>
  </si>
  <si>
    <t>Gardena</t>
  </si>
  <si>
    <t>90249</t>
  </si>
  <si>
    <t>www.envi.com</t>
  </si>
  <si>
    <t>37242-73T</t>
  </si>
  <si>
    <t>Favor</t>
  </si>
  <si>
    <t>56308-24</t>
  </si>
  <si>
    <t>Developer of a mobile based food delivery application designed to deliver restaurant based food. The company's food delivery service is a location-based mobile application and website portal, enabling users to order food and groceries from stores and restaurants in the local area and delivers through courier at their door.</t>
  </si>
  <si>
    <t>The company was acquired by HEB Grocery Company for an undisclosed amount on February 15, 2018. With this partnership, the acquirer accelerates its path to become a digital retail industry leader in Texas, enabling customers to choose how they shop, pay for and receive products. The partnership also complements the acquirer's brick-and-mortar operations by growing its online presence to meet customers' evolving needs and expectations.</t>
  </si>
  <si>
    <t>Social/Platform Software</t>
  </si>
  <si>
    <t>Social/Platform Software*</t>
  </si>
  <si>
    <t>food delivery application, food delivery portal, food delivery service, food ordering app</t>
  </si>
  <si>
    <t>Ben Doherty</t>
  </si>
  <si>
    <t>47677-69P</t>
  </si>
  <si>
    <t>ben@sunroomrentals.com</t>
  </si>
  <si>
    <t>Mr. Ben Doherty is a Co-Founder of Sunroom and serves as its Chief Executive Officer. He also Co-Founded and served as Chief Operating Officer at Favor. He was a Co-Founder of CBZG Studios.</t>
  </si>
  <si>
    <t>California Polytechnic State University, BS (Bachelor of Science), 2012, Civil Engineering</t>
  </si>
  <si>
    <t>The company joined BoostVC as part of the 2012 class and received an undisclosed amount in seed funding.</t>
  </si>
  <si>
    <t>Boost VC</t>
  </si>
  <si>
    <t>Boost VC(www.boost.vc)</t>
  </si>
  <si>
    <t>Boost VC(Adam Draper)</t>
  </si>
  <si>
    <t>Boost Bitcoin Fund(Boost VC)</t>
  </si>
  <si>
    <t>www.favordelivery.com</t>
  </si>
  <si>
    <t>58150-54T</t>
  </si>
  <si>
    <t>Jag Bath</t>
  </si>
  <si>
    <t>47594-35P</t>
  </si>
  <si>
    <t>+1 (855) 623-3287</t>
  </si>
  <si>
    <t>jag@favordelivery.com</t>
  </si>
  <si>
    <t>Mr. Jag Bath serves as the President and Chief Executive Officer at Favor. He also serves as a Chief Digital Officer at HEB Grocery Company. Prior to this, he served as a Senior Vice President, Product at RetailMeNot. Prior to WhaleShark Media, Jag held several executive positions at the luxury retailer Gilt Groupe, Inc., including vice president of strategy and new business, vice president of product management and engineering, and acting CIO. Before joining Gilt, Jag's eight-year tenure at WeightWatchers.com included various positions overseeing global business development, product development, marketing and international expansion. Jag holds a bachelor of science (honors) in business information technology from Bournemouth University, England.</t>
  </si>
  <si>
    <t>BS (Bachelor of Science), 1998, Business Information Technology</t>
  </si>
  <si>
    <t>The company joined SLO HotHouse on August 28, 2012.</t>
  </si>
  <si>
    <t>SLO HotHouse</t>
  </si>
  <si>
    <t>SLO HotHouse(www.cie.calpoly.edu/slo-hothouse)</t>
  </si>
  <si>
    <t>58150-72T</t>
  </si>
  <si>
    <t>The company joined START Group on an undisclosed date.</t>
  </si>
  <si>
    <t>START Houston</t>
  </si>
  <si>
    <t>START Houston(www.starthouston.com)</t>
  </si>
  <si>
    <t>92372-14T</t>
  </si>
  <si>
    <t>The company joined Austin Technology Incubator as part of Student Entrepreneur Acceleration and Launch (SEAL) program 2013.</t>
  </si>
  <si>
    <t>Austin Technology Incubator</t>
  </si>
  <si>
    <t>Austin Technology Incubator(www.ati.utexas.edu)</t>
  </si>
  <si>
    <t>Austin Technology Incubator(Bart Bohn)</t>
  </si>
  <si>
    <t>34480-09T</t>
  </si>
  <si>
    <t>Gobble</t>
  </si>
  <si>
    <t>52312-51</t>
  </si>
  <si>
    <t>Developer of a meal kit delivery platform intended to create home-cooked, nutritious, gourmet meals at home. The company's platform provides fresh ingredients sourced locally from sustainable and humane bay area farmers, enabling consumers to cook and make a gourmet meal with one pan in under ten minutes.</t>
  </si>
  <si>
    <t>The company received $6 million of debt financing in the form of a term loan from Trinity Capital on May 9, 2018. Latham &amp; Watkins served as a legal advisor to Trinity Capital in the deal.</t>
  </si>
  <si>
    <t>Consumer Non-Durables</t>
  </si>
  <si>
    <t>Food Products</t>
  </si>
  <si>
    <t>Food Products*, Social/Platform Software</t>
  </si>
  <si>
    <t>FoodTech, TMT</t>
  </si>
  <si>
    <t>food delivery, gourmet meals, meal kit delivery, meal kit delivery service, online meal delivery</t>
  </si>
  <si>
    <t>Ooshma Garg</t>
  </si>
  <si>
    <t>39721-87P</t>
  </si>
  <si>
    <t>+1 (888) 405-7481</t>
  </si>
  <si>
    <t>ooshma@gobble.com</t>
  </si>
  <si>
    <t>Ms. Ooshma Garg is the Founder and serves as Chief Executive Officer &amp; Board Member at Gobble. She is also the Founder of Anapata. She serves as Investment Partner at XFactor Ventures. She has an experience as a Sales &amp; Trading Summer Associate at Morgan Stanley and Summer Associate at J.P. Morgan. She holds a B.S. in BioMechanical Engineering from Stanford University.</t>
  </si>
  <si>
    <t>Stanford University, BS (Bachelor of Science), 2009, Biomechanical Engineering</t>
  </si>
  <si>
    <t>The company graduated from Y Combinator as a part of their Winter 2014 Class and received $97,000 in funding on March 25, 2014.</t>
  </si>
  <si>
    <t>Orrick, Herrington &amp; Sutcliffe (Legal Advisor to Company)</t>
  </si>
  <si>
    <t>94103</t>
  </si>
  <si>
    <t>www.gobble.com</t>
  </si>
  <si>
    <t>49319-65T</t>
  </si>
  <si>
    <t>Grability</t>
  </si>
  <si>
    <t>96136-48</t>
  </si>
  <si>
    <t>Provider of an innovative application designed to help businesses to improve the shopping experience of the consumers. The company's application provides simplified management of mobile stores, with tools for adjusting the display size of products, product tags, structure of the shop, product arrangement and promotions, enabling consumers to buy their groceries in a fast and intuitive way.</t>
  </si>
  <si>
    <t>The company raised $1.35 million of seed funding from Burch Creative Capital and Marcello V. Bottoli on April 26, 2015, putting the company's pre-money valuation at $7.99 million.</t>
  </si>
  <si>
    <t>Internet Retail</t>
  </si>
  <si>
    <t>Business/Productivity Software, Internet Retail*</t>
  </si>
  <si>
    <t>Mobile, Mobile Commerce, TMT</t>
  </si>
  <si>
    <t>e commerce, grocery shopping, mobile ecommerce, mobile shopping, mobile shopping application</t>
  </si>
  <si>
    <t>Sebastian Mejia</t>
  </si>
  <si>
    <t>99466-12P</t>
  </si>
  <si>
    <t>sebastian@rappi.com</t>
  </si>
  <si>
    <t>Mr. Sebastian Mejia is a Co-Founder and serves as President and Board Member at Rappi. He also is a Co-Founder of Grability.</t>
  </si>
  <si>
    <t>Autonomous University of Madrid, BS (Bachelor of Science), 2009, Economics; BS (Bachelor of Science), 2005, Business Administration and Management</t>
  </si>
  <si>
    <t>Individual</t>
  </si>
  <si>
    <t>The company joined Plug and Play Tech Center in 2014.</t>
  </si>
  <si>
    <t>10019</t>
  </si>
  <si>
    <t>www.grability.com</t>
  </si>
  <si>
    <t>51484-78T</t>
  </si>
  <si>
    <t>Handy</t>
  </si>
  <si>
    <t>55208-89</t>
  </si>
  <si>
    <t>Provider of an online platform designed to offer an easy and reliable way to take care of their home. The company's platform instantly matches customers every week with professionals in cities all as well as offer them with the home services they need, wherever they are, whenever they want them, enabling users to get connected with quality and pre-screened independent service professionals.</t>
  </si>
  <si>
    <t>The company was acquired by ANGI Homeservices (NAS: ANGI) for $165.52 million on October 19, 2018. This acquisition will enable ANGI Homeservices a strong foothold in the gig economy space with an innovative product and infrastructure to power retailers' in-home services offerings.</t>
  </si>
  <si>
    <t>Application Software, Information Services (B2C)*, Internet Retail</t>
  </si>
  <si>
    <t>E-Commerce, Mobile, TMT</t>
  </si>
  <si>
    <t>home services, household service, online cleaning service, professional services, service booking platform</t>
  </si>
  <si>
    <t>Oisin Hanrahan</t>
  </si>
  <si>
    <t>43282-99P</t>
  </si>
  <si>
    <t>oisin@handybook.com</t>
  </si>
  <si>
    <t>Mr. Oisin Hanrahan is a Co-Founder and serves as the Chief Executive Officer and Board Member at Handy. Prior to founding Handy, Oisin founded MiCandidate, a service that provided real time political content to media companies in 25 European countries. He also founded Clearwater Group, a real estate development business in Budapest, Hungary. In 2009, Oisin co-founded The Undergraduate Awards, a foundation that supports and celebrates outstanding undergraduate students globally. He holds a BE in Business &amp; Economics from Trinity College Dublin, MSc. in Finance &amp; Private Equity from London School of Economics and Political Science and an MBA from Harvard Business School and a degree from Uppsala Universitet.</t>
  </si>
  <si>
    <t>Degree; Harvard Business School, MBA (Master of Business Administration), 2013; London School of Economics and Political Science, MS (Master of Science), 2011, Finance; Trinity College, Degree, 2007, Business and Economics</t>
  </si>
  <si>
    <t>The company joined START Group and received an undisclosed amount in funding.</t>
  </si>
  <si>
    <t>Goodwin (Legal Advisor to Company)</t>
  </si>
  <si>
    <t>10159</t>
  </si>
  <si>
    <t>www.handy.com</t>
  </si>
  <si>
    <t>78085-09T</t>
  </si>
  <si>
    <t>The company joined MassChallenge as a part of its 2012 cohort.</t>
  </si>
  <si>
    <t>MassChallenge</t>
  </si>
  <si>
    <t>MassChallenge(www.masschallenge.org)</t>
  </si>
  <si>
    <t>77825-89T</t>
  </si>
  <si>
    <t>Happy Food</t>
  </si>
  <si>
    <t>167750-02</t>
  </si>
  <si>
    <t>Provider of meal kit delivery services intended to help people to get food ingredients to prepare dinner. The company's meal kit delivery services specializes in offering moroccan bowl, mushroom risotto, spicy broccoli, tofu stir-fry and baked orzo through its online platform, enabling users to place order for dinner kits containing ingredients that help the users to cook their meals at home.</t>
  </si>
  <si>
    <t>The company joined Digital Sandbox KC on June 24, 2015.</t>
  </si>
  <si>
    <t>Application Software, Food Products*, Internet Retail</t>
  </si>
  <si>
    <t>food ingredients, meal kit delivery service, meals outsourcing, online meals ordering, ready-to-cook meal kit</t>
  </si>
  <si>
    <t>Jeff Glasco</t>
  </si>
  <si>
    <t>148871-35P</t>
  </si>
  <si>
    <t>jeff@gethappyfood.com</t>
  </si>
  <si>
    <t>Mr. Jeff Glasco is a Co-Founder at Happy Food and also serves as its Chief Executive Officer. Jeff is a business guy turned good food advocate. For most of his career, he has worked at the intersection of technology and business, helping new ventures shape their services to meet market needs. Jeff is a product manager at heart and loves nothing more than bringing new ideas to life through relentless effort, analysis and creativity. Jeff is a Kansas City native and holds an Industrial &amp; Manufacturing Systems Engineering degree from Kansas State University.</t>
  </si>
  <si>
    <t>University of Kansas, Degree, Industrial and Manufacturing Engineering</t>
  </si>
  <si>
    <t>Digital Sandbox KC</t>
  </si>
  <si>
    <t>Digital Sandbox KC(www.digitalsandboxkc.com)</t>
  </si>
  <si>
    <t>Digital Sandbox KC(Jeff Shackelford)</t>
  </si>
  <si>
    <t>Olathe, KS</t>
  </si>
  <si>
    <t>Olathe</t>
  </si>
  <si>
    <t>Kansas</t>
  </si>
  <si>
    <t>66061</t>
  </si>
  <si>
    <t>www.shophappyfood.com</t>
  </si>
  <si>
    <t>127175-77T</t>
  </si>
  <si>
    <t>HomeBit</t>
  </si>
  <si>
    <t>231280-21</t>
  </si>
  <si>
    <t>Developer of a home maintenance platform intended to provide homeownership as a hassle-free experience. The company's platform houses home examiners who visit the user's homes and replaces air filters, performs an initial assessment/health check and addresses other issues they find, enabling the house owners to maintain their houses efficiently with routine home maintenance services.</t>
  </si>
  <si>
    <t>The company joined Capital Factory in January, 2018.</t>
  </si>
  <si>
    <t>Application Software*, Household Products, Other Services (B2C Non-Financial)</t>
  </si>
  <si>
    <t>home health checking, home health reporting, home maintenance issues, home maintenance services, homeownership service</t>
  </si>
  <si>
    <t>Surojit Niyogi</t>
  </si>
  <si>
    <t>52751-98P</t>
  </si>
  <si>
    <t>Mr. Surojit Niyogi is a Co-Founder and serves as the President at Perk.com. He co-founded and served as President at Jutera Labs. He also serves as the Chief Executive Officer at Corona Labs. Mr. Surojit Niyogi is the Founder of HomeBit and also serves as the Chief Executive Officer.</t>
  </si>
  <si>
    <t>University of California, Davis, Degree; University of Texas, Degree, 2003, Biology</t>
  </si>
  <si>
    <t>www.homebit.co</t>
  </si>
  <si>
    <t>60415-39T</t>
  </si>
  <si>
    <t>HomeBlis</t>
  </si>
  <si>
    <t>127615-87</t>
  </si>
  <si>
    <t>Provider of everyday home services. The company enables residential and commercial owners get high frequency home and property management services like lawn maintenance and cleaning in a convenient and reliable way using next generation technology and processes.</t>
  </si>
  <si>
    <t>The company joined Collide Village Accelerator as a part of Fall 2015 Cohort and received $25,000 in funding on September 25, 2015.</t>
  </si>
  <si>
    <t>home services, lawn maintenance, property management</t>
  </si>
  <si>
    <t>Manish Raj</t>
  </si>
  <si>
    <t>118849-78P</t>
  </si>
  <si>
    <t>+1 (844) 663-2547</t>
  </si>
  <si>
    <t>Mr. Manish Raj is a Co-Founder of HomeBlis and also serves as its Chief Executive Officer.</t>
  </si>
  <si>
    <t>BE (Bachelor of Engineering), 1994, Engineering; BS (Bachelor of Science), 1994, Metallurgy; Carnegie Mellon University, MBA (Master of Business Administration), 2001, Business; Degree, 1990</t>
  </si>
  <si>
    <t>Collide Village Accelerator Program</t>
  </si>
  <si>
    <t>Collide Village Accelerator Program(www.collidevillage.com)</t>
  </si>
  <si>
    <t>Plano, TX</t>
  </si>
  <si>
    <t>Plano</t>
  </si>
  <si>
    <t>75025</t>
  </si>
  <si>
    <t>www.homeblis.com</t>
  </si>
  <si>
    <t>102348-46T</t>
  </si>
  <si>
    <t>HOMEE</t>
  </si>
  <si>
    <t>178385-86</t>
  </si>
  <si>
    <t>Developer of an on demand property maintenance platform intended to provide instant access to handymen, electrical, HVAC and plumbing services. The company's platform delivers service providers to properties for repairs or maintenance in an average of 30 minutes after a user has requested service, enabling customers to get background checked contractors easily for any property.</t>
  </si>
  <si>
    <t>The company raised $4.58 million through the combination of debt and venture funding from undisclosed investors on July 15, 2020, putting the company's pre-money valuation at $60 million.</t>
  </si>
  <si>
    <t>handyman application, hvac application, on demand property maintenance, on demand property maintenance platform, plumbing application, property maintenance application, property maintenance platform, property maintenance service, service provider platform</t>
  </si>
  <si>
    <t>Douglas Schaedler</t>
  </si>
  <si>
    <t>150509-08P</t>
  </si>
  <si>
    <t>+1 (855) 964-6633</t>
  </si>
  <si>
    <t>doug@homeeondemand.com</t>
  </si>
  <si>
    <t>Mr. Doug Schaedler is a Co-Founder and serves as Chief Executive Officer, President and Board Member at Homee. Mr. Schaedler serves as Board Member at Inno360. He previously served as its CEO. He has extensive management and capital raising experience. Prior to founding Homee he served as President &amp; CEO of inno360, Inc., a cloud-based leader in cognitive analytics developed in partnership with Procter and Gamble (P&amp;G). Prior to inno360, he was the CEO of Innovaro, Inc, a leading enterprise SaaS provider to the Fortune 500. As CEO, he managed a team of more than 150 professionals and oversaw the Company's IPO in the UK and the development and launch of the Company's enterprise SaaS platform. Previously he was a Principal in a New York based venture capital firm and before that was an early employee at VerticalNet Inc reporting to the founder and CEO. He has significant startup and capital raising experience, having raised more than $75 million into his last two companies and effectively managing periods of high-growth. He holds an M.B.A in finance and economics from the University of Chicago Booth School of Business and a B.A. in economics from Tufts University; He is also a Chartered Financial Analyst (CFA).</t>
  </si>
  <si>
    <t>Tufts University, BA (Bachelor of Arts), Economics; University of Chicago (Booth), MBA (Master of Business Administration), Finance and Economics</t>
  </si>
  <si>
    <t>The company joined Engage Ventures on March 1, 2018 and received $75,000 in funding. Tech Square Venture Partners also participated in the round.</t>
  </si>
  <si>
    <t>Engage VC, Tech Square Venture Partners</t>
  </si>
  <si>
    <t>Engage VC(www.engage.vc), Tech Square Venture Partners(www.techsquareventures.com)</t>
  </si>
  <si>
    <t>ENGAGE Venture Fund I(Engage VC), ENGAGE Venture Fund I(Tech Square Venture Partners)</t>
  </si>
  <si>
    <t>Tampa, FL</t>
  </si>
  <si>
    <t>Tampa</t>
  </si>
  <si>
    <t>Florida</t>
  </si>
  <si>
    <t>33629</t>
  </si>
  <si>
    <t>www.homee.com</t>
  </si>
  <si>
    <t>22566-97T</t>
  </si>
  <si>
    <t>Instacart</t>
  </si>
  <si>
    <t>55446-58</t>
  </si>
  <si>
    <t>Operator of an on-demand goods delivery application intended to facilitate the delivery of essential goods to busy people and families across the U.S. and Canada. The company offers full-service and in-store shopper services through a network of independent shoppers with same-day delivery and pickup service of fresh groceries and everyday essentials, thereby providing shoppers with an immediate and flexible earnings opportunity.</t>
  </si>
  <si>
    <t>The company raised $200 million of venture funding in a deal led by Valiant Capital Partners and D1 Capital Partners on October 8, 2020, putting the company's pre-money valuation at $17.5 billion. Other undisclosed investors also participated in the round. The funds will be used to focus on introducing new features and tools to improve the customer experience, and further support the company's enterprise and ads businesses. Earlier, the company raised $325 million of Series G venture funding in a deal led by DST Global and General Catalyst on July 3, 2020, putting the company's pre-money valuation at $13.47 billion. PV Seed Fund, Regah Ventures, The Spaventa Group, T. Rowe Price, and D1 Capital Partners also participated in the round.</t>
  </si>
  <si>
    <t>Business Products and Services (B2B)</t>
  </si>
  <si>
    <t>Commercial Services</t>
  </si>
  <si>
    <t>Logistics</t>
  </si>
  <si>
    <t>Application Software, Logistics*, Other Services (B2C Non-Financial)</t>
  </si>
  <si>
    <t>E-Commerce, FoodTech, Mobile, Mobility Tech, Supply Chain Tech, TMT</t>
  </si>
  <si>
    <t>delivery application, delivery application software, goods delivery, grocery delivery, location-based shopping, mobility tech, online grocery delivery, supply chain tech</t>
  </si>
  <si>
    <t>Profitable</t>
  </si>
  <si>
    <t>Apoorva Mehta</t>
  </si>
  <si>
    <t>43873-03P</t>
  </si>
  <si>
    <t>+1 (888) 246-7822</t>
  </si>
  <si>
    <t>apoorva@instacart.com</t>
  </si>
  <si>
    <t>Mr. Apoorva Mehta is a Co-Founder &amp; serves as Chief Executive Officer and Board Member at Instacart. He is an engineering graduate of the University of Waterloo, Apoorva worked as a design engineer at Blackberry and Qualcomm, then joined Amazon.com as a supply chain engineer before founding Instacart in 2012.</t>
  </si>
  <si>
    <t>University of Waterloo, BAS (Bachelor of Applied Science), 2008, Electrical Engineering</t>
  </si>
  <si>
    <t>The company joined Y Combinator as part of the Summer 2012 class, and received an undisclosed amount in 2012.</t>
  </si>
  <si>
    <t>www.instacart.com</t>
  </si>
  <si>
    <t>132706-90T</t>
  </si>
  <si>
    <t>Last Call</t>
  </si>
  <si>
    <t>264534-94</t>
  </si>
  <si>
    <t>Provider of a connecting platform designed to connect restaurants with affordable meal joints for students across the different university campus. The company's platform connects with restaurants who cater their surplus food in nearby university campus at discounted rates, enabling financially struggling students to have affordable meals and prevent food wastage.</t>
  </si>
  <si>
    <t>The company was in talks to receive an undisclosed amount of angel funding on April 24, 2019. Subsequently, the deal was canceled. Previously, the company joined GW Summer Startup Accelerator as a part of First Cohort on September 19, 2019 and received $3,000 in grant funding.</t>
  </si>
  <si>
    <t>Food Products*, Other Services (B2C Non-Financial), Social/Platform Software</t>
  </si>
  <si>
    <t>FoodTech, Restaurant Technology</t>
  </si>
  <si>
    <t>affordable meals, affordable meals service, connecting platform, food waste prevention, meals provider, restaurant food delivery, restaurant food distributor</t>
  </si>
  <si>
    <t>Product In Beta Test</t>
  </si>
  <si>
    <t>Erin McGeoy</t>
  </si>
  <si>
    <t>223846-75P</t>
  </si>
  <si>
    <t>erin@lastcallforfood.com</t>
  </si>
  <si>
    <t>Ms. Erin McGeoy is the Founder and serves as Chief Executive Officer at Last Call. She holds a degree in Marketing and Sustainability at George Washington University.</t>
  </si>
  <si>
    <t>George Washington University, Degree, Marketing and Sustainability</t>
  </si>
  <si>
    <t>The company joined Bethesda Green as a part of 2019 Cohort on June 17, 2019 and received undisclosed amount of funding.</t>
  </si>
  <si>
    <t>Bethesda Green</t>
  </si>
  <si>
    <t>Bethesda Green(www.bethesdagreen.org)</t>
  </si>
  <si>
    <t>Washington, DC</t>
  </si>
  <si>
    <t>Washington</t>
  </si>
  <si>
    <t>District of Columbia</t>
  </si>
  <si>
    <t>www.lastcallforfood.com</t>
  </si>
  <si>
    <t>132707-53T</t>
  </si>
  <si>
    <t>The company joined GW Summer Startup Accelerator as a part of First Cohort on September 19, 2019 and received $3,000 in grant funding.</t>
  </si>
  <si>
    <t>GW Summer Startup Accelerator</t>
  </si>
  <si>
    <t>GW Summer Startup Accelerator(www.innovation.gwu.edu)</t>
  </si>
  <si>
    <t>118255-60T</t>
  </si>
  <si>
    <t>Laundrapp</t>
  </si>
  <si>
    <t>100279-00</t>
  </si>
  <si>
    <t>Provider of on-demand laundry and dry-cleaning services. The company offers a platform enabling users to summon laundry services through their smartphone and replaces the need for using local laundrette or dry cleaner thus facilitating a quick and convenient pick-up service directly from home.</t>
  </si>
  <si>
    <t>The company was acquired by INC &amp; CO for an undisclosed amount on February 18, 2020. Previously, the company entered into administration on February 14, 2020.</t>
  </si>
  <si>
    <t>consumer services, laundry app, laundry pickup, laundry platform, on demand laundry</t>
  </si>
  <si>
    <t>Bankruptcy: Admin/Reorg</t>
  </si>
  <si>
    <t>Nicholas Bransby-Williams</t>
  </si>
  <si>
    <t>87101-74P</t>
  </si>
  <si>
    <t>nbransbywilliams@teamhub.dev</t>
  </si>
  <si>
    <t>Mr. Nicholas Bransby-Williams is a Co-Founder of TeamHub (Business/Productivity Software). Mr. Bransby-Williams Co-Founded and served as the Chief Technology Officer of Laundrapp. Previously, he served as an Interim Chief Technology Officer at FootballAlbum.</t>
  </si>
  <si>
    <t>B.Tech (Bachelor of Technology), 1998, Computer Programming; University of the West of England, BS (Bachelor of Science), 2001, Computer Science</t>
  </si>
  <si>
    <t>The company joined Risky Business Ventures on an undisclosed date.</t>
  </si>
  <si>
    <t>Risky Business Ventures</t>
  </si>
  <si>
    <t>Risky Business Ventures(www.riskybusiness.ro)</t>
  </si>
  <si>
    <t>British Pounds (GBP)</t>
  </si>
  <si>
    <t>United Kingdom</t>
  </si>
  <si>
    <t>Europe</t>
  </si>
  <si>
    <t>Western Europe</t>
  </si>
  <si>
    <t>England</t>
  </si>
  <si>
    <t>WC1V 6NX</t>
  </si>
  <si>
    <t>www.laundrapp.com</t>
  </si>
  <si>
    <t>127163-44T</t>
  </si>
  <si>
    <t>Laundris</t>
  </si>
  <si>
    <t>343297-90</t>
  </si>
  <si>
    <t>Provider of digital linen services intended to serve commercial, boutique, hotels and short-term rentals. The company's services use include Pickups, linen delivery service, laundry bags, items, loads, utilities (IoT), customer-defined profiles, billing, etc., enabling users to aggregate and sift linen or laundry usage data.</t>
  </si>
  <si>
    <t>The company is reportedly seeking $900,000 of angel funding from undisclosed investors as of February 19, 2020. Previously, the company joined Texas Venture Labs as a part of its Spring 2020 Cohort on January 14, 2020. The company is being actively tracked by PitchBook.</t>
  </si>
  <si>
    <t>Internet of Things</t>
  </si>
  <si>
    <t>linen delivery service, online laundry service, predictable billing, smart linen service</t>
  </si>
  <si>
    <t>Don Ward</t>
  </si>
  <si>
    <t>216281-44P</t>
  </si>
  <si>
    <t>+1 (512) 470-3295</t>
  </si>
  <si>
    <t>don@laundris.com</t>
  </si>
  <si>
    <t>Mr. Don Ward is a Co-Founder and serves as the Chief Executive Officer at Laundris.</t>
  </si>
  <si>
    <t>The company joined Capital Factory on October 1, 2019.</t>
  </si>
  <si>
    <t>www.laundris.com</t>
  </si>
  <si>
    <t>132364-99T</t>
  </si>
  <si>
    <t>The company joined Texas Venture Labs as a part of its Spring 2020 Cohort on January 14, 2020.</t>
  </si>
  <si>
    <t>38494-00T</t>
  </si>
  <si>
    <t>Lawn Love</t>
  </si>
  <si>
    <t>98484-76</t>
  </si>
  <si>
    <t>Developer of a digital marketplace designed to offer lawn care and gardening services. The company's marketplace collaborates system knowledge with industry expertise and offers a range of services including lawn mowing, lawn fertilization, weed control, leaf removal, snow removal and gutter cleaning, enabling clients to book and get lawn care services through skilled gardeners.</t>
  </si>
  <si>
    <t>The company was approved for a Paycheck Protection Program Loan in the range of $150,000-350,000 from Endeavor Bank on April 27, 2020. The application cited 0 jobs to be retained with the financing.</t>
  </si>
  <si>
    <t>Other Services (B2C Non-Financial)*, Social/Platform Software</t>
  </si>
  <si>
    <t>gardener hiring, gardening services, lawn care application, lawn cutter, lawn fertilization</t>
  </si>
  <si>
    <t>Jeremy Yamaguchi</t>
  </si>
  <si>
    <t>82107-82P</t>
  </si>
  <si>
    <t>+1 (800) 706-4117</t>
  </si>
  <si>
    <t>jeremy@lawnlove.com</t>
  </si>
  <si>
    <t>Mr. Jeremy Yamaguchi is the Founder and serves as Chief Executive Officer at Lawn Love. He also founded Golden Shine and served as its Chief Executive Officer.</t>
  </si>
  <si>
    <t>The company graduated from Y Combinator as a part of their Summer 2014 Class and received $120,000 in funding on August 19, 2014.</t>
  </si>
  <si>
    <t>San Diego, CA</t>
  </si>
  <si>
    <t>San Diego</t>
  </si>
  <si>
    <t>92127</t>
  </si>
  <si>
    <t>www.lawnlove.com</t>
  </si>
  <si>
    <t>95492-62T</t>
  </si>
  <si>
    <t>Local Crate</t>
  </si>
  <si>
    <t>86663-62</t>
  </si>
  <si>
    <t>Provider of a subscription-based meal-kit platform designed to offer people with the choice of creating their own meals. The company's platform accepts orders online and delivers fresh, local, portioned ingredients with easy-to-make chef-designed recipes on a subscription basis to homes and offices, enabling users to create restaurant quality meals at home with ease, while minimizing preparation time and food waste.</t>
  </si>
  <si>
    <t>The company raised $1.15 million of venture funding from undisclosed investors on June 7, 2018.</t>
  </si>
  <si>
    <t>E-Commerce, FoodTech, LOHAS &amp; Wellness, TMT</t>
  </si>
  <si>
    <t>chef-designed recipes, food ingredients, fresh ingredients, local produce, meal kit service, refrigerated food box, restaurant quality meals, sustainable farming produce, sustainable local ingredients</t>
  </si>
  <si>
    <t>Frank Jackman</t>
  </si>
  <si>
    <t>172238-32P</t>
  </si>
  <si>
    <t>frank@localcratemeals.com</t>
  </si>
  <si>
    <t>Mr. Frank Jackman is a Co-Founder and serves as Chief Executive Officer &amp; Board Member at Local Crate.</t>
  </si>
  <si>
    <t>Minnesota State University, Degree</t>
  </si>
  <si>
    <t>The company joined Target+Techstars Retail Accelerator program as part of its 2017 second class and received an undisclosed amount of funding.</t>
  </si>
  <si>
    <t>Target + METRO Retail Accelerator, Techstars</t>
  </si>
  <si>
    <t>Target + METRO Retail Accelerator(metro-target-accelerator.com), Techstars(www.techstars.com)</t>
  </si>
  <si>
    <t>Target + METRO Retail Accelerator, Techstars(Brett Brohl)</t>
  </si>
  <si>
    <t>Techstars Austin 2016(Techstars)</t>
  </si>
  <si>
    <t>Saint Paul, MN</t>
  </si>
  <si>
    <t>Saint Paul</t>
  </si>
  <si>
    <t>Minnesota</t>
  </si>
  <si>
    <t>55103</t>
  </si>
  <si>
    <t>www.localcrate.com</t>
  </si>
  <si>
    <t>47352-70T</t>
  </si>
  <si>
    <t>MobyDish</t>
  </si>
  <si>
    <t>110498-59</t>
  </si>
  <si>
    <t>Provider of an online food delivery platform intended to make delivery and catering more transparent and reliable. The company's platform offers a web-based mobile application that helps to manage and monitor the food delivery process, enabling users to be provided with a curated catering marketplace of food from local restaurants.</t>
  </si>
  <si>
    <t>The company raised $4.47 million through the combination of Series A venture funding from S2 Capital, Alven Capital Partners and Zeno Ventures on January 30, 2020, putting the company's pre-money valuation at $15 million. Frederic Hanika and other undisclosed investors also participated in the round.</t>
  </si>
  <si>
    <t>Application Software*, Hotels and Resorts, Restaurants and Bars</t>
  </si>
  <si>
    <t>FoodTech, Mobile, TMT</t>
  </si>
  <si>
    <t>catering delivery, catering marketplace, catering marketplace platform, corporate catering app, food delivery app</t>
  </si>
  <si>
    <t>Bruno Didier</t>
  </si>
  <si>
    <t>128803-33P</t>
  </si>
  <si>
    <t>+1 (833) 439-6629</t>
  </si>
  <si>
    <t>bruno@gotrackin.com</t>
  </si>
  <si>
    <t>Mr. Bruno Didier is the Founder of Trackin, where he serves as Chief Executive Officer and President. He also serves as Chief Executive Officer of Mobydish.</t>
  </si>
  <si>
    <t>MS (Master of Science), 2011, Computer Engineering</t>
  </si>
  <si>
    <t>The company graduated from Y Combinator as a part of the Winter 2015 class and received $120,000 in funding on March 23, 2015.</t>
  </si>
  <si>
    <t>www.mobydish.com</t>
  </si>
  <si>
    <t>110524-87T</t>
  </si>
  <si>
    <t>Pennyworth</t>
  </si>
  <si>
    <t>231991-21</t>
  </si>
  <si>
    <t>Provider of home hospitality services intended to offer hospitality-focused, tech-enabled, experiential amenity. The company's services help in keeping home clean, organized, and fully-stocked along with taking care of laundry, deep cleaning, and pet care, enabling customers to save time and get help in errands, grocery shopping, and party planning.</t>
  </si>
  <si>
    <t>The company graduated from Boomtown Accelerators as part of the 10th Cohort on May 18, 2018 and received $20,000 in funding. Also, The company raised an undisclosed amount of venture funding from Right Side Capital Management in 2018.</t>
  </si>
  <si>
    <t>cleaning services, deep cleaning, home care services, home hospitality services, pet care</t>
  </si>
  <si>
    <t>Greg Vallario</t>
  </si>
  <si>
    <t>191657-26P</t>
  </si>
  <si>
    <t>+1 (720) 571-8979</t>
  </si>
  <si>
    <t>greg@pennyworth.io</t>
  </si>
  <si>
    <t>Mr. Greg Vallario is the Founder at Pennyworth.io and also serves as its Chief Executive Officer.</t>
  </si>
  <si>
    <t>The company graduated from Boomtown Accelerators as part of the 10th Cohort on May 18, 2018 and received $20,000 in funding.</t>
  </si>
  <si>
    <t>Boomtown Accelerators</t>
  </si>
  <si>
    <t>Boomtown Accelerators(www.boomtownaccelerators.com)</t>
  </si>
  <si>
    <t>Boomtown Accelerators(Toby Krout)</t>
  </si>
  <si>
    <t>www.pennyworth.io</t>
  </si>
  <si>
    <t>93899-89T</t>
  </si>
  <si>
    <t>Plated</t>
  </si>
  <si>
    <t>56332-54</t>
  </si>
  <si>
    <t>Provider of an online platform intended to provide ready-to-cook ingredients and recipes for home delivery. The company's online platform provides subscription based cook-at-home food-delivery service, available in cities throughout the U.S., enabling users to cook restaurant like food at home.</t>
  </si>
  <si>
    <t>The company was acquired by Albertsons, via its financial sponsors Cerberus Capital Management and Lubert Adler Partners, through a $200 million in October 2017. The acquisition will enable Albertsons to add a meal kit services with technology and data capabilities and to focus on innovation, personalization and customization. Also, the company raised $7.25 million of convertible debt financing from Greycroft Partners, e.ventures, and other undisclosed investors on August 7, 2017.</t>
  </si>
  <si>
    <t>chef design meals, food delivery service, food recipes, grocery home delivery, home delivered food, recipe delivery system, recipe instruction</t>
  </si>
  <si>
    <t>Private Equity-Backed</t>
  </si>
  <si>
    <t>Debt Financed, Private Equity, Venture Capital</t>
  </si>
  <si>
    <t>Joshua Hix</t>
  </si>
  <si>
    <t>47779-03P</t>
  </si>
  <si>
    <t>+1 (855) 733-9729</t>
  </si>
  <si>
    <t>Mr. Joshua Hix Co-Founded and served as the Chief Executive Officer and a Board Member at Plated. Prior to this he served as a Senior Investment Associate at Bridgewater Associates. He also co-founded and served as the Chief Technology Officer at ZeeWise. He received his MBA from Harvard Business School and his BS in electrical engineering from the Georgia Institute of Technology.</t>
  </si>
  <si>
    <t>Georgia Institute of Technology, BS (Bachelor of Science), 2003, Electrical Engineering; Harvard Business School, MBA (Master of Business Administration), 2010</t>
  </si>
  <si>
    <t>The company joined Techstars as part of the NYC 2013 Spring - Class 25 in 2013 and received $120,000 in funding. The deal also includes $100,000 in the form of convertible debt financing.</t>
  </si>
  <si>
    <t>Techstars Ventures 2012(Techstars)</t>
  </si>
  <si>
    <t>www.plated.com</t>
  </si>
  <si>
    <t>96641-56T</t>
  </si>
  <si>
    <t>PlateJoy</t>
  </si>
  <si>
    <t>60199-93</t>
  </si>
  <si>
    <t>Developer of an online platform intended to offer personalized nutrition plans and grocery list guides. The company's platform offers information on customized shopping lists and simple recipes, enabling users to maintain a healthy diet for weight loss and dietary improvements inspite of their busy schedule.</t>
  </si>
  <si>
    <t>The company raised venture funding from Precursor Ventures, Kairos Society and Rosecliff Venture Partners on an undisclosed date. Bullpen Capital, GingerBread Capital and Cleo Capital also participated in the round.</t>
  </si>
  <si>
    <t>Application Software, Information Services (B2C)*, Other Services (B2C Non-Financial)</t>
  </si>
  <si>
    <t>LOHAS &amp; Wellness, TMT</t>
  </si>
  <si>
    <t>custom meal plans, meals planning assistant, personal meals planning assistant, personalized grocery, personalized recipes</t>
  </si>
  <si>
    <t>Christina Bognet</t>
  </si>
  <si>
    <t>59036-23P</t>
  </si>
  <si>
    <t>+1 (628) 400-2665</t>
  </si>
  <si>
    <t>christina@platejoy.com</t>
  </si>
  <si>
    <t>Ms. Christina Bognet is a Co-Founder and serves as Chief Executive Officer at PlateJoy. She served as Analyst at Health Advances. She holds a BS in Neuroscience from Massachusetts Institute of Technology (MIT).</t>
  </si>
  <si>
    <t>Massachusetts Institute of Technology (MIT), BS (Bachelor of Science), 2010, Neuroscience</t>
  </si>
  <si>
    <t>The company graduated from Y Combinator as a part of the Summer 2015 class and received $120,000 in funding on August 19, 2015.</t>
  </si>
  <si>
    <t>Y Combinator Continuity Fund I(Y Combinator)</t>
  </si>
  <si>
    <t>Reitler Kailas &amp; Rosenblatt (Legal Advisor to Company)</t>
  </si>
  <si>
    <t>www.platejoy.com</t>
  </si>
  <si>
    <t>103237-57T</t>
  </si>
  <si>
    <t>Please Assist Me</t>
  </si>
  <si>
    <t>227007-82</t>
  </si>
  <si>
    <t>Developer of an online platform designed to provide personal home assistants and comprehensive in-home assistance service. The company's platform connects users to a personal assistant team that completes requested household needs such as grocery delivery, dry-cleaning, laundry, mail and lighthouse cleaning, enabling users to manage their household while maintaining work-life balance.</t>
  </si>
  <si>
    <t>The company closed on $220,000 of a planned $500,000 round of venture funding on July 24, 2020. Also, the company joined Techstars as part of Atlanta Accelerator program on July 13, 2020 and received $20,000 in funding, putting the company's pre-money valuation at $313,333.</t>
  </si>
  <si>
    <t>Mobile</t>
  </si>
  <si>
    <t>home assistant company, home management system, household assistant, household care, household tasks</t>
  </si>
  <si>
    <t>Stephanie Cummings</t>
  </si>
  <si>
    <t>182243-08P</t>
  </si>
  <si>
    <t>+1 (888) 257-8305</t>
  </si>
  <si>
    <t>scummings@pleaseassistme.com</t>
  </si>
  <si>
    <t>Ms. Stephanie Cummings is a Co-Founder of Please Assist Me and serves as its Chief Executive Officer and Board Member.</t>
  </si>
  <si>
    <t>The company joined The Company Lab on an undisclosed date.</t>
  </si>
  <si>
    <t>The Company Lab</t>
  </si>
  <si>
    <t>The Company Lab(www.colab.co)</t>
  </si>
  <si>
    <t>Nashville, TN</t>
  </si>
  <si>
    <t>Nashville</t>
  </si>
  <si>
    <t>Tennessee</t>
  </si>
  <si>
    <t>37219</t>
  </si>
  <si>
    <t>www.pleaseassistme.com</t>
  </si>
  <si>
    <t>123294-25T</t>
  </si>
  <si>
    <t>The company joined Backstage Capital as a part of its first cohort of Accelerator Program on March 15, 2019 and received $100,000 in funding.</t>
  </si>
  <si>
    <t>Backstage Capital</t>
  </si>
  <si>
    <t>Backstage Capital(www.backstagecapital.com)</t>
  </si>
  <si>
    <t>156584-89T</t>
  </si>
  <si>
    <t>The company joined Techstars as part of Atlanta Accelerator program on July 13, 2020 and received $20,000 in funding, putting the company's pre-money valuation at $313,333.</t>
  </si>
  <si>
    <t>116980-57T</t>
  </si>
  <si>
    <t>Porch</t>
  </si>
  <si>
    <t>57322-81</t>
  </si>
  <si>
    <t>Developer of a home improvement platform designed to connect homeowners with home repair and maintenance professionals. The company's platform uses a data-driven approach to find local plumbers, electricians, painters and carpenters as well as compares home improvement projects in detail, enabling house owners to find suitable and qualified professionals for home repair in a hassle free manner.</t>
  </si>
  <si>
    <t>The company reached a definitive agreement to acquire PropTech Acquisition (NAS: PTAC) through a reverse merger, resulting in the combined entity trading on the Nasdaq Capital Market under the ticker symbol PRCH on July 31, 2020. The company is being actively tracked by PitchBook.</t>
  </si>
  <si>
    <t>home improvement network, home improvement project, house maintenance service, house repair network, house repair service</t>
  </si>
  <si>
    <t>Matthew Ehrlichman</t>
  </si>
  <si>
    <t>39749-77P</t>
  </si>
  <si>
    <t>+1 (800) 604-2454</t>
  </si>
  <si>
    <t>matt@porch.com</t>
  </si>
  <si>
    <t>Mr. Matthew Ehrlichman is a Co-Founder of Porch and serves as its Chairman and Chief Executive Officer. Prior to founding Porch, he served as Chief Strategy Officer at Active Network, responsible for 85% of the company's P&amp;L. He joined Active Network in 2007 and helped grow its revenues from $65 million in 2006 to $420 million during its IPO in 2011. Prior to Active Network, he co-founded and served as Chief Executive Officer at Thriva, which was acquired by Active Network in March 2007 for $60 million. In 2014, he was named USA TODAY's Inaugural Entrepreneur of the Year. He received his Bachelor of Science in Entrepreneurial Engineering and Master of Science in Management Science and Engineering from Stanford University.</t>
  </si>
  <si>
    <t>Stanford University, BS (Bachelor of Science), 2003, Entrepreneurial Engineering; Stanford University, MS (Master of Science), 2003, Management Science and Engineering</t>
  </si>
  <si>
    <t>The company joined Moderne Ventures as part of the Passport Program on January 24, 2019.</t>
  </si>
  <si>
    <t>Moderne Ventures</t>
  </si>
  <si>
    <t>Moderne Ventures(www.moderneventures.com)</t>
  </si>
  <si>
    <t>Moderne Ventures(Constance Freedman)</t>
  </si>
  <si>
    <t>Dorsey &amp; Whitney (Legal Advisor to Company, Randal Jones JD)</t>
  </si>
  <si>
    <t>Seattle, WA</t>
  </si>
  <si>
    <t>Seattle</t>
  </si>
  <si>
    <t>98134</t>
  </si>
  <si>
    <t>www.porch.com</t>
  </si>
  <si>
    <t>75376-99T</t>
  </si>
  <si>
    <t>Postmates</t>
  </si>
  <si>
    <t>54309-16</t>
  </si>
  <si>
    <t>Operator of an on-demand delivery platform intended to transform the way goods move around cities by enabling anyone to have anything delivered on-demand. The company's platform is an urban logistics platform that connects customers with local couriers who can deliver anything from any store or restaurant in minutes, enabling communities to shop local with no waiting.</t>
  </si>
  <si>
    <t>The company reached a definitive agreement to be acquired by Uber (NYS: UBER) for $2.65 billion on July 6, 2020. Previously, the company confidentially filed for an initial public offering on February 7, 2019. Subsequently, the offering was postponed on October 8, 2019. The company is being actively tracked by PitchBook.</t>
  </si>
  <si>
    <t>Logistics, Other Services (B2C Non-Financial)*</t>
  </si>
  <si>
    <t>FoodTech, Mobility Tech, Restaurant Technology, Supply Chain Tech</t>
  </si>
  <si>
    <t>cloud kitchen, food delivery service, food delivery system, ghost kitchen, local commerce, logistics platform, logistics platform software, mobility tech, ondemand delivery platform, supply chain tech, urban logistics platform</t>
  </si>
  <si>
    <t>Debt Financed, M&amp;A, Private Equity, Venture Capital</t>
  </si>
  <si>
    <t>Bastian Lehmann</t>
  </si>
  <si>
    <t>41367-79P</t>
  </si>
  <si>
    <t>bastian@postmates.com</t>
  </si>
  <si>
    <t>Mr. Bastian Lehmann is a Co-Founder and serves as Chief Executive Officer &amp; Chairman at Postmates. Mr. Lehmann previously served as the co-founder of Curated.by Inc. from September 2009 to December 2010. Prior to that, he served as the vice president of product development at Zensify Ltd.</t>
  </si>
  <si>
    <t>The company joined AngelPad on March 1, 2011 and received $60,000 in funding.</t>
  </si>
  <si>
    <t>AngelPad</t>
  </si>
  <si>
    <t>AngelPad(www.angelpad.com)</t>
  </si>
  <si>
    <t>AngelPad(Thomas Korte)</t>
  </si>
  <si>
    <t>www.postmates.com</t>
  </si>
  <si>
    <t>71202-70T</t>
  </si>
  <si>
    <t>PreFix</t>
  </si>
  <si>
    <t>159115-42</t>
  </si>
  <si>
    <t>Provider of home maintenance services intended to assist homeowners in maintaining their homes. The company's services include appointment fixes for plumbing, HVAC failures and appliances repairing, enabling homeowners and property managers to find and book home maintenance and repairs personnel at reasonable cost.</t>
  </si>
  <si>
    <t>The company raised $4.89 million of seed funding in a deal led by Chicago Ventures on July 1, 2019, putting the company's pre-money valuation at $7.3 million. Right Side Capital Management, Firebrand Ventures, Brand Foundry Ventures, and Central Texas Angel Network also participated in the round.</t>
  </si>
  <si>
    <t>TMT</t>
  </si>
  <si>
    <t>home appliances repair, home maintenance platform, home management, home management services, preventive maintenance</t>
  </si>
  <si>
    <t>James Bilodeau</t>
  </si>
  <si>
    <t>137230-93P</t>
  </si>
  <si>
    <t>+1 (512) 831-4390</t>
  </si>
  <si>
    <t>james.bilodeau@prefixinc.com</t>
  </si>
  <si>
    <t>Mr. James Bilodeau is the Founder and serves as Chief Executive Officer at PreFix. He was the head of Emerging Markets Finance Group at World Economic Forum. He also serves as a Director of Program Management and Strategy at mid-stage Austin startup focused on electronic payments.</t>
  </si>
  <si>
    <t>Brown University, BA (Bachelor of Arts), East Asian Studies; Keio University, Degree; University of Chicago, MBA (Master of Business Administration), Strategic Management</t>
  </si>
  <si>
    <t>The company joined Capital Factory on an undisclosed date. Moonshots Capital participated in this round.</t>
  </si>
  <si>
    <t>Capital Factory, Moonshots Capital</t>
  </si>
  <si>
    <t>Capital Factory(www.capitalfactory.com), Moonshots Capital(www.moonshotscapital.com)</t>
  </si>
  <si>
    <t>78704</t>
  </si>
  <si>
    <t>www.prefixinc.com</t>
  </si>
  <si>
    <t>92666-35T</t>
  </si>
  <si>
    <t>The company joined Techstars as a part of its Class 91 of Boulder Q1 programme on January 24, 2017.</t>
  </si>
  <si>
    <t>98964-55T</t>
  </si>
  <si>
    <t>Press (Other Services (B2C Non-Financial))</t>
  </si>
  <si>
    <t>167273-47</t>
  </si>
  <si>
    <t>Developer of a mobile application designed to simplify the process of laundry and dry cleaning service. The company's application provides quality guarantee laundry service featuring effortless scheduling, online bill payment, eco-friendly and safe cleaning and trip skipping, enabling users to easily schedule, manage, and pay for their pickup and deliveries from anywhere.</t>
  </si>
  <si>
    <t>The company raised $500,000 of venture funding from RSH Ventures on August 9, 2017. Rob Taylor, Jonathan Coon, Chuck Gordon, Mario Feghali and Mike Bennett also participated in the round. The company intends to use this funding to expand its service footprint deeper into its current service areas, while also expanding into a few new cities through the end of the year.</t>
  </si>
  <si>
    <t>dry cleaning applications, dry cleaning service provider, laundry, laundry application, laundry service, laundry service provider</t>
  </si>
  <si>
    <t>Ryan Harmon</t>
  </si>
  <si>
    <t>176588-47P</t>
  </si>
  <si>
    <t>+1 (512) 522-6489</t>
  </si>
  <si>
    <t>ryan@presscleaners.com</t>
  </si>
  <si>
    <t>Mr. Ryan Harmon is a Co-Founder of Press and also serves as its Chief Executive Officer.</t>
  </si>
  <si>
    <t>The company joined Longhorn Startup as a part of its Spring 2016 Class in 2016.</t>
  </si>
  <si>
    <t>www.presscleaners.com</t>
  </si>
  <si>
    <t>98964-82T</t>
  </si>
  <si>
    <t>The company joined Capital Factory in January 2017.</t>
  </si>
  <si>
    <t>Capital Factory IV(Capital Factory)</t>
  </si>
  <si>
    <t>78880-78T</t>
  </si>
  <si>
    <t>REFILL (Alcohol Deliveries)</t>
  </si>
  <si>
    <t>168409-36</t>
  </si>
  <si>
    <t>Provider of an alcohol delivery service. The company develops a mobile application which enables users to order alcohol from grocery and liquor stores in Columbus.</t>
  </si>
  <si>
    <t>The company joined The Bunker Incubator on October 12, 2016. Prior to this, the company joined Lumos Innovation and received $20,000 in funding on September 24, 2016 and also received $30,000 of debt financing from Huntington National Bank and other undisclosed lenders via Kiva Microfunds on August 17, 2016. As a part of this transaction, $20,000 was provided by Huntington National Bank.</t>
  </si>
  <si>
    <t>alcohol delivery, alcohol delivery app, alcohol ordering app</t>
  </si>
  <si>
    <t>Debt Financed, Pre-venture</t>
  </si>
  <si>
    <t>Anthony Reynolds</t>
  </si>
  <si>
    <t>150692-14P</t>
  </si>
  <si>
    <t>Mr. Anthony Reynolds served as Chief Marketing Officer at REFILL (Alcohol Deliveries).</t>
  </si>
  <si>
    <t>The company joined The Bunker Incubator on October 12, 2016.</t>
  </si>
  <si>
    <t>Bunker Labs</t>
  </si>
  <si>
    <t>Bunker Labs(www.bunkerlabs.org)</t>
  </si>
  <si>
    <t>Columbus, OH</t>
  </si>
  <si>
    <t>Columbus</t>
  </si>
  <si>
    <t>Ohio</t>
  </si>
  <si>
    <t>www.alcoholtogo.com</t>
  </si>
  <si>
    <t>78880-87T</t>
  </si>
  <si>
    <t>Estimated</t>
  </si>
  <si>
    <t>The company joined Lumos Innovation and received $20,000 in funding on September 24, 2016.</t>
  </si>
  <si>
    <t>Lumos Innovation</t>
  </si>
  <si>
    <t>Lumos Innovation(lumosinnovation.com)</t>
  </si>
  <si>
    <t>96672-34T</t>
  </si>
  <si>
    <t>ShopHero</t>
  </si>
  <si>
    <t>124928-92</t>
  </si>
  <si>
    <t>Provider of an e-commerce platform intended to offer grocery home delivery. The company's platform maintains an exclusive database describing over 1,200,000 products including images and labeling and is monitored around the clock by seasoned IT professionals, enabling supermarket operators in expanding their presence online and successfully engaging their customers digitally.</t>
  </si>
  <si>
    <t>The company raised $10,000 of angel funding from an undisclosed investor of November 1, 2017.</t>
  </si>
  <si>
    <t>Internet Retail, Social/Platform Software*</t>
  </si>
  <si>
    <t>E-Commerce, FoodTech, TMT</t>
  </si>
  <si>
    <t>grocery delivery, grocery shopping, virtual marketplace</t>
  </si>
  <si>
    <t>Matthew Garner</t>
  </si>
  <si>
    <t>60049-54P</t>
  </si>
  <si>
    <t>+1 (801) 690-4201</t>
  </si>
  <si>
    <t>matt.garner@shophero.com</t>
  </si>
  <si>
    <t>Mr. Matthew Garner is a Co-Founder, Chief Executive Officer &amp; Board Member at ShopHero. He was previously a Chief Scientist at Findmypast and Mocavo.</t>
  </si>
  <si>
    <t>University of Utah, Degree, 2008, Business Administration &amp; Economics; Weber State University, Degree, 2006, Physics</t>
  </si>
  <si>
    <t>The company joined BoomStartup as a part of its Spring 2016 Cohort on July 27, 2016.</t>
  </si>
  <si>
    <t>BoomStartup</t>
  </si>
  <si>
    <t>BoomStartup(www.boomstartup.com)</t>
  </si>
  <si>
    <t>Provo, UT</t>
  </si>
  <si>
    <t>Provo</t>
  </si>
  <si>
    <t>Utah</t>
  </si>
  <si>
    <t>84601</t>
  </si>
  <si>
    <t>www.shophero.com</t>
  </si>
  <si>
    <t>117198-46T</t>
  </si>
  <si>
    <t>Skipper</t>
  </si>
  <si>
    <t>227676-52</t>
  </si>
  <si>
    <t>Developer of an on-demand dog walking platform created to offer trusted pet care for busy people. The company's platform utilizes GPS tracking technology to simplify the on-demand scheduling and visit coordination of the dog walk as well as provides on-site dog daycare, boarding, grooming facilities and consultation to learn about pet's personality, behavior and any health issues, providing pet owners and dog lovers to get technology-enabled in-home pet care experience.</t>
  </si>
  <si>
    <t>The company raised an estimated $2.88 million through a combination of Seed-A and Seed-B funding from undisclosed investors on February 20, 2019, putting the company's pre-money valuation at $9 million.</t>
  </si>
  <si>
    <t>Pet Technology, TMT</t>
  </si>
  <si>
    <t>dog care center, dog walking application, dog walking assistance, dog walking portal, dog walking service, dog walking software, pet care services, pet technology vertical</t>
  </si>
  <si>
    <t>Meghan Williams</t>
  </si>
  <si>
    <t>183675-16P</t>
  </si>
  <si>
    <t>+1 (704) 575-6007</t>
  </si>
  <si>
    <t>meggie@walkskipper.com</t>
  </si>
  <si>
    <t>Ms. Meghan Williams is a Co-Founder and serves as Chief Executive Officer, President &amp; Board Member at Skipper. After graduating from UNC, she moved to NYC to join the corporate world but enjoyed watching her neighbors' pets more, so she started a Manhattan-based dog walking business.</t>
  </si>
  <si>
    <t>University of North Carolina, Graduate</t>
  </si>
  <si>
    <t>The company joined Techstars' Austin Class of 2018 on January 22, 2018 and received $120,000 in funding.</t>
  </si>
  <si>
    <t>28208</t>
  </si>
  <si>
    <t>www.walkskipper.com</t>
  </si>
  <si>
    <t>116825-86T</t>
  </si>
  <si>
    <t>Smarter Home</t>
  </si>
  <si>
    <t>265740-13</t>
  </si>
  <si>
    <t>Provider of home improvement services intended to offer maintenance free home. The company's services include door and slider Installations, snow removal,, leaf cleanups and gutter cleaning, enabling customers to benefit from honest, reliable and quality work.</t>
  </si>
  <si>
    <t>The company raised an undisclosed amount of venture funding from Hall Venture Partners on an undisclosed date.</t>
  </si>
  <si>
    <t>gutter cleanup services, internet of things, leaf cleanup services, slider installation services, smart home</t>
  </si>
  <si>
    <t>Richard DeNardo</t>
  </si>
  <si>
    <t>202753-27P</t>
  </si>
  <si>
    <t>+1 (508) 776-5140</t>
  </si>
  <si>
    <t>rdenardo@smarterhomeinc.com</t>
  </si>
  <si>
    <t>Mr. Richard DeNardo is the Founder of Smarter Home. With over 14 years of construction experience in Cape Cod working along leading contractors as well as learning from his father at a young age, he brings quality and professional work for his customers. He also collaborates closely with other contractors to establish and execute work responsibilities when needed.</t>
  </si>
  <si>
    <t>The company joined Hall Labs (Utah) on an undisclosed date.</t>
  </si>
  <si>
    <t>Hall Labs (Utah)</t>
  </si>
  <si>
    <t>Hall Labs (Utah)(halllabs.com)</t>
  </si>
  <si>
    <t>Hall Labs (Utah)(David Hall)</t>
  </si>
  <si>
    <t>Sandwich, MA</t>
  </si>
  <si>
    <t>Sandwich</t>
  </si>
  <si>
    <t>Massachusetts</t>
  </si>
  <si>
    <t>02563</t>
  </si>
  <si>
    <t>www.smarterhomeinc.com</t>
  </si>
  <si>
    <t>57057-13T</t>
  </si>
  <si>
    <t>Spiffy</t>
  </si>
  <si>
    <t>123624-91</t>
  </si>
  <si>
    <t>Developer of a mobile application designed to maintain fleet vehicles throughout its lifecycle. The company's application offers a variety of car washing, detailing, and maintenance service options, from hand car washing to advanced detailing and oil changes to manage their vehicle in-fleeting, preventative maintenance and de-fleeting, enabling vehicle owners to utilize a fleet-friendly application to schedule, track, rate and pay for vehicle services.</t>
  </si>
  <si>
    <t>The company raised an undisclosed amount of venture funding from Shell Ventures on March 11, 2020. Previously, the company raised $10 million of Series A venture funding in a deal led by Tribeca Venture Partners on June 26, 2019, putting the company's pre-money valuation at $23.04 million. IDEA Fund Partners, Elevate Innovation Partners, Bull City Venture Partners, Trog Hawley Capital, Zunis Investments, and Colopy Ventures also participated in this round. The funds will be used to expand business into six new markets with Fleet Management as a Service (FMaaS) and rolling out FMaaS in existing markets of Atlanta, Charlotte, Dallas-Fort Worth, Los Angeles and Raleigh-Durham.</t>
  </si>
  <si>
    <t>Transportation</t>
  </si>
  <si>
    <t>Automotive</t>
  </si>
  <si>
    <t>Application Software, Automotive*, Other Services (B2C Non-Financial)</t>
  </si>
  <si>
    <t>car washing application, car washing books, carsharing service, commercial power washing, mobile auto detailing, mobile oil change</t>
  </si>
  <si>
    <t>Karl Murphy</t>
  </si>
  <si>
    <t>113198-86P</t>
  </si>
  <si>
    <t>+1 (844) 438-7743</t>
  </si>
  <si>
    <t>karl@getspiffynow.com</t>
  </si>
  <si>
    <t>Mr. Karl Murphy is a Co-Founder and serves as the President and a Board Member at Get Spiffy. Karl Murphy spent nearly a decade attempting to perfect the car washing experience at his two fixed car wash locations in Cary and Apex, NC. But, after years of research, tweaks and listening to customer feedback, Karl realized he'd handed himself an impossible task. Everyone wants a clean car, but no one wants to spend their valuable time getting it washed. No fixed car wash location could ever provide customers with the combination of convenience and cleanliness that they crave. Understanding this, Karl began experimenting with a mobile car washing and detailing service in 2012. The service took off, with the demand quickly growing beyond the capabilities of his initial one van operation. Karl took things up a notch in 2014, launching Spiffy to allow his great customers to conveniently schedule, track and pay for high-quality car washing services at the time and location of their choosing through the Spiffy app. Built for people who loathe inefficiency and love a clean car, Spiffy turns any parking space into a car wash, connecting customers with Spiffy's trained technicians for the best washing and detailing service around. Spiffy redefines the entire car washing experience. No longer do consumers have to deal with inconvenient, inconsistent and frustrating visits to fixed car wash locations. With Spiffy, customers can do more than just wash their car with their phone - they can leave their vehicle looking spiffier than ever.</t>
  </si>
  <si>
    <t>Georgetown University, BA (Bachelor of Arts), 1989, international relations</t>
  </si>
  <si>
    <t>The company joined Launch Chapel Hill on an undisclosed date.</t>
  </si>
  <si>
    <t>Launch Chapel Hill</t>
  </si>
  <si>
    <t>Launch Chapel Hill(www.launchchapelhill.com)</t>
  </si>
  <si>
    <t>Durham, NC</t>
  </si>
  <si>
    <t>Durham</t>
  </si>
  <si>
    <t>27703</t>
  </si>
  <si>
    <t>www.getspiffy.com</t>
  </si>
  <si>
    <t>98685-10T</t>
  </si>
  <si>
    <t>The company joined Blackstone Entrepreneurs Network on September 15, 2015.</t>
  </si>
  <si>
    <t>Blackstone Entrepreneurs Network</t>
  </si>
  <si>
    <t>Blackstone Entrepreneurs Network(www.blackstoneentrepreneursnetwork.org)</t>
  </si>
  <si>
    <t>124948-54T</t>
  </si>
  <si>
    <t>Suna Breakfast</t>
  </si>
  <si>
    <t>314615-89</t>
  </si>
  <si>
    <t>Developer of a food deliver application designed to provide fresh breakfast on and off campus. The company's application provides healthy breakfast options at a cheaper price and lets the user place the order a night prior, enabling students to get the breakfast deliver to them fresh and in time.</t>
  </si>
  <si>
    <t>The company joined eLab Accelerator in 2019 and received $5,000 in funding.</t>
  </si>
  <si>
    <t>breakfast ordering, ecommerce app, food delivery app, online breakfast ordering, online food delivery</t>
  </si>
  <si>
    <t>Christophe Gerlach</t>
  </si>
  <si>
    <t>213380-11P</t>
  </si>
  <si>
    <t>Mr. Christophe Gerlach is a Co-Founder of Suna Breakfast.</t>
  </si>
  <si>
    <t>eLab Accelerator</t>
  </si>
  <si>
    <t>eLab Accelerator(www.elabstartup.com)</t>
  </si>
  <si>
    <t>Ithaca, NY</t>
  </si>
  <si>
    <t>Ithaca</t>
  </si>
  <si>
    <t>www.sunabreakfast.com</t>
  </si>
  <si>
    <t>124950-97T</t>
  </si>
  <si>
    <t>The company joined Life Changing Labs in summer 2018 and received $3,000 in funding.</t>
  </si>
  <si>
    <t>Life Changing Labs</t>
  </si>
  <si>
    <t>Life Changing Labs(lifechanginglabs.com)</t>
  </si>
  <si>
    <t>120664-54T</t>
  </si>
  <si>
    <t>Super (Application Software)</t>
  </si>
  <si>
    <t>127754-47</t>
  </si>
  <si>
    <t>Provider of a subscription-based service designed to reinvent the homeownership experience. The company's service provides home repair and maintenance services that cover repairs and breakdowns on appliances and home systems, enabling homeowners to access to a dedicated service that provides premium care and maintenance for their homes without the headaches of exorbitant fees.</t>
  </si>
  <si>
    <t>Fifth Wall sold its stake in the company to undisclosed buyers.</t>
  </si>
  <si>
    <t>SaaS</t>
  </si>
  <si>
    <t>home care, home repair, home subscription service, repair service, repair subscription service, subscription-based</t>
  </si>
  <si>
    <t>Jorey Ramer</t>
  </si>
  <si>
    <t>119052-10P</t>
  </si>
  <si>
    <t>+1 (844) 997-8737</t>
  </si>
  <si>
    <t>jorey@hellosuper.com</t>
  </si>
  <si>
    <t>Mr. Jorey Ramer is a Co-Founder and serves as the Chief Executive Officer at Super (Sacramento). Prior to Super, he founded and served as the Senior Vice President of Emerging Business at Jumptap, which was acquired by Millennial Media (NYSE: MM) for over $200 million. He began his career helping start two business units of Trilogy Software, one of the world's largest privately-held software companies, based in Austin, Texas. He was instrumental in co-founding Trilogy's financial services division, the largest unit by revenue within two years. Leveraging this technology, he and a dedicated team spun off a company that was acquired by Fortune 500 member Marsh &amp; McLennan, a diversified risk, insurance, and professional services firm. He earned his Bachelor of Science in Computer Science &amp; Engineering degree from the Massachusetts Institute of Technology. He is the first named inventor on over 100 issued patents in the US, Japan, and Korea.</t>
  </si>
  <si>
    <t>Massachusetts Institute of Technology (MIT), BS (Bachelor of Science), Computer Science &amp; Engineering</t>
  </si>
  <si>
    <t>The company joined Moderne Ventures as a part of its 2018 Midyear Passport Program on August 14, 2018.</t>
  </si>
  <si>
    <t>www.hellosuper.com</t>
  </si>
  <si>
    <t>57309-76T</t>
  </si>
  <si>
    <t>The Town Kitchen</t>
  </si>
  <si>
    <t>119961-82</t>
  </si>
  <si>
    <t>Developer of a box meal delivery application designed to inspire community growth. The company's platform offers a food delivery application including chef-crafted food preparation and delivery service which employs low-income youths to cook, pack and deliver lunch boxes to companies and individuals, aenabling people to get homemade food and employing underserved youth at the same time.</t>
  </si>
  <si>
    <t>The company was approved for a Paycheck Protection Program Loan in the range of $150,000-350,000 from Beneficial State Bank on April, 27 2020. The application cited 57 jobs to be retained with the financing.</t>
  </si>
  <si>
    <t>Application Software, Food Products*, Other Services (B2C Non-Financial)</t>
  </si>
  <si>
    <t>boxes meals provider, chef-crafted food delivery, food delivery, food delivery app, food delivery service, meals delivery</t>
  </si>
  <si>
    <t>Debt Financed, M&amp;A, Venture Capital</t>
  </si>
  <si>
    <t>Sabrina Mutukisna</t>
  </si>
  <si>
    <t>113640-67P</t>
  </si>
  <si>
    <t>Ms. Sabrina Mutukisna co-founded and served as President, Board Member and Chief Executive Officer at The Town Kitchen.</t>
  </si>
  <si>
    <t>University of California, Berkeley, BA (Bachelor of Arts), Film Studies</t>
  </si>
  <si>
    <t>The company joined Tumml and received $20,000 in funding on January 13, 2015.</t>
  </si>
  <si>
    <t>Tumml</t>
  </si>
  <si>
    <t>Tumml(www.tumml.org)</t>
  </si>
  <si>
    <t>Hanson Bridgett (Legal Advisor to Company)</t>
  </si>
  <si>
    <t>Oakland, CA</t>
  </si>
  <si>
    <t>Oakland</t>
  </si>
  <si>
    <t>94601</t>
  </si>
  <si>
    <t>www.thetownkitchen.com</t>
  </si>
  <si>
    <t>72174-34T</t>
  </si>
  <si>
    <t>The company joined Skydeck | Berkeley as part of the Fall 2016 Cohort on May 31, 2016.</t>
  </si>
  <si>
    <t>Berkeley SkyDeck</t>
  </si>
  <si>
    <t>Berkeley SkyDeck(skydeck.berkeley.edu)</t>
  </si>
  <si>
    <t>109820-62T</t>
  </si>
  <si>
    <t>Vertoe</t>
  </si>
  <si>
    <t>231485-68</t>
  </si>
  <si>
    <t>Developer of a platform intended to provide on-demand short term storage to safely store bags or personal items for a few hours or days. The company's platform aims to bring low-cost, accessible storage for things such as luggage, gym bags, and strollers and also gives complimentary tamper-proof seals and an additional money guarantee on booking to ensure safety, enabling tourists to explore nearby locations hassle-free without worrying about their luggage</t>
  </si>
  <si>
    <t>The company raised $2 million of angel funding in the from of convertible debt from undisclosed investors on December 12, 2019.</t>
  </si>
  <si>
    <t>luggage storage finder, luggage storage services, storage platform, storage provider, suitcases stores system</t>
  </si>
  <si>
    <t>Siddharth Khattri</t>
  </si>
  <si>
    <t>190582-75P</t>
  </si>
  <si>
    <t>+1 (650) 215-8178</t>
  </si>
  <si>
    <t>sid@vertoe.com</t>
  </si>
  <si>
    <t>Mr. Siddharth Khattri is a Co-Founder and serves as Chief Executive Officer, Board Member &amp; President at Vertoe.</t>
  </si>
  <si>
    <t>The company joined Techstars as part of the NYC 2018 Q1 Class 115 on April 12, 2018 and received $120,000 in funding. As a part of transaction, $100,000 was received as convertible debt financing.</t>
  </si>
  <si>
    <t>Techstars(KJ Singh)</t>
  </si>
  <si>
    <t>Techstars Toronto 2018(Techstars)</t>
  </si>
  <si>
    <t>10033</t>
  </si>
  <si>
    <t>www.vertoe.com</t>
  </si>
  <si>
    <t>38944-63T</t>
  </si>
  <si>
    <t>Youbeo</t>
  </si>
  <si>
    <t>83340-55</t>
  </si>
  <si>
    <t>Developer of a platform intended to provide on-demand food delivery logistics services. The company's platform provides delivery management services, where the users can order their sandwiches and other food items at a push of single button from campus restaurants, enabling students to get on-demand ordering assistance.</t>
  </si>
  <si>
    <t>The company raised $2.5 million of seed funding from KohFounders, Joe Caruso and Sean Glass on an undisclosed date. Semyon Dukach and Bantam Group also participated in the round.</t>
  </si>
  <si>
    <t>food delivery, food delivery app, food delivery logistics, food delivery service, online food ordering</t>
  </si>
  <si>
    <t>Judd Rosenblatt</t>
  </si>
  <si>
    <t>83414-53P</t>
  </si>
  <si>
    <t>jrosenblatt@youbeo.com</t>
  </si>
  <si>
    <t>Mr. Judd Rosenblatt is a Co-Founder and serves as Chief Executive Officer at Youbeo.</t>
  </si>
  <si>
    <t>Yale University, BA (Bachelor of Arts), 2011</t>
  </si>
  <si>
    <t>The company joined Betaspring, and received $430,000 of seed funding on April, 2013.</t>
  </si>
  <si>
    <t>RevUp Capital</t>
  </si>
  <si>
    <t>RevUp Capital(www.revupfund.com)</t>
  </si>
  <si>
    <t>RevUp Capital(Allan Tear)</t>
  </si>
  <si>
    <t>Betaspring Fund(RevUp Capital)</t>
  </si>
  <si>
    <t>Marina del Rey, CA</t>
  </si>
  <si>
    <t>Marina del Rey</t>
  </si>
  <si>
    <t>90292</t>
  </si>
  <si>
    <t>www.youbeo.com</t>
  </si>
  <si>
    <t>141004-36T</t>
  </si>
  <si>
    <t>Blueland</t>
  </si>
  <si>
    <t>265647-25</t>
  </si>
  <si>
    <t>Developer of an eco-friendly cleaning kit designed to eliminate grease and grime with non-toxic ingredients. The company's offerings include a refillable cleaning kit, which includes a reusable shatterproof bottle and refill tablets that create an effective cleaning solution when added with water, enabling customers to clean their houses and belongings with ease and in an affordable manner.</t>
  </si>
  <si>
    <t>The company raised $270,000 of angel funding from Kevin O'Leary on October 4, 2019, putting the company's pre-money valuation at $8.73 million.</t>
  </si>
  <si>
    <t>Household Products</t>
  </si>
  <si>
    <t>Household Products*</t>
  </si>
  <si>
    <t>bathroom cleaners, cleaning solutions, cleanup kits, nontoxic cleaners, spray cleaners</t>
  </si>
  <si>
    <t>Sarah Yoo</t>
  </si>
  <si>
    <t>141209-65P</t>
  </si>
  <si>
    <t>sarah@blueland.com</t>
  </si>
  <si>
    <t>Ms. Sarah Yoo is a Co-Founder and serves as Chief Executive Officer at Blueland. She serves as the Chief Marketing Office at Launch. She served as Chief Marketing Officer at Rockets of Awesome.</t>
  </si>
  <si>
    <t>Angel</t>
  </si>
  <si>
    <t>Angel (individual)</t>
  </si>
  <si>
    <t>Kevin O'Leary</t>
  </si>
  <si>
    <t>Kevin O'Leary(www.kevinoleary.com)</t>
  </si>
  <si>
    <t>Kevin O'Leary(Kevin O'Leary)</t>
  </si>
  <si>
    <t>10001</t>
  </si>
  <si>
    <t>www.blueland.com</t>
  </si>
  <si>
    <t>89887-51T</t>
  </si>
  <si>
    <t>Chowbus</t>
  </si>
  <si>
    <t>182630-89</t>
  </si>
  <si>
    <t>Developer of an online food ordering platform intended to offer authentic Asian food to people. The company's platform offers a dish-centric mobile ordering experience while empowering local ethnic restaurants with the technology, tools and marketing to grow their business, thereby enabling people to easily order quality ethnic food.</t>
  </si>
  <si>
    <t>The company raised $33 million of Series A venture funding from FJ Labs, Fika Ventures and Slojo Investments on July 22, 2020. Altos Ventures, Left Lane Capital, Hyde Park Angels, Starting Line and Silicon Valley Bank also participated in the round. The funds will be used to continue to grow the company's existing business, launch its platform in new cities and expand its product line, while continuing to support the restaurants and customers on the platform. Of the total amount, $3 million was originally raised in the form of convertible debt and subsequently converted to Series A equity.</t>
  </si>
  <si>
    <t>FoodTech, Restaurant Technology, TMT</t>
  </si>
  <si>
    <t>food delivery, food delivery app, food ordering app, food ordering platform, online food ordering platform, ordering services</t>
  </si>
  <si>
    <t>Linxin Wen</t>
  </si>
  <si>
    <t>166116-16P</t>
  </si>
  <si>
    <t>+1 (312) 647-9155</t>
  </si>
  <si>
    <t>linxin@chowbus.com</t>
  </si>
  <si>
    <t>Ms. Linxin Wen is a Co-Founder &amp; serves as Chief Executive Officer &amp; Board Member at Chowbus.</t>
  </si>
  <si>
    <t>Degree, Public Administration</t>
  </si>
  <si>
    <t>The company raised $300,000 of angel funding from undisclosed investors on June 28, 2017.</t>
  </si>
  <si>
    <t>Much Shelist (Legal Advisor to Company, Gregory Grove JD)</t>
  </si>
  <si>
    <t>60604</t>
  </si>
  <si>
    <t>www.chowbus.com</t>
  </si>
  <si>
    <t>117524-35T</t>
  </si>
  <si>
    <t>Cinch Home Services</t>
  </si>
  <si>
    <t>129891-07</t>
  </si>
  <si>
    <t>Provider of home management services intended to simplify home-ownership and empower homeowners. The company's services include a variety of home warranty, repair and maintenance services through skilled service technicians, enabling homeowners to solve their household problems every day.</t>
  </si>
  <si>
    <t>The company raised $140,000 of angel funding from undisclosed investors on December 1, 2011. The company will use the funding to generate more than 100 new jobs.</t>
  </si>
  <si>
    <t>appliance repair services, home maintenance, home management, home services, home warranty, household service, hvac maintenance services</t>
  </si>
  <si>
    <t>Steven Upshaw</t>
  </si>
  <si>
    <t>196159-24P</t>
  </si>
  <si>
    <t>+1 (800) 778-8000</t>
  </si>
  <si>
    <t>supshaw@cchs.com</t>
  </si>
  <si>
    <t>Mr. Steven Upshaw serves as Chief Executive Officer at Cinch Home Services. He previously worked at Affinion Group and he rose through a variety of senior management roles, including most recently as company president. He was appointed Chief Executive Officer of CCHS in June 2015. Upshaw is a seasoned veteran in developing and delivering valued consumer solutions through direct affinity partnerships and direct-to-consumer applications utilizing multi-channel marketing techniques. With more than 20 years of experience in managing consumer services and engagement solutions, Upshaw is a proven leader in driving revenue growth, margin expansion, and operational excellence with a focus on customer service. Prior to joining CCHS, Upshaw served as President of Affinion Group and Chief Executive Officer at Global Engagement Solutions. During his tenure with Affinion group, Upshaw served in a variety of capacities with progressive responsibility, including five years as Chief Executive Officer of Affinion International where he lived and worked overseas. Upshaw's other roles included Chief Executive Officer Global Financial Services, Chief Executive Officer, Affinion North America and Chief Operating Officer at Affinion Group. Upshaw holds a Master of Business Administration from Texas A&amp;M University's Mays Business School.</t>
  </si>
  <si>
    <t>Texas A&amp;M University, MBA (Master of Business Administration)</t>
  </si>
  <si>
    <t>Boca Raton, FL</t>
  </si>
  <si>
    <t>Boca Raton</t>
  </si>
  <si>
    <t>33431</t>
  </si>
  <si>
    <t>www.cinchhomeservices.com</t>
  </si>
  <si>
    <t>66547-18T</t>
  </si>
  <si>
    <t>DogBuddy</t>
  </si>
  <si>
    <t>102384-01</t>
  </si>
  <si>
    <t>Provider of an online marketplace designed to connect dog owners with reliable dog sitters. The company's marketplace connects dog owners with vetted, insured and reviewed dog sitters in their local area and helps to find and book doggy daycare, home dog boarding and dog walking, enabling busy dog owners to find local and reliable dog sitters to take care of their dogs whilst they're away from home.</t>
  </si>
  <si>
    <t>The company was acquired by Rover for an undisclosed amount on October 30, 2018. The company is no longer actively tracked by PitchBook.</t>
  </si>
  <si>
    <t>Other Software</t>
  </si>
  <si>
    <t>Other Software*</t>
  </si>
  <si>
    <t>dog board, dog board platform, dog home board, dog sitters, dog walking portal, doggy day care, pet care, pet technology vertical</t>
  </si>
  <si>
    <t>Richard Setterwall</t>
  </si>
  <si>
    <t>96577-93P</t>
  </si>
  <si>
    <t>+44 (0)20 3290 0205</t>
  </si>
  <si>
    <t>richard@dogbuddy.com</t>
  </si>
  <si>
    <t>Mr. Richard Setterwall is a Co-Founder and Board Member at DogBuddy, where he serves as Chief Executive Officer. He has an MS degree in Industrial Management Engineering from Lunds Tekniska Högskola.</t>
  </si>
  <si>
    <t>MS (Master of Science), 2002, Mechanical Engineering; MS (Master of Science), 2005, Industrial Management Engineering; UCLA (Anderson), MS (Master of Science), 2005, Finance &amp; Mathematics</t>
  </si>
  <si>
    <t>The company raised EUR 180,000 of angel funding from Co-Founder Richard Setterwall and other undisclosed angel investors on May 1, 2013.</t>
  </si>
  <si>
    <t>Euros (EUR)</t>
  </si>
  <si>
    <t>London, United Kingdom</t>
  </si>
  <si>
    <t>London</t>
  </si>
  <si>
    <t>EC2V 6DN</t>
  </si>
  <si>
    <t>www.uk.dogbuddy.com</t>
  </si>
  <si>
    <t>47378-35T</t>
  </si>
  <si>
    <t>Easy Dry Clean</t>
  </si>
  <si>
    <t>97943-77</t>
  </si>
  <si>
    <t>Provider of an online platform for dry cleaning and laundry service. The company offers dry cleaning services in a five set time slots daily that consumers can choose from.</t>
  </si>
  <si>
    <t>The company raised angel funding from undisclosed angel investors on October 1, 2014.</t>
  </si>
  <si>
    <t>CleanTech, TMT</t>
  </si>
  <si>
    <t>customer service, laundry service, online scheduling</t>
  </si>
  <si>
    <t>Arya Ardavan</t>
  </si>
  <si>
    <t>96426-46P</t>
  </si>
  <si>
    <t>+44 (0)20 7112 8306</t>
  </si>
  <si>
    <t>arya@ascotsoflondon.co.uk</t>
  </si>
  <si>
    <t>Mr. Arya Ardavan is a Co-Founder of Easy Dry Clean.</t>
  </si>
  <si>
    <t>EC1V 4PW</t>
  </si>
  <si>
    <t>www.ascotsoflondon.co.uk</t>
  </si>
  <si>
    <t>79117-84T</t>
  </si>
  <si>
    <t>John Tyler</t>
  </si>
  <si>
    <t>John Tyler(John Tyler)</t>
  </si>
  <si>
    <t>93644-92T</t>
  </si>
  <si>
    <t>Faveo</t>
  </si>
  <si>
    <t>183681-19</t>
  </si>
  <si>
    <t>Developer of a packing and moving application designed to assist people with packing and loading. The company's application offers on-demand assistance with packing, loading, cleaning and moving by connecting users with nearby people, enabling users to ease their work and helpers to earn money.</t>
  </si>
  <si>
    <t>The company raised $4,793 of product crowdfunding via Indiegogo in 2016. The funds will be used to cover the costs of bringing in key personnel like a marketing director, a web designer and a programer to maintain both the app and websites.</t>
  </si>
  <si>
    <t>cleaning service, moving services, packaging application, packaging services</t>
  </si>
  <si>
    <t>Andrew More</t>
  </si>
  <si>
    <t>170005-69P</t>
  </si>
  <si>
    <t>+1 (916) 445-1254</t>
  </si>
  <si>
    <t>andrewm@faveomoves.com</t>
  </si>
  <si>
    <t>Mr. Andrew More serves as Chief Executive Officer at Faveo.</t>
  </si>
  <si>
    <t>The company raised angel funding on an undisclosed date. The funds were used for development of its application and website.</t>
  </si>
  <si>
    <t>Sacramento, CA</t>
  </si>
  <si>
    <t>Sacramento</t>
  </si>
  <si>
    <t>95834</t>
  </si>
  <si>
    <t>www.faveomoves.com</t>
  </si>
  <si>
    <t>135506-71T</t>
  </si>
  <si>
    <t>Feast</t>
  </si>
  <si>
    <t>227056-33</t>
  </si>
  <si>
    <t>Developer of a food delivery application designed to facilitate online food deliveries at midnight hours. The company's application lets its users enter post code, browse and book menus served by locally available late night restaurants and order meals online via a subscription-based online payment interface, enabling customers to order late-night food items from across multiple restaurants between 7pm and 5am and also enables restaurants to increase sales with no added costs while promoting their brand.</t>
  </si>
  <si>
    <t>The company raised GBP 264,309 of angel funding from undisclosed investors on June 26, 2018, putting the company's pre-money valuation at GBP 3.76 million.</t>
  </si>
  <si>
    <t>Application Software, Food Products, Social/Platform Software*</t>
  </si>
  <si>
    <t>food delivery application, food delivery platform, latenight food delivery, midnight food delivery, online food delivery</t>
  </si>
  <si>
    <t>Simon Pusey</t>
  </si>
  <si>
    <t>182319-85P</t>
  </si>
  <si>
    <t>si@feasthq.com</t>
  </si>
  <si>
    <t>Mr. Simon Pusey is the Founder at Feast &amp; also serves as its Director.</t>
  </si>
  <si>
    <t>The company raised GBP 309,992 of angel funding from undisclosed investors on August 23, 2016, putting the company's pre-money valuation at GBP 346,412.</t>
  </si>
  <si>
    <t>W2 4HQ</t>
  </si>
  <si>
    <t>www.feasthq.com</t>
  </si>
  <si>
    <t>135509-41T</t>
  </si>
  <si>
    <t>Up Round</t>
  </si>
  <si>
    <t>77036-59T</t>
  </si>
  <si>
    <t>FoodBoss</t>
  </si>
  <si>
    <t>167094-73</t>
  </si>
  <si>
    <t>Provider of an online food ordering search engine designed to aggregate multiple food delivery services at one place. The company's search engine helps users to see every online food delivery and pickup service available in a location and compare menu items, prices, delivery times and fees, enabling users to find the best delivery deals available.</t>
  </si>
  <si>
    <t>The company was in talks to receive an undisclosed amount of venture funding in the form of convertible debt on April 8, 2020. Subsequently, the deal was cancelled. Previously, the company raised $2 million of seed funding in a deal led by Cleveland Avenue on March 10, 2019. Other undisclosed investors also participated in the round. The company intends to use the funds to continue to expand operations. The company is being actively tracked by PitchBook.</t>
  </si>
  <si>
    <t>Application Software, Other Services (B2C Non-Financial), Social/Platform Software*</t>
  </si>
  <si>
    <t>food delivery, food delivery website, food ordering portal, food search engine, food search portal, online food delivery, online food ordering</t>
  </si>
  <si>
    <t>Michael DiBenedetto</t>
  </si>
  <si>
    <t>147587-23P</t>
  </si>
  <si>
    <t>+1 (312) 755-3168</t>
  </si>
  <si>
    <t>michael@foodboss.com</t>
  </si>
  <si>
    <t>Mr. Michael DiBenedetto is a Co-Founder of FoodBoss and serves as its Chief Executive Officer and Board Member. He has an MBA degree in Finance from DePaul University in 2013.</t>
  </si>
  <si>
    <t>DePaul University, MBA (Master of Business Administration), 2013, Finance, General; University of Miami, BS (Bachelor of Science), 2011</t>
  </si>
  <si>
    <t>The company raised $2 million of angel funding from undisclosed investors in December 2015. Friends and family also participated in this round.</t>
  </si>
  <si>
    <t>60611</t>
  </si>
  <si>
    <t>www.foodboss.com</t>
  </si>
  <si>
    <t>100930-15T</t>
  </si>
  <si>
    <t>FoodJets</t>
  </si>
  <si>
    <t>224245-18</t>
  </si>
  <si>
    <t>Provider of food delivery service through online platform or application. The company's food delivery service can be tracked after order placement from tons of local restaurants, enabling customers to receive a call and text that their order will arrive at their place in minutes.</t>
  </si>
  <si>
    <t>The company raised $250,000 of angel funding from undisclosed investors on January 2, 2018.</t>
  </si>
  <si>
    <t>Application Software, Other Services (B2C Non-Financial)*, Social/Platform Software</t>
  </si>
  <si>
    <t>food delivery, food delivery platform, food delivery tracking</t>
  </si>
  <si>
    <t>Darren McAdams</t>
  </si>
  <si>
    <t>179023-96P</t>
  </si>
  <si>
    <t>+1 (844) 366-3538</t>
  </si>
  <si>
    <t>darren@foodjets.com</t>
  </si>
  <si>
    <t>Mr. Darren McAdams is the Founder of FoodJets &amp; also serves as its Prseident and Chief Executive Officer.</t>
  </si>
  <si>
    <t>95815</t>
  </si>
  <si>
    <t>www.foodjets.com</t>
  </si>
  <si>
    <t>30173-50T</t>
  </si>
  <si>
    <t>Gousto</t>
  </si>
  <si>
    <t>59149-99</t>
  </si>
  <si>
    <t>Provider of cook-at-home meal kit services designed to offer curated and easy-to-make food. The company's services mainly focus on operating an online platform that provides customized recipes and food boxes with fresh pre-portioned ingredients and easy-to-follow recipes, enabling subscribers to cook delicious and healthy meals at home with less effort.</t>
  </si>
  <si>
    <t>The company raised GBP 33 million through the combination of debt and Series G venture funding from Perwyn Advisors, MMC Ventures and BGF on April 16, 2020, putting the company's pre-money valuation at GBP 456.99 million. Joe Wicks also participated in the round. The investment allows the company to expand its 100-strong tech team in London, accelerate innovation - including next day delivery, customization and significantly scale up its fulfillment capacity.</t>
  </si>
  <si>
    <t>Food Products, Other Services (B2C Non-Financial)*</t>
  </si>
  <si>
    <t>FoodTech, Mobile, Mobility Tech, TMT</t>
  </si>
  <si>
    <t>food platform, fresh ingredients, ingredients delivery, meal kit delivery, mobility tech, recipe kits</t>
  </si>
  <si>
    <t>Timo Boldt</t>
  </si>
  <si>
    <t>57694-51P</t>
  </si>
  <si>
    <t>+44 (0)20 3699 9996</t>
  </si>
  <si>
    <t>timo@gousto.co.uk</t>
  </si>
  <si>
    <t>Mr. Timo Boldt is a Co-Founder and serves as Chief Executive Officer &amp; Board Member at Gousto. Mr. Boldt serves as Board Member at Pollen (marketplace). Prior to that, he served as Vice President and as Associate at Petrus Advisers, special sits hedge fund, Analyst at Rothschild and Intern at BMW.</t>
  </si>
  <si>
    <t>University of Cambridge, MBA (Master of Business Administration), 2016</t>
  </si>
  <si>
    <t>The company raised GBP 1.5 million of angel funding from Angel CoFund and other undisclosed individual investors on September 20, 2013.</t>
  </si>
  <si>
    <t>Angel CoFund</t>
  </si>
  <si>
    <t>Angel CoFund(www.angelcofund.co.uk)</t>
  </si>
  <si>
    <t>Angel CoFund(George Whitehead)</t>
  </si>
  <si>
    <t>Angel CoFund(Angel CoFund)</t>
  </si>
  <si>
    <t>W14 0EE</t>
  </si>
  <si>
    <t>www.gousto.co.uk</t>
  </si>
  <si>
    <t>33709-42T</t>
  </si>
  <si>
    <t>The company raised $300,000 of angel funding from Ian West and Andrea Raffel on May 7, 2014.</t>
  </si>
  <si>
    <t>53815-51T</t>
  </si>
  <si>
    <t>HomeStars</t>
  </si>
  <si>
    <t>92190-43</t>
  </si>
  <si>
    <t>Provider of an online platform intended to connect homeowners with renovators and repairmen. The company's platform partners with local contractors to offer services like basement renovation, interior design, electric wiring, junk removal, appliance repair and others, enabling homeowners to find ideal home professionals for home repair, maintenance and renovation.</t>
  </si>
  <si>
    <t>The company was acquired by HomeAdvisor, a subsidiary of IAC (NASDAQ: IAC), for an undisclosed amount on February 8, 2017. The acquisition of HomeStars is the latest move in HomeAdvisor's larger strategy to build a dominant global business and brand.</t>
  </si>
  <si>
    <t>contractor advertising, contractor searching, contractor seraching platform, home professional network</t>
  </si>
  <si>
    <t>Nancy Peterson</t>
  </si>
  <si>
    <t>107137-36P</t>
  </si>
  <si>
    <t>nancy@homestars.com</t>
  </si>
  <si>
    <t>Ms. Nancy Peterson is a Co-Founder and the Chairman of HomeStars, where she serves as Chief Executive Officer.</t>
  </si>
  <si>
    <t>MBA (Master of Business Administration), 1992; Western University, BA (Bachelor of Arts), 1986, Political Science</t>
  </si>
  <si>
    <t>The company raised $500,000 of angel funding from undisclosed investors in 2007.</t>
  </si>
  <si>
    <t>Toronto, Canada</t>
  </si>
  <si>
    <t>Toronto</t>
  </si>
  <si>
    <t>Ontario</t>
  </si>
  <si>
    <t>M5V 2J1</t>
  </si>
  <si>
    <t>Canada</t>
  </si>
  <si>
    <t>www.homestars.com</t>
  </si>
  <si>
    <t>53816-41T</t>
  </si>
  <si>
    <t>The company raised $400,000 of angel funding from Maple Leaf Angels and other undisclosed investors on September 2, 2009.</t>
  </si>
  <si>
    <t>Maple Leaf Angels</t>
  </si>
  <si>
    <t>Maple Leaf Angels(www.mapleleafangels.com)</t>
  </si>
  <si>
    <t>53817-13T</t>
  </si>
  <si>
    <t>The company raised an undisclosed amount of venture funding from Maple Leaf Angels on June 10, 2013.</t>
  </si>
  <si>
    <t>50407-75T</t>
  </si>
  <si>
    <t>Icon Meals</t>
  </si>
  <si>
    <t>114043-60</t>
  </si>
  <si>
    <t>Offer of customized meals. The company offers meals that a custom made as per health requirements of body builders at a price which the customers can afford.</t>
  </si>
  <si>
    <t>The company raised $300,000 of angel funding from undisclosed investors on May 2, 2015.</t>
  </si>
  <si>
    <t>customized meals, healthy food</t>
  </si>
  <si>
    <t>Todd Abrams</t>
  </si>
  <si>
    <t>101070-82P</t>
  </si>
  <si>
    <t>+1 (844) 879-4266</t>
  </si>
  <si>
    <t>todd.abrams@iconmeals.com</t>
  </si>
  <si>
    <t>Mr. Todd Abrams serves as Chief Executive Officer &amp; Board Member at Icon Meals.</t>
  </si>
  <si>
    <t>Frisco, TX</t>
  </si>
  <si>
    <t>Frisco</t>
  </si>
  <si>
    <t>75035</t>
  </si>
  <si>
    <t>www.iconmeals.com</t>
  </si>
  <si>
    <t>132709-69T</t>
  </si>
  <si>
    <t>The company was in talks to receive an undisclosed amount of angel funding on April 24, 2019. Subsequently, the deal was canceled.</t>
  </si>
  <si>
    <t>Failed/Cancelled</t>
  </si>
  <si>
    <t>47609-47T</t>
  </si>
  <si>
    <t>Edward Relf</t>
  </si>
  <si>
    <t>87103-00P</t>
  </si>
  <si>
    <t>Mr. Edward Relf is an Angel Investor at Edward Relf. Mr. Edward Relf Co-Founded and served as Chief Executive Officer at Laundrapp.</t>
  </si>
  <si>
    <t>Post Graduate Diploma, 2009, Marketing; University of the West of England, Degree, 1996, Art &amp; Design; University of the West of England, Degree, 1997, Graphic Design</t>
  </si>
  <si>
    <t>The company raised GBP 4 million of angel funding from Jeff Blue and Michael Spencer on March 30, 2015, putting the company's pre-money valuation at GBP 10.96 million. The intended use of funds was not disclosed.</t>
  </si>
  <si>
    <t>Jeff Blue, Michael Spencer</t>
  </si>
  <si>
    <t>Jeff Blue(Jeff Blue), Michael Spencer(Michael Spencer)</t>
  </si>
  <si>
    <t>73643-32T</t>
  </si>
  <si>
    <t>The company received GBP 5 million of angel funding from Timezone Ventures and other undisclosed investors on August 1, 2016, putting the company's pre-money valuation at GBP 18.43 million. The funding will be used to continue to grow its service internationally and expand to a full nationwide UK service in the coming months.</t>
  </si>
  <si>
    <t>Timezone Ventures</t>
  </si>
  <si>
    <t>Timezone Ventures(www.timezoneventures.com)</t>
  </si>
  <si>
    <t>Whitman Howard (Placement Agent to Company, Nicholas Lovering)</t>
  </si>
  <si>
    <t>132365-89T</t>
  </si>
  <si>
    <t>The company is reportedly seeking $900,000 of angel funding from undisclosed investors as of February 19, 2020.</t>
  </si>
  <si>
    <t>Upcoming</t>
  </si>
  <si>
    <t>Pending Transaction (Angel)</t>
  </si>
  <si>
    <t>53091-10T</t>
  </si>
  <si>
    <t>Maid Sailors</t>
  </si>
  <si>
    <t>102117-34</t>
  </si>
  <si>
    <t>Developer of a cleaning service website in New York City. The company matches homeowners with certified and screened professional cleaners at an affordable price.</t>
  </si>
  <si>
    <t>The company raised angel funding from undisclosed investors on August 15, 2014.</t>
  </si>
  <si>
    <t>cleaning, cleaning services, house cleaners</t>
  </si>
  <si>
    <t>Edwin Urrutia</t>
  </si>
  <si>
    <t>105647-05P</t>
  </si>
  <si>
    <t>+1 (212) 299-5170</t>
  </si>
  <si>
    <t>edwin@maidsailors.com</t>
  </si>
  <si>
    <t>Mr. Urrutia is a Co-Founder of Maid Sailors.</t>
  </si>
  <si>
    <t>10038</t>
  </si>
  <si>
    <t>www.maidsailors.com</t>
  </si>
  <si>
    <t>113478-67T</t>
  </si>
  <si>
    <t>Nextdish</t>
  </si>
  <si>
    <t>234337-87</t>
  </si>
  <si>
    <t>Provider of a food delivery platform designed to offer ready-to-eat food at dinner time. The company's platform provides ready-made food which are cooked with locally-sourced, seasonal and premium ingredients, enabling customers to relax with family and friends while getting dinner delivered at doorstep.</t>
  </si>
  <si>
    <t>The company raised $2.77 million of angel funding from undisclosed investors on November 29, 2018.</t>
  </si>
  <si>
    <t>Food Products, Social/Platform Software*</t>
  </si>
  <si>
    <t>Restaurant Technology</t>
  </si>
  <si>
    <t>delivery platform, dinner app, food company, food tech app, food technology, readymade food</t>
  </si>
  <si>
    <t>Jian Shi</t>
  </si>
  <si>
    <t>196056-01P</t>
  </si>
  <si>
    <t>+1 (800) 680-3012</t>
  </si>
  <si>
    <t>Mr. Jian Shi serves as Chief Financial Officer and Board Member at Nextdish.</t>
  </si>
  <si>
    <t>San Ramon, CA</t>
  </si>
  <si>
    <t>San Ramon</t>
  </si>
  <si>
    <t>94583</t>
  </si>
  <si>
    <t>www.nextdish.com</t>
  </si>
  <si>
    <t>116414-65T</t>
  </si>
  <si>
    <t>One Potato</t>
  </si>
  <si>
    <t>265372-57</t>
  </si>
  <si>
    <t>Provider of a meal kit delivery platform intended to offer semi-prepared meals to be cooked at home. The company's platform offers a variety of meal recipes and fresh ingredients sourced from local farms delivered in custom portions, enabling users to save time and cook fresh meals for their families.</t>
  </si>
  <si>
    <t>The company raised an undisclosed amount of venture funding from Evolution VC Partners, Halogen Ventures and Sand Hill Angels in 2018. TLI Bedrock also participated in the round.</t>
  </si>
  <si>
    <t>Food Products*, Other Services (B2C Non-Financial)</t>
  </si>
  <si>
    <t>food delivery, frozen smoothies packs, ingredients delivery, meal kit delivery service, meals cooking, pre-cooked food</t>
  </si>
  <si>
    <t>Catherine McCord</t>
  </si>
  <si>
    <t>200944-63P</t>
  </si>
  <si>
    <t>catherine@onepotato.com</t>
  </si>
  <si>
    <t>Ms. Catherine McCord is a Co-Founder and serves as Chief Executive Officer at One Potato.</t>
  </si>
  <si>
    <t>The company raised an undisclosed amount of angel funding in 2016. The funds will be used towards expansion into new markets and ongoing product development.</t>
  </si>
  <si>
    <t>Los Angeles, CA</t>
  </si>
  <si>
    <t>Los Angeles</t>
  </si>
  <si>
    <t>90013</t>
  </si>
  <si>
    <t>www.onepotato.com</t>
  </si>
  <si>
    <t>130931-47T</t>
  </si>
  <si>
    <t>Order for Me</t>
  </si>
  <si>
    <t>416656-81</t>
  </si>
  <si>
    <t>Provider of a multi-restaurant platform intended to allow users to dine with friends. The company's platform offers its users to order and pay right from their phone, enabling them to avail on-demand ordering and leave the restaurant at any time they want. Customers scan a QR code unique to each table to see the menu, modify items and order or split item cost with others at the table. Orders are printed directly to a cloud enabled kitchen printer and payments are sent direct deposit to restaurant bank accounts.</t>
  </si>
  <si>
    <t>The company raised $15,000 of angel funding from Alon Cohen on November 15, 2019. William and Irene Jordan also participated in the round.</t>
  </si>
  <si>
    <t>FoodTech, Mobile, Restaurant Technology</t>
  </si>
  <si>
    <t>convenience product, food and beverage technology products, food ordering, food ordering app, food ordering portal, group dinner, restaurant tech, simplified payment processing</t>
  </si>
  <si>
    <t>Generating Revenue/Not Profitable</t>
  </si>
  <si>
    <t>Michael Jordan</t>
  </si>
  <si>
    <t>221437-36P</t>
  </si>
  <si>
    <t>+1 (516) 381-9742</t>
  </si>
  <si>
    <t>mjordan@orderfor.me</t>
  </si>
  <si>
    <t>Mr. Michael Jordan is the Founder and serves as Chief Executive Officer and Board Member at Order for Me. He previously founded Fantasurf, acquired by the World Surf League in 2016 and Surf Stats, acquired privately in 2016.</t>
  </si>
  <si>
    <t>Alon Cohen, William and Irene Jordan</t>
  </si>
  <si>
    <t>Alon Cohen(Alon Cohen), William and Irene Jordan</t>
  </si>
  <si>
    <t>Barbera Law (Legal Advisor to Company)</t>
  </si>
  <si>
    <t>Santa Monica, CA</t>
  </si>
  <si>
    <t>Santa Monica</t>
  </si>
  <si>
    <t>90401</t>
  </si>
  <si>
    <t>www.orderfor.me</t>
  </si>
  <si>
    <t>79670-89T</t>
  </si>
  <si>
    <t>Pander Labs</t>
  </si>
  <si>
    <t>168844-15</t>
  </si>
  <si>
    <t>Developer of an on-demand food-ordering and delivery application. The company designs and develops a mobile application listing menus from local restaurants, from which it provides delivery through a fleet of personnel.</t>
  </si>
  <si>
    <t>The company raised $100,000 of angel funding from undisclosed investors on December 9, 2016.</t>
  </si>
  <si>
    <t>Application Software*, Specialty Retail</t>
  </si>
  <si>
    <t>E-Commerce, FoodTech, Mobile, Restaurant Technology, TMT</t>
  </si>
  <si>
    <t>food delivery app, food ordering app, on demand food delivery</t>
  </si>
  <si>
    <t>Arjun Nandkishore</t>
  </si>
  <si>
    <t>152028-01P</t>
  </si>
  <si>
    <t>+1 (617) 299-9275</t>
  </si>
  <si>
    <t>arjun@pandereats.com</t>
  </si>
  <si>
    <t>Mr. Arjun Nandkishore is a Co-Founder of Pander Labs and also serves as its President, Chief Executive Officer and Board Member. Prior to founding Pander, Arjun spent two years at Morgan Stanley. He received his AB from Harvard in 2013, where he studied Physics, Mathematics, and Computer Science. His initial inspiration for Pander came from two years living in New York and constantly ordering delivery but being thoroughly underwhelmed by the experience.</t>
  </si>
  <si>
    <t>Harvard University, BA (Bachelor of Arts), 2013, Computer Science and Physics</t>
  </si>
  <si>
    <t>94120</t>
  </si>
  <si>
    <t>www.pandereats.com</t>
  </si>
  <si>
    <t>46195-12T</t>
  </si>
  <si>
    <t>Plowz &amp; Mowz</t>
  </si>
  <si>
    <t>94732-30</t>
  </si>
  <si>
    <t>Provider of an platform intended to book on-demand snow plowing and lawn moeing services. The company's platform offers the on-demand, contract-free seasonal services that help the users to request lawn mowing, snow plowing and leaf removal from their smartphone, enabling users to manage their snow removal or landscaping services anytime, anywhere.</t>
  </si>
  <si>
    <t>The company raised $1 million of venture funding in the form of convertible debt from undisclosed investors on April 15, 2020.</t>
  </si>
  <si>
    <t>android platform, garden cleaning applications, lawn cleaning, lawn mowing, leaf removal service, snow plow platform</t>
  </si>
  <si>
    <t>Andrew Englander</t>
  </si>
  <si>
    <t>94130-65P</t>
  </si>
  <si>
    <t>+1 (315) 863-3491</t>
  </si>
  <si>
    <t>andrew@plowz.com</t>
  </si>
  <si>
    <t>Mr. Andrew Englander is a Co-Founder and serves as Co-Chief Executive Officer &amp; Board Member at Plowz &amp; Mowz.</t>
  </si>
  <si>
    <t>Syracuse University, Degree</t>
  </si>
  <si>
    <t>The company raised angel funding on an undisclosed date.</t>
  </si>
  <si>
    <t>Syracuse, NY</t>
  </si>
  <si>
    <t>Syracuse</t>
  </si>
  <si>
    <t>13202</t>
  </si>
  <si>
    <t>www.plowzandmowz.com</t>
  </si>
  <si>
    <t>64779-04T</t>
  </si>
  <si>
    <t>Pronto Technologies</t>
  </si>
  <si>
    <t>151571-98</t>
  </si>
  <si>
    <t>Provider of an application software for home repair services. The company provides an application software for household repairing services by sending qualified and vetted professionals to user's home.</t>
  </si>
  <si>
    <t>The company raised $2.25 million of angel funding from undisclosed investors on December 15, 2016.</t>
  </si>
  <si>
    <t>application software platform, home repair service, small jobs</t>
  </si>
  <si>
    <t>Erik Stadler</t>
  </si>
  <si>
    <t>125525-62P</t>
  </si>
  <si>
    <t>+1 (678) 264-3485</t>
  </si>
  <si>
    <t>erik.stadler@prontotechnologies.com</t>
  </si>
  <si>
    <t>Mr. Erik Stadler is the Co-Founder of Pronto Technologies and also serves as its Board Member and Chief Executive Officer. He Founded and served as President of Dick's Team Sports HQ.</t>
  </si>
  <si>
    <t>College of Charleston, BA (Bachelor of Arts), 1997, Spanish</t>
  </si>
  <si>
    <t>Atlanta, GA</t>
  </si>
  <si>
    <t>Atlanta</t>
  </si>
  <si>
    <t>Georgia</t>
  </si>
  <si>
    <t>30340</t>
  </si>
  <si>
    <t>www.prontopro.com</t>
  </si>
  <si>
    <t>87498-64T</t>
  </si>
  <si>
    <t>Rentus</t>
  </si>
  <si>
    <t>108725-68</t>
  </si>
  <si>
    <t>Provider of an online rental marketplace intended to let users shop and rent out items. The company's website and the mobile application let users shop, compare and rent products such as tools, equipment, party supplies and camping gear, enabling consumers to buy low-cost goods for their needs and also to make extra income by renting out items they already own.</t>
  </si>
  <si>
    <t>The company went out of business on August 10, 2020. The company is no longer tracked by PitchBook.</t>
  </si>
  <si>
    <t>Application Software, Internet Retail*</t>
  </si>
  <si>
    <t>online rental, online rental marketplace, online rental portal, rental marketplace, rental marketplace application</t>
  </si>
  <si>
    <t>Formerly Angel backed</t>
  </si>
  <si>
    <t>Out of Business</t>
  </si>
  <si>
    <t>Elias Chavando</t>
  </si>
  <si>
    <t>162784-18P</t>
  </si>
  <si>
    <t>Mr. Elias Chavando served as Chairman Of The Board at Rentus.</t>
  </si>
  <si>
    <t>The company raised $370,995 of angel funding from undisclosed investors on April 21, 2017.</t>
  </si>
  <si>
    <t>Sherman Oaks, CA</t>
  </si>
  <si>
    <t>Sherman Oaks</t>
  </si>
  <si>
    <t>91423</t>
  </si>
  <si>
    <t>www.rentus.com</t>
  </si>
  <si>
    <t>58289-41T</t>
  </si>
  <si>
    <t>The company raised $100,000 of angel funding from undisclosed investors on September 24, 2015. As a part of the deal an undisclosed amount was raised in form of convertible debt.</t>
  </si>
  <si>
    <t>71909-38T</t>
  </si>
  <si>
    <t>The company raised $15,000 of angel funding from an undisclosed investor on June 15, 2016. A part of the total amount was raised in form of convertible debt.</t>
  </si>
  <si>
    <t>96671-53T</t>
  </si>
  <si>
    <t>134305-48T</t>
  </si>
  <si>
    <t>Steady Install</t>
  </si>
  <si>
    <t>433676-35</t>
  </si>
  <si>
    <t>Provider of a furniture installation service intended to keep installation affordable and professional. The company's service helps to keep projects moving forward at lower costs with motivated, skilled and on-demand workers, enabling clients to have a centralized furniture installation system.</t>
  </si>
  <si>
    <t>The company raised $50,000 of angel funding from undisclosed investors on March 20, 2020.</t>
  </si>
  <si>
    <t>affordable installation service, commercial furniture installation, furniture installation service, innovative workspace intallation, installation flexibility</t>
  </si>
  <si>
    <t>Benjamin Bottner</t>
  </si>
  <si>
    <t>226445-86P</t>
  </si>
  <si>
    <t>+1 (602) 492-8048</t>
  </si>
  <si>
    <t>Mr. Benjamin Bottner is the Founder serves as Chief Executive Officer at Steady Install.</t>
  </si>
  <si>
    <t>Phoenix, AZ</t>
  </si>
  <si>
    <t>Phoenix</t>
  </si>
  <si>
    <t>85014</t>
  </si>
  <si>
    <t>www.steadyinstall.com</t>
  </si>
  <si>
    <t>100647-01T</t>
  </si>
  <si>
    <t>The Dinner Daily</t>
  </si>
  <si>
    <t>224339-77</t>
  </si>
  <si>
    <t>Owner and operator of a meal planning company created to customize menus according to family's food preferences and dietary restrictions. The company's meal planning encompasses easy weekly dinner plan s and shopping lists based on store's specials, enabling customers to create and enjoy a weekly family meal plan and grocery list linked to the specials at their preferred stores for easy, cost saving, delicious dinners.</t>
  </si>
  <si>
    <t>The company closed on $106,313 of convertible debt financing from undisclosed investors on January 19, 2018. The company is being actively tracked by PitchBook.</t>
  </si>
  <si>
    <t>meals planning, meals planning service, meals recipe, weeklies dinner menu</t>
  </si>
  <si>
    <t>Other Private Companies</t>
  </si>
  <si>
    <t>Laurin Mills</t>
  </si>
  <si>
    <t>178638-04P</t>
  </si>
  <si>
    <t>+1 (978) 501-3567</t>
  </si>
  <si>
    <t>laurin.mills@thedinnerdaily.com</t>
  </si>
  <si>
    <t>Ms. Laurin Mills is the Founder of The Dinner Daily and serves as its Chief Executive Officer, President and Board Member. Prior to founding The Dinner Daily, Laurin was a CPA with EY and has culinary training from the Cambridge School of Culinary Arts. She holds a BA from the University of New Hampshire and an MBA/MS from Northeastern University. Laurin has won numerous business awards and has been featured on TV news shows and major print media.</t>
  </si>
  <si>
    <t>Northeastern University, MBA (Master of Business Administration); Northeastern University, MS (Master of Science); University of New Hampshire, BA (Bachelor of Arts)</t>
  </si>
  <si>
    <t>The company was in talks to receive $106,313 of convertible debt financing from undisclosed investors on January 19, 2018. Subsequently, the deal was cancelled.</t>
  </si>
  <si>
    <t>Failed Transaction (Angel)</t>
  </si>
  <si>
    <t>Westford, MA</t>
  </si>
  <si>
    <t>Westford</t>
  </si>
  <si>
    <t>01886</t>
  </si>
  <si>
    <t>www.thedinnerdaily.com</t>
  </si>
  <si>
    <t>57889-72T</t>
  </si>
  <si>
    <t>The Laundry Chute</t>
  </si>
  <si>
    <t>124491-79</t>
  </si>
  <si>
    <t>Operator of laundry and dry cleaning services platform intended to offer laundry services to both on and off-campus college students. The company's platform utilizes patented "automated smart lockers" as a pivot point to enable full-service laundry processing with autonomous student laundry drop-off and pick-up, enabling the society with a dynamic pricing methodology in which students work for students, managing workload for the college, institutional and hospitality markets by providing laundry and dry-clean service contractors.</t>
  </si>
  <si>
    <t>The company raised $200,000 of angel funding from undisclosed investors on June 20, 2017.</t>
  </si>
  <si>
    <t>drying cleaning, drying cleaning services, laundry, laundry service, laundry service firm</t>
  </si>
  <si>
    <t>James Janis</t>
  </si>
  <si>
    <t>114672-16P</t>
  </si>
  <si>
    <t>+1 (412) 568-3448</t>
  </si>
  <si>
    <t>jjanis@thelaundrychute.com</t>
  </si>
  <si>
    <t>Mr. James Janis is a Co-Founder of The Laundry Chute and serves as its Board Member &amp; Chief Executive Officer. He was previously a Business Analyst in Retail Energy Sales at Constellation Energy - New Energy. Mr. Janis grew up in a Greek American family of small business owners, where at a young age he learned the values of being an entrepreneur while working at his father's airport restaurant. While attending Palm Beach Atlantic University, Mr. Janis was introduced to TLC co-founder, Rob Young. Rob's close ties to both golf and Pittsburgh led to their acquaintance. Shortly thereafter, TLC launched with a contract at Palm Beach Atlantic University, and later, Mr. Janis moved the company back to its roots in Pittsburgh, where it secured a contract at The University of Pittsburgh. Under Mr. Janis' leadership, the company continues its growth nationwide</t>
  </si>
  <si>
    <t>Degree, 2014, Corporate Finance</t>
  </si>
  <si>
    <t>The company raised $100,000 of angel funding from undisclosed investors on April 28, 2014.</t>
  </si>
  <si>
    <t>Pittsburgh, PA</t>
  </si>
  <si>
    <t>Pittsburgh</t>
  </si>
  <si>
    <t>15214</t>
  </si>
  <si>
    <t>www.thelaundrychute.com</t>
  </si>
  <si>
    <t>57889-99T</t>
  </si>
  <si>
    <t>The company raised $155,000 of angel funding from undisclosed investors on September 4, 2015.</t>
  </si>
  <si>
    <t>77251-60T</t>
  </si>
  <si>
    <t>129052-99T</t>
  </si>
  <si>
    <t>The company raised $1.00 million of angel funding from undisclosed investors on August 1, 2018.</t>
  </si>
  <si>
    <t>109821-52T</t>
  </si>
  <si>
    <t>Neha Kesarwani</t>
  </si>
  <si>
    <t>190582-12P</t>
  </si>
  <si>
    <t>Ms. Neha Kesarwani co-founded and served as Board Member &amp; Chief Marketing Officer at Vertoe.</t>
  </si>
  <si>
    <t>The company raised angel funding from Alex Iskold on an undisclosed date.</t>
  </si>
  <si>
    <t>Alex Iskold</t>
  </si>
  <si>
    <t>Alex Iskold(www.startuphacks.vc)</t>
  </si>
  <si>
    <t>Alex Iskold(Alex Iskold)</t>
  </si>
  <si>
    <t>128061-55T</t>
  </si>
  <si>
    <t>92373-04T</t>
  </si>
  <si>
    <t>Convertible Debt</t>
  </si>
  <si>
    <t>Debt</t>
  </si>
  <si>
    <t>The company raised $7.25 million of convertible debt financing from Greycroft Partners, e.ventures and other undisclosed investors on August 7, 2017.</t>
  </si>
  <si>
    <t>e.ventures</t>
  </si>
  <si>
    <t>Greycroft</t>
  </si>
  <si>
    <t>e.ventures(www.eventures.vc), Greycroft(www.greycroft.com)</t>
  </si>
  <si>
    <t>e.ventures, Greycroft</t>
  </si>
  <si>
    <t>Greycroft Partners III(Greycroft)</t>
  </si>
  <si>
    <t>59846-77T</t>
  </si>
  <si>
    <t>The company raised $800,000 of convertible debt from Astia and other undisclosed investors on Dec 1, 2014.</t>
  </si>
  <si>
    <t>Astia</t>
  </si>
  <si>
    <t>Astia(www.astia.org)</t>
  </si>
  <si>
    <t>123401-17T</t>
  </si>
  <si>
    <t>3rd Round</t>
  </si>
  <si>
    <t>Series A</t>
  </si>
  <si>
    <t>Early Stage VC</t>
  </si>
  <si>
    <t>Engage Capital, Engage VC, Florida Funders, Morgan Creek Capital Management, Service Provider Capital, Tech Square Venture Partners</t>
  </si>
  <si>
    <t>Full Tilt Capital, Reform Ventures</t>
  </si>
  <si>
    <t>Engage Capital(www.engage-group.com.au), Engage VC(www.engage.vc), Florida Funders(www.floridafunders.com), Full Tilt Capital(www.fulltilt.capital), Morgan Creek Capital Management(www.morgancreekcap.com), Reform Ventures(www.reformventures.com), Service Provider Capital(www.serviceprovidercapital.com), Tech Square Venture Partners(www.techsquareventures.com)</t>
  </si>
  <si>
    <t>Engage Capital, Engage VC(Blake Patton), Florida Funders(Tom Wallace), Full Tilt Capital, Morgan Creek Capital Management, Reform Ventures, Service Provider Capital, Tech Square Venture Partners(Blake Patton)</t>
  </si>
  <si>
    <t>Florida Funders(Tom Wallace), Full Tilt Capital, Morgan Creek Capital Management</t>
  </si>
  <si>
    <t>ENGAGE Venture Fund I(Engage VC), Morgan Creek Partners Co-Investment Fund III(Morgan Creek Capital Management), Service Provider Capital Southeast Fund I(Service Provider Capital), Tech Square Ventures Fund I(Tech Square Venture Partners)</t>
  </si>
  <si>
    <t>Robinson Bradshaw &amp; Hinson (Legal Advisor to Company)</t>
  </si>
  <si>
    <t>95911-93T</t>
  </si>
  <si>
    <t>Allset</t>
  </si>
  <si>
    <t>117907-03</t>
  </si>
  <si>
    <t>Developer of a food-ordering and table booking platform intended to improve the restaurant dining experience. The company's platform enables customers to book, order and pay for their lunch at local restaurants before arrival, enabling them to dine seamlessly and dine wait-free.</t>
  </si>
  <si>
    <t>The company raised $8.5 million of Series B venture funding from SMRK VC Fund, Andreessen Horowitz and Greycroft on March 31, 2020. EBRD Venture Capital Investment Programme, Runway Venture Partners and Inovo also participated in the round. The funding will be used to expand the company's operations and business reach.</t>
  </si>
  <si>
    <t>Application Software, Media and Information Services (B2B), Other Restaurants, Hotels and Leisure*, Other Services (B2C Non-Financial)</t>
  </si>
  <si>
    <t>Mobile, Mobile Commerce, Restaurant Technology, TMT</t>
  </si>
  <si>
    <t>food ordering application, food ordering platform, mobile payment app, online food ordering, pickup, restaurant application, restaurant booking platform, restaurant books, restaurant books app, restaurant books application, restaurant books service, restaurant ordering, restaurant ordering system, restaurant payment, restaurant payment application, restaurant payment platform, restaurant reservation, take out, take out service, takeaway food</t>
  </si>
  <si>
    <t>Stas Matviyenko</t>
  </si>
  <si>
    <t>65729-89P</t>
  </si>
  <si>
    <t>stas@allsetnow.com</t>
  </si>
  <si>
    <t>Mr. Stas Matviyenko is a Co-Founder &amp; serves as Chief Executive Officer &amp; Board Member at Allset. He is the Chief Executive Officer and Co-Founder of Advice Wallet.</t>
  </si>
  <si>
    <t>Degree, 2012, International Business; Master's, 2012, International Marketing</t>
  </si>
  <si>
    <t>The company raised $5 million of Series A venture funding in a round led by Greycroft Partners on November 16, 2017, putting the pre-money valuation at $20 million. Andreessen Horowitz, Vaizra Investments, Compound VC, FJ Labs and SMRK VC Fund also participated in this round. The company which has raised more than $8.4 million in total funding to date, intends to use the funds to grow its marketing efforts and expand nationwide to more cities like Houston, Philadelphia, Phoenix and Washington, D.C. in 2018.</t>
  </si>
  <si>
    <t>Greycroft, Rainfall Ventures</t>
  </si>
  <si>
    <t>Andreessen Horowitz, Compound, FJ Labs, SMRK VC Fund</t>
  </si>
  <si>
    <t>Andreessen Horowitz(www.a16z.com), Compound(www.compound.vc), FJ Labs(www.fjlabs.com), Greycroft(www.greycroft.com), Rainfall Ventures(www.rainfall.com), SMRK VC Fund(www.smrk.vc)</t>
  </si>
  <si>
    <t>Andreessen Horowitz(Jeffrey Jordan), Compound(David Hirsch), FJ Labs(Fabrice Grinda), Greycroft(William Peabody), Rainfall Ventures(Ron Rofé), SMRK VC Fund</t>
  </si>
  <si>
    <t>Greycroft(William Peabody)</t>
  </si>
  <si>
    <t>Andreessen Horowitz Fund V(Andreessen Horowitz), FJ Labs 4VC(FJ Labs), Greycroft Growth II(Greycroft), Metamorphic Ventures FD(Compound), Vaizra Seed Fund(Rainfall Ventures)</t>
  </si>
  <si>
    <t>Cooley (Legal Advisor to Compound), Gunderson Dettmer (Legal Advisor to Company)</t>
  </si>
  <si>
    <t>Cooley (Legal Advisor to Compound)</t>
  </si>
  <si>
    <t>www.allsetnow.com</t>
  </si>
  <si>
    <t>115479-19T</t>
  </si>
  <si>
    <t>4th Round</t>
  </si>
  <si>
    <t>Series B</t>
  </si>
  <si>
    <t>EBRD Venture Capital Investment Programme, Inovo, Runway Venture Partners</t>
  </si>
  <si>
    <t>Andreessen Horowitz, Greycroft, SMRK VC Fund</t>
  </si>
  <si>
    <t>Andreessen Horowitz(www.a16z.com), EBRD Venture Capital Investment Programme(www.ebrdvcip.com), Greycroft(www.greycroft.com), Inovo(www.inovo.com.pl), Runway Venture Partners(www.runwayvp.com), SMRK VC Fund(www.smrk.vc)</t>
  </si>
  <si>
    <t>Andreessen Horowitz, EBRD Venture Capital Investment Programme(Maria Barsuk), Greycroft, Inovo(Michal Rokosz), Runway Venture Partners, SMRK VC Fund</t>
  </si>
  <si>
    <t>Andreessen Horowitz Fund V(Andreessen Horowitz), Greycroft Growth II(Greycroft)</t>
  </si>
  <si>
    <t>Dentons (Legal Advisor to EBRD Venture Capital Investment Programme, Christopher Rose JD), Gunderson Dettmer (Legal Advisor to Company)</t>
  </si>
  <si>
    <t>Dentons (Legal Advisor to EBRD Venture Capital Investment Programme, Christopher Rose JD)</t>
  </si>
  <si>
    <t>132334-84T</t>
  </si>
  <si>
    <t>BagsPorter</t>
  </si>
  <si>
    <t>338676-22</t>
  </si>
  <si>
    <t>Provider of luggage delivery service intended to make air travel hassle-free. The company's service collects the luggage from the airport and delivers it to the home or hotel at the required destination, enabling users to save time while traveling.</t>
  </si>
  <si>
    <t>The company raised venture funding from Monthly Ventures and Vasily Kuznetsov on an undisclosed date.</t>
  </si>
  <si>
    <t>baggage delivery, baggage delivery service, luggage collection services, luggage delivery, travel bags delivery</t>
  </si>
  <si>
    <t>Yuri Rabinovich</t>
  </si>
  <si>
    <t>52472-80P</t>
  </si>
  <si>
    <t>+1 (408) 768-7844</t>
  </si>
  <si>
    <t>yrabinovich@bagsporter.com</t>
  </si>
  <si>
    <t>Mr. Yuri Rabinovich is a Co-Founder of BagsPorter and serves as its Chief Executive Officer. He co-founded Veritamo and served as Chief Executive Officer. He served as Advisor at Leta Capital. He is also a Co-Founder at StartupSocials. He also served as an Advisor at Pulsar Venture Capital. He is a Co-Founder of Startup Monthly and serves as its Managing Partner and Chief Executive Officer. He is San-Francisco based entrepreneur, investor and software architect who was born in Almaty, Kazakhstan and moved with his parents in 1990. He has been a leader and innovator for almost two decades. He possesses extensive experience in launching new ventures, incubating ideas and mentoring early stage startups; He has built a global network of 100,000+ entrepreneurs, mentors, investors, and partners who provide their expertise and support to StartupMonthly, StartupSocials and MonthlyVentures ecosystems startup communities. Yuri has been recognized as a "super connector" in Silicon Valley's ecosystem, community builder and can provide valuable introductions to startups and to companies interested in operating in the U.S. markets. He and his partners launched MonthlyVentures seed fund in 2013 and invested in 16 early stage startups who later raised $26M in follow-up funding. He is currently working on www.veritamo.com B2B marketplace and business community connecting businesses in luxury travel and hospitality. VERITAMO is growing rapidly and was covered by Forbes, Huffington Post, and Haute Livin as a disruptor in the industry. He was a competitive tennis player and a coach until 1999 before he decided to focus on Information Systems Engineering and startups</t>
  </si>
  <si>
    <t>Technion-Machon Technologi Le' Israel, BS (Bachelor of Science), 2003, Information Systems Engineering; Technion-Machon Technologi Le' Israel, MS (Master of Science), 2007, Information Engineering and Management</t>
  </si>
  <si>
    <t>1st Round</t>
  </si>
  <si>
    <t>Monthly Ventures, Vasily Kuznetsov</t>
  </si>
  <si>
    <t>Monthly Ventures(www.startupmonthly.org)</t>
  </si>
  <si>
    <t>Monthly Ventures, Vasily Kuznetsov(Vasily Kuznetsov)</t>
  </si>
  <si>
    <t>94123</t>
  </si>
  <si>
    <t>www.bagsporter.com</t>
  </si>
  <si>
    <t>125967-70T</t>
  </si>
  <si>
    <t>The company raised venture funding from Momentor Ventures on an undisclosed date.</t>
  </si>
  <si>
    <t>Momentor Ventures</t>
  </si>
  <si>
    <t>Momentor Ventures(www.momentorvc.com)</t>
  </si>
  <si>
    <t>122165-38T</t>
  </si>
  <si>
    <t>2nd Round</t>
  </si>
  <si>
    <t>Edge Harris Ventures</t>
  </si>
  <si>
    <t>Forefront Venture Partners</t>
  </si>
  <si>
    <t>Edge Harris Ventures(edgeharris.com), Forefront Venture Partners(www.forefrontvp.com)</t>
  </si>
  <si>
    <t>Edge Harris Ventures, Forefront Venture Partners</t>
  </si>
  <si>
    <t>59281-93T</t>
  </si>
  <si>
    <t>The company raised $10.6 million of Series A venture funding in a deal led by Formation 8 on October 14, 2015, putting the company's pre-money valuation at an estimated $35 million. Y Combinator, Founders Fund, Grey Wolf VC, Cota Capital, Streamlined Ventures, Brick &amp; Mortar Ventures and Ullas Naik also participated.</t>
  </si>
  <si>
    <t>Brick &amp; Mortar Ventures, Founders Fund, Grey Wolf VC</t>
  </si>
  <si>
    <t>Cota Capital, Formation 8, Streamlined Ventures, Ullas Naik, Y Combinator</t>
  </si>
  <si>
    <t>Brick &amp; Mortar Ventures(www.brickmortar.vc), Cota Capital(www.cotacapital.com), Formation 8(www.formation8.com), Founders Fund(www.foundersfund.com), Grey Wolf VC(www.greywolf.vc), Streamlined Ventures(www.streamlined.vc), Y Combinator(www.ycombinator.com)</t>
  </si>
  <si>
    <t>Brick &amp; Mortar Ventures, Cota Capital, Formation 8(Joseph Lonsdale), Founders Fund(Peter Thiel), Grey Wolf VC, Streamlined Ventures, Ullas Naik(Ullas Naik), Y Combinator</t>
  </si>
  <si>
    <t>Formation 8(Joseph Lonsdale)</t>
  </si>
  <si>
    <t>Brick &amp; Mortar Ventures I(Brick &amp; Mortar Ventures), Formation8 Partners Fund II(Formation 8), Streamlined Ventures I(Streamlined Ventures), The Founders Fund V(Founders Fund), Y Combinator Fund II(Y Combinator)</t>
  </si>
  <si>
    <t>Latham &amp; Watkins (Legal Advisor to Formation 8)</t>
  </si>
  <si>
    <t>89191-99T</t>
  </si>
  <si>
    <t>The company raised an undisclosed amount of venture funding from Right Side Capital Management in 2014.</t>
  </si>
  <si>
    <t>Right Side Capital Management</t>
  </si>
  <si>
    <t>Right Side Capital Management(www.rightsidecapital.com)</t>
  </si>
  <si>
    <t>RSCM Fund II(Right Side Capital Management)</t>
  </si>
  <si>
    <t>128785-42T</t>
  </si>
  <si>
    <t>Chefit</t>
  </si>
  <si>
    <t>398962-36</t>
  </si>
  <si>
    <t>Operator of an online food marketplace intended to provide personal chef in homes. The company's marketplace offers a preset menu of chef's specialties, buys the required grocery and ingredients in bulk, bring necessary cookware and prepare restaurant type cuisines at home, enabling users to receive fresh and delicious meals cooked and served at their homes.</t>
  </si>
  <si>
    <t>The company is no longer actively in business as of September 9, 2020. The company is no longer actively tracked by PitchBook.</t>
  </si>
  <si>
    <t>Human Capital Services</t>
  </si>
  <si>
    <t>Food Products, Human Capital Services*, Vertical Market Software</t>
  </si>
  <si>
    <t>E-Commerce, FoodTech</t>
  </si>
  <si>
    <t>chef at home, chef hiring, chef marketplace, chef services, home food, online marketplace software, personal chef</t>
  </si>
  <si>
    <t>Matthew Redler</t>
  </si>
  <si>
    <t>218977-75P</t>
  </si>
  <si>
    <t>Mr. Matthew Redler co-founded and served as Chief Executive Officer &amp; Board Member at Chefit.</t>
  </si>
  <si>
    <t>The company raised an undisclosed amount of venture funding in a deal led by Version One Ventures on September 1, 2019. Shrug Capital and Garage.vc also participated in the round.</t>
  </si>
  <si>
    <t>Garage.vc, Shrug Capital, Version One Ventures</t>
  </si>
  <si>
    <t>Shrug Capital(www.shrug.vc), Version One Ventures(www.versionone.vc)</t>
  </si>
  <si>
    <t>Version One Ventures</t>
  </si>
  <si>
    <t>Shrug II(Shrug Capital), Version One Opportunity Fund(Version One Ventures)</t>
  </si>
  <si>
    <t>33602</t>
  </si>
  <si>
    <t>www.chefit.com</t>
  </si>
  <si>
    <t>114815-26T</t>
  </si>
  <si>
    <t>The company raised $4 million of venture funding in a deal led by Greycroft and FJ Labs on January 23, 2019. Fika Ventures, Hyde Park Angels and other undisclosed investors also participated in the round. The company intends to use the funds to further invest in developing the platform, expand to new markets, and onboard several key team members.</t>
  </si>
  <si>
    <t>Fika Ventures, FJ Labs, Greycroft, Hyde Park Angels</t>
  </si>
  <si>
    <t>Fika Ventures(www.fika.vc), FJ Labs(www.fjlabs.com), Greycroft(www.greycroft.com), Hyde Park Angels(www.hydeparkangels.com)</t>
  </si>
  <si>
    <t>Fika Ventures, FJ Labs(Fabrice Grinda), Greycroft, Hyde Park Angels</t>
  </si>
  <si>
    <t>FJ Labs(Fabrice Grinda), Greycroft</t>
  </si>
  <si>
    <t>Fika Ventures(Fika Ventures), FJ Labs 5 VC(FJ Labs), Greycroft Partners V(Greycroft)</t>
  </si>
  <si>
    <t>Miller Thomson (Legal Advisor to Company, Gal Smolar), Much Shelist (Legal Advisor to Company, Gregory Grove JD)</t>
  </si>
  <si>
    <t>137650-96T</t>
  </si>
  <si>
    <t>Altos Ventures, Left Lane Capital, Silicon Valley Bank, Slojo Investments, Starting Line</t>
  </si>
  <si>
    <t>Fika Ventures, FJ Labs, Hyde Park Angels</t>
  </si>
  <si>
    <t>Altos Ventures(www.altos.vc), Fika Ventures(www.fika.vc), FJ Labs(www.fjlabs.com), Hyde Park Angels(www.hydeparkangels.com), Left Lane Capital(www.leftlanecap.com), Silicon Valley Bank(www.svb.com), Slojo Investments(www.slojoinvestments.com), Starting Line(www.startingline.vc)</t>
  </si>
  <si>
    <t>Altos Ventures(Anthony Lee), Fika Ventures, FJ Labs, Hyde Park Angels, Left Lane Capital(Harley Miller), Silicon Valley Bank, Slojo Investments, Starting Line</t>
  </si>
  <si>
    <t>Altos Hybrid 3(Altos Ventures), Fika Ventures(Fika Ventures), FJ Labs 5 VC(FJ Labs)</t>
  </si>
  <si>
    <t>Cooley (Legal Advisor to Altos Ventures), Much Shelist (Legal Advisor to Company, Gregory Grove JD)</t>
  </si>
  <si>
    <t>Cooley (Legal Advisor to Altos Ventures)</t>
  </si>
  <si>
    <t>54974-08T</t>
  </si>
  <si>
    <t>The company raised $500,000 of venture funding from ALLVP and The Sparky Trust on July 29, 2015.</t>
  </si>
  <si>
    <t>ALLVP, The Sparky Trust</t>
  </si>
  <si>
    <t>ALLVP(www.allvp.vc)</t>
  </si>
  <si>
    <t>ALLVP(Federico Antoni), The Sparky Trust</t>
  </si>
  <si>
    <t>ALLVP(Federico Antoni)</t>
  </si>
  <si>
    <t>Venture Innovation Fund II(ALLVP)</t>
  </si>
  <si>
    <t>68980-96T</t>
  </si>
  <si>
    <t>The company raised $6.7 million of Series A venture funding from lead investors Jackson Square Ventures and ALLVP on April 5, 2016. Creandum, Grupo Bimbo, NMT network, Accel, Endeavor Catalyst and other existing investors also participated.</t>
  </si>
  <si>
    <t>Accel, Creandum, Endeavor Catalyst, Grupo Bimbo, Jackson Square Ventures, NMT Network</t>
  </si>
  <si>
    <t>ALLVP</t>
  </si>
  <si>
    <t>Accel(www.accel.com), ALLVP(www.allvp.vc), Creandum(www.creandum.com), Grupo Bimbo (MEX: BIMBOA)(www.grupobimbo.com), Jackson Square Ventures(www.jsv.com)</t>
  </si>
  <si>
    <t>Accel(Amit Kumar), ALLVP(Federico Antoni), Creandum(Carl Fritjofsson), Endeavor Catalyst, Grupo Bimbo (MEX: BIMBOA), Jackson Square Ventures(Gregory Gretsch), NMT Network</t>
  </si>
  <si>
    <t>ALLVP(Federico Antoni), Jackson Square Ventures(Gregory Gretsch)</t>
  </si>
  <si>
    <t>Accel Growth Fund IV(Accel), Creandum IV(Creandum), Endeavor Catalyst I(Endeavor Catalyst), Jackson Square Ventures I(Jackson Square Ventures), Jackson Square Ventures II(Jackson Square Ventures), Venture Innovation Fund II(ALLVP)</t>
  </si>
  <si>
    <t>Cooley (Legal Advisor to Jackson Square Ventures), Gunderson Dettmer (Legal Advisor to Company)</t>
  </si>
  <si>
    <t>Cooley (Legal Advisor to Jackson Square Ventures)</t>
  </si>
  <si>
    <t>87313-51T</t>
  </si>
  <si>
    <t>The company raised $21 million of Series B venture funding in a round led by Accel on May 4, 2017. Creandum, ALLVP, Accel, Endeavor Catalyst, Grupo Bimbo, NMT Network, SpringTech Partners and Jackson Square Ventures also participated in this round. The funding, which brings the total to $30.2 million, will be used by the company to strengthen its operations in Mexico City, Guadalajara, Monterrey and Santiago (Chile), as well as to reach new cities in Mexico.</t>
  </si>
  <si>
    <t>SpringTech Partners, Zapata Torrenegra Labs</t>
  </si>
  <si>
    <t>Accel, ALLVP, Creandum, Endeavor Catalyst, Grupo Bimbo, Jackson Square Ventures, NMT Network</t>
  </si>
  <si>
    <t>Accel(www.accel.com), ALLVP(www.allvp.vc), Creandum(www.creandum.com), Grupo Bimbo (MEX: BIMBOA)(www.grupobimbo.com), Jackson Square Ventures(www.jsv.com), SpringTech Partners(www.springtechpartners.com), Zapata Torrenegra Labs(www.torrenegralabs.com)</t>
  </si>
  <si>
    <t>Accel(Amit Kumar), ALLVP(Federico Antoni), Creandum(Carl Fritjofsson), Endeavor Catalyst, Grupo Bimbo (MEX: BIMBOA), Jackson Square Ventures(Gregory Gretsch), NMT Network, SpringTech Partners, Zapata Torrenegra Labs</t>
  </si>
  <si>
    <t>Accel(Amit Kumar)</t>
  </si>
  <si>
    <t>Accel Growth Fund IV(Accel), Creandum IV(Creandum), Endeavor Catalyst I(Endeavor Catalyst), Jackson Square Ventures I(Jackson Square Ventures), Venture Innovation Fund II(ALLVP)</t>
  </si>
  <si>
    <t>Goodwin (Legal Advisor to Accel, David van Horne Jr.), Gunderson Dettmer (Legal Advisor to Company)</t>
  </si>
  <si>
    <t>Goodwin (Legal Advisor to Accel, David van Horne Jr.)</t>
  </si>
  <si>
    <t>35099-11T</t>
  </si>
  <si>
    <t>Deliveroo</t>
  </si>
  <si>
    <t>64334-26</t>
  </si>
  <si>
    <t>Developer of an online food delivery platform intended to help users order restaurant meals. The company's platform optimizes food ordering and delivery by integrating web and mobile consumers with restaurant tablet-based point-of-sale order management terminals, enabling customers to order food across restaurants and get them delivered at their doorstep.</t>
  </si>
  <si>
    <t>The company raised $575 million of Series G venture funding in a deal led by Amazon.com on April 17, 2020. Fidelity Management &amp; Research, The Strand Partners, Greenoaks Capital Partners, and T. Rowe Price also participated in the round. The funding will be used to grow the company's engineering team in its London headquarters and expand its delivery reach to offer its services to new customers. The round was originally closed on May 17, 2019 but was subject to regulatory hold by the Competition and Markets Authority (CMA) in the UK until April of the following year.</t>
  </si>
  <si>
    <t>Application Software, Other Restaurants, Hotels and Leisure*, Other Services (B2C Non-Financial)</t>
  </si>
  <si>
    <t>cloud kitchen, food ordering platform, ghost kitchen, meals delivery, meals delivery company, meals delivery platform, meals ordering, mobility tech, optimize food ordering, supply chain tech, virtual restaurant</t>
  </si>
  <si>
    <t>William Shu</t>
  </si>
  <si>
    <t>70955-29P</t>
  </si>
  <si>
    <t>+44 (0)20 3699 9977</t>
  </si>
  <si>
    <t>william.shu@deliveroo.co.uk</t>
  </si>
  <si>
    <t>Mr. William Shu is a Co-Founder &amp; serves as Chief Executive Officer at Deliveroo. Previously, he served as the Vice President at ESO Capital Group. He worked as an Analyst at SAC Capital. Prior to this, he served as an Associate at D.B. Zwirn &amp; Co. He received his MBA from the University of Pennsylvania, Wharton and his BA from the Northwestern University.</t>
  </si>
  <si>
    <t>Northwestern University, BA (Bachelor of Arts), 2001; University of Pennsylvania (Wharton), MBA (Master of Business Administration), 2012</t>
  </si>
  <si>
    <t>The company raised GBP 2.75 million of Series A funding led by Index Ventures on June 26, 2014, putting the pre-money valuation at GBP 9 million. Man Capital, JamJar Investments, Hoxton Ventures, Greg Marsh and Arnaud Bertrand also participated.</t>
  </si>
  <si>
    <t>Hoxton Ventures, Index Ventures, JamJar Investments, Man Capital</t>
  </si>
  <si>
    <t>Hoxton Ventures(www.hoxtonventures.com), Index Ventures(www.indexventures.com), JamJar Investments(www.jamjarinvestments.com), Man Capital(www.man-capital.com)</t>
  </si>
  <si>
    <t>Hoxton Ventures(Hussein Kanji), Index Ventures, JamJar Investments, Man Capital</t>
  </si>
  <si>
    <t>Index Ventures</t>
  </si>
  <si>
    <t>Hoxton Ventures I(Hoxton Ventures), Index Ventures VII(Index Ventures)</t>
  </si>
  <si>
    <t>EC4R 3TE</t>
  </si>
  <si>
    <t>www.deliveroo.co.uk</t>
  </si>
  <si>
    <t>44985-16T</t>
  </si>
  <si>
    <t>The company raised GBP 14.69 million of Series B Funding from lead investors Accel Partners on January 29, 2015, putting the pre-money valuation at GBP 46.86 million. Index Ventures, Hummingbird Ventures, Khaled Helioui, and Hoxton Venture also participated in the round. The funds will be used for expansion across the U.K. and Internationally.</t>
  </si>
  <si>
    <t>Accel, Hummingbird Ventures, Khaled Helioui</t>
  </si>
  <si>
    <t>Hoxton Ventures, Index Ventures</t>
  </si>
  <si>
    <t>Accel(www.accel.com), Hoxton Ventures(www.hoxtonventures.com), Hummingbird Ventures(www.hummingbird.vc), Index Ventures(www.indexventures.com)</t>
  </si>
  <si>
    <t>Accel(Frederic Destin), Hoxton Ventures(Hussein Kanji), Hummingbird Ventures, Index Ventures, Khaled Helioui(Khaled Helioui)</t>
  </si>
  <si>
    <t>Accel(Frederic Destin)</t>
  </si>
  <si>
    <t>Accel London IV(Accel), Hoxton Ventures I(Hoxton Ventures), Hummingbird Ventures(Hummingbird Ventures), Index Ventures VII(Index Ventures)</t>
  </si>
  <si>
    <t>Gunderson Dettmer (Legal Advisor to Accel), Marriott Harrison (Legal Advisor to Accel), Melot Accounting (Auditor to Company)</t>
  </si>
  <si>
    <t>Melot Accounting (Auditor to Company)</t>
  </si>
  <si>
    <t>Gunderson Dettmer (Legal Advisor to Accel), Marriott Harrison (Legal Advisor to Accel)</t>
  </si>
  <si>
    <t>47467-63T</t>
  </si>
  <si>
    <t>The company raised EUR 1.9 million venture funding from BetaAngels Management, Caixa Capital Risc and Caphaven Partners on March 24, 2015. Fredrik Palmstierna, Cornel Riklin, Eversmarter WW and Andrin Bachmann also participated in the round.</t>
  </si>
  <si>
    <t>BetaAngels Management, Caphaven Partners, Cornel Riklin, Eversmarter WW, Fredrik Palmstierna</t>
  </si>
  <si>
    <t>Andrin Bachmann, CAIXA CAPITAL RISC</t>
  </si>
  <si>
    <t>BetaAngels Management(www.beta-angels.com), CAIXA CAPITAL RISC(www.caixacapitalrisc.es), Caphaven Partners(www.caphaven.com)</t>
  </si>
  <si>
    <t>Andrin Bachmann(Andrin Bachmann), BetaAngels Management(Christian Dörffer), CAIXA CAPITAL RISC(Milos Esteva), Caphaven Partners, Cornel Riklin, Eversmarter WW, Fredrik Palmstierna</t>
  </si>
  <si>
    <t>Caixa Capital Micro II(CAIXA CAPITAL RISC)</t>
  </si>
  <si>
    <t>66548-80T</t>
  </si>
  <si>
    <t>Anders Boos, Andres Estades, Andrin Bachmann, CAIXA CAPITAL RISC, Seedrocket, Zaryn Dentzel</t>
  </si>
  <si>
    <t>CAIXA CAPITAL RISC(www.caixacapitalrisc.es), Seedrocket(www.seedrocket.com)</t>
  </si>
  <si>
    <t>Anders Boos(Anders Boos), Andres Estades(Andres Estades), Andrin Bachmann(Andrin Bachmann), CAIXA CAPITAL RISC(Milos Esteva), Seedrocket, Zaryn Dentzel(Zaryn Dentzel)</t>
  </si>
  <si>
    <t>Caixa Capital Micro(CAIXA CAPITAL RISC)</t>
  </si>
  <si>
    <t>66548-89T</t>
  </si>
  <si>
    <t>The company raised EUR 3.2 million of venture funding from Sweet Capital, Anders Boos and BetaAngels Management in July 2016. Gerard De Geer also participated in the round.</t>
  </si>
  <si>
    <t>Gerard De Geer, Sweet Capital</t>
  </si>
  <si>
    <t>Anders Boos, BetaAngels Management</t>
  </si>
  <si>
    <t>BetaAngels Management(www.beta-angels.com), Sweet Capital(www.sweetcapital.com)</t>
  </si>
  <si>
    <t>Anders Boos(Anders Boos), BetaAngels Management(Christian Dörffer), Gerard De Geer(Gerard De Geer), Sweet Capital(Christian Dorffer)</t>
  </si>
  <si>
    <t>94730-59T</t>
  </si>
  <si>
    <t>5th Round</t>
  </si>
  <si>
    <t>The company raised EUR 5 million of Series A venture funding from lead investor Sweet Capital on September 21, 2017. Other undisclosed investors also participated in the round. The funds will be used to expand team's technical operations, geographical expansion, launch in additional European markets and to further invest in marketing and raise awareness of home dog boarding, doggy daycare and dog walking amongst dog owners. Civeta Investments also participated in it.</t>
  </si>
  <si>
    <t>Civeta Investments</t>
  </si>
  <si>
    <t>Sweet Capital</t>
  </si>
  <si>
    <t>Civeta Investments(www.civeta.es), Sweet Capital(www.sweetcapital.com)</t>
  </si>
  <si>
    <t>Civeta Investments, Sweet Capital(Christian Dorffer)</t>
  </si>
  <si>
    <t>Sweet Capital(Christian Dorffer)</t>
  </si>
  <si>
    <t>113315-68T</t>
  </si>
  <si>
    <t>The company raised EUR 2 million of venture funding from Sweet Capital on September 22, 2016.</t>
  </si>
  <si>
    <t>Sweet Capital(www.sweetcapital.com)</t>
  </si>
  <si>
    <t>28924-93T</t>
  </si>
  <si>
    <t>Evan Moore</t>
  </si>
  <si>
    <t>52215-67P</t>
  </si>
  <si>
    <t>+1 (650) 376-8500</t>
  </si>
  <si>
    <t>em@khoslaventures.com</t>
  </si>
  <si>
    <t>Mr. Evan Moore serves as Partner at Khosla Ventures. He serves as Board Member at Up&amp;Up. He previously served as the Vice President, Product at Opendoor. He is a Co-Founder of DoorDash. He was an Advisor at Viddy, Inc. He is passionate about early-stage product development, customer-centered design, businesses prototyping, and giving people leverage through technology. He first met the KV team as cofounder and head of operations at DoorDash. He joined KV as an EIR in 2014, where he helped with seed investments in Checkr and NimbleRx. From KV, he joined the Opendoor team pre-launch to lead product. At Opendoor, he built teams in product, sales and operations and then scaled the buyer side of the marketplace as General Manager.</t>
  </si>
  <si>
    <t>New York University, BFA (Bachelor of Fine Arts), 2007, Music; Stanford Graduate School of Business, MBA (Master of Business Administration), 2013</t>
  </si>
  <si>
    <t>The company raised $2.4 million of venture funding from lead investor Khosla Ventures' Keith Rabois, Ooga Labs and Charles River Ventures' Saar Gur on Septemeber 30, 2013. Haystack, SV Angel's David Lee, YC partner Paul Buchheit, Benchmark co-founder Andy Rachleff, Ullas Naik angel investor Russell Siegelman and Pejman Nozad's New Fund Pejman Mar Ventures also participated.</t>
  </si>
  <si>
    <t>Andy Rachleff, Benchmark (San Francisco), CRV, Haystack, Khosla Ventures, Ooga Labs, Paul Buchheit, Pear, Pejman Nozad, Russell Siegelman, SV Angel, Ullas Naik</t>
  </si>
  <si>
    <t>Benchmark (San Francisco)(www.benchmark.com), CRV(www.crv.com), Haystack(haystack.vc), Khosla Ventures(www.khoslaventures.com), Ooga Labs(www.oogalabs.com), Pear(www.pear.vc), SV Angel(www.svangel.com), Y Combinator(www.ycombinator.com)</t>
  </si>
  <si>
    <t>Andy Rachleff(Andy Rachleff), Benchmark (San Francisco), CRV(Saar Gur), Haystack(Semil Shah), Khosla Ventures(Keith Rabois), Ooga Labs, Paul Buchheit, Pear, Pejman Nozad(Pejman Nozad), Russell Siegelman(Russell Siegelman), SV Angel(David Lee), Ullas Naik(Ullas Naik), Y Combinator(Paul Buchheit)</t>
  </si>
  <si>
    <t>CRV(Saar Gur), Khosla Ventures(Keith Rabois)</t>
  </si>
  <si>
    <t>Benchmark Capital Partners VII (AIV)(Benchmark (San Francisco)), Charles River Partnership XV(CRV), Haystack(Haystack), Khosla Ventures Seed B(Khosla Ventures), Pear Ventures I(Pear), SV Angel IV(SV Angel), Y Combinator Fund II(Y Combinator)</t>
  </si>
  <si>
    <t>34134-85T</t>
  </si>
  <si>
    <t>The company raised $17.3 million of Series A venture funding led by Sequoia Capital on May 23, 2014, putting the pre-money valuation at $54.25 million. Khosla Ventures, Charles River Ventures, NFX, Pejman Mar Ventures and Ted Zagat also participated.</t>
  </si>
  <si>
    <t>NFX, Sequoia Capital, Streamlined Ventures</t>
  </si>
  <si>
    <t>CRV, Khosla Ventures, Pear</t>
  </si>
  <si>
    <t>CRV(www.crv.com), Khosla Ventures(www.khoslaventures.com), NFX(www.nfx.com), Pear(www.pear.vc), Sequoia Capital(www.sequoiacap.com), Streamlined Ventures(www.streamlined.vc)</t>
  </si>
  <si>
    <t>CRV(Saar Gur), Khosla Ventures(Keith Rabois), NFX, Pear, Sequoia Capital(Alfred Lin), Streamlined Ventures</t>
  </si>
  <si>
    <t>Sequoia Capital(Alfred Lin)</t>
  </si>
  <si>
    <t>Charles River Partnership XV(CRV), Khosla Ventures Seed B(Khosla Ventures), Pear Ventures I(Pear), Sequoia Capital U.S. Growth Fund VI(Sequoia Capital), Streamlined Ventures I(Streamlined Ventures)</t>
  </si>
  <si>
    <t>47036-62T</t>
  </si>
  <si>
    <t>The company raised $40 million of Series B venture funding in a deal led by Kleiner Perkins Caufield &amp; Byers on March 17, 2015, putting the company's pre-money valuation at $560 million. Charles River Ventures, Khosla Ventures, Pear Ventures, Cota Capital and Sequoia Capital also participated.</t>
  </si>
  <si>
    <t>Cota Capital, Kleiner Perkins</t>
  </si>
  <si>
    <t>CRV, Khosla Ventures, Pear, Sequoia Capital</t>
  </si>
  <si>
    <t>Cota Capital(www.cotacapital.com), CRV(www.crv.com), Khosla Ventures(www.khoslaventures.com), Kleiner Perkins(www.kleinerperkins.com), Pear(www.pear.vc), Sequoia Capital(www.sequoiacap.com)</t>
  </si>
  <si>
    <t>Cota Capital, CRV(Saar Gur), Khosla Ventures(Keith Rabois), Kleiner Perkins(John Doerr), Pear, Sequoia Capital(Alfred Lin)</t>
  </si>
  <si>
    <t>Kleiner Perkins(John Doerr)</t>
  </si>
  <si>
    <t>Charles River Partnership XV(CRV), Khosla Ventures Seed B(Khosla Ventures), KPCB Digital Growth Fund II(Kleiner Perkins), Pear Ventures I(Pear), Sequoia Capital U.S. Growth Fund VI(Sequoia Capital)</t>
  </si>
  <si>
    <t>49912-75T</t>
  </si>
  <si>
    <t>Drizly</t>
  </si>
  <si>
    <t>61205-05</t>
  </si>
  <si>
    <t>Developer of an online liquor retail platform intended to deliver alcohol and other related products. The company's e-commerce platform offers a wide range of alcoholic beverages like wines, beer, gin, vodka, and whiskey which can be ordered along with extras like mixers and garnishes, enabling customers to order alcoholic drinks without having to go to the store.</t>
  </si>
  <si>
    <t>The company raised $50 million of Series C venture funding in a deal led by Avenir Growth Capital on August 20, 2020. Baird Capital, Polaris Partners, Tiger Global Management, and other undisclosed investors also participated in the round. The funds will be used to further accelerate its product and customer growth. The investment will also support the group's independently operated online cannabis commerce company.</t>
  </si>
  <si>
    <t>Application Software, Beverages, Specialty Retail*</t>
  </si>
  <si>
    <t>alcohol buy portal, alcohol delivery, beer delivery, liquor delivery, mobility tech, online alcohol buy platform, online alcohol platform, supply chain tech</t>
  </si>
  <si>
    <t>Nicholas Rellas</t>
  </si>
  <si>
    <t>59945-14P</t>
  </si>
  <si>
    <t>+1 (774) 234-1033</t>
  </si>
  <si>
    <t>nicholas@drizly.com</t>
  </si>
  <si>
    <t>Mr. Nicholas Rellas is a Co-Founder &amp; serves as Board Member at Drizly. He co-founded Drizly in 2012 and had served as chief executive since the company's inception. Previously he served as the Operations Executive at New England Coffee Company. He received his BS in finance, corporate reporting &amp; analysis from Boston College.</t>
  </si>
  <si>
    <t>Boston College, BS (Bachelor of Science), Finance, Corporate Reporting &amp; Analysis; Rochester Institute of Technology (RIT), Degree</t>
  </si>
  <si>
    <t>The company raised $14 million of Series A venture funding led by Polaris Partners on April 30, 2015, putting the pre-money valuation at $36 million. Wine &amp; Spirits Wholesalers of America, Suffolk Equity Partners, Cava Capital and First Beverage Group also participated in the round. The company will use the funding to continue expansion of the industry standard for legally connecting alcohol supply and demand for the three-tier system, which comprises distributors, suppliers and sellers.</t>
  </si>
  <si>
    <t>Cava Capital, First Beverage Group, Polaris Partners, Wine &amp; Spirits Wholesalers of America</t>
  </si>
  <si>
    <t>Suffolk Equity Partners</t>
  </si>
  <si>
    <t>Cava Capital(www.cavacapital.com), First Beverage Group(www.firstbev.com), Polaris Partners(www.polarispartners.com), Suffolk Equity Partners(www.suffolkequity.com), Wine &amp; Spirits Wholesalers of America(www.wswa.org)</t>
  </si>
  <si>
    <t>Cava Capital(Robert Geiman), First Beverage Group, Polaris Partners(Patrick Kinsel), Suffolk Equity Partners(Freddie Martignetti), Wine &amp; Spirits Wholesalers of America</t>
  </si>
  <si>
    <t>Polaris Partners(Patrick Kinsel)</t>
  </si>
  <si>
    <t>Polaris Entrepreneurs' Fund VII(Polaris Partners)</t>
  </si>
  <si>
    <t>Latham &amp; Watkins (Legal Advisor to Company)</t>
  </si>
  <si>
    <t>Boston, MA</t>
  </si>
  <si>
    <t>Boston</t>
  </si>
  <si>
    <t>02116</t>
  </si>
  <si>
    <t>www.drizly.com</t>
  </si>
  <si>
    <t>55881-19T</t>
  </si>
  <si>
    <t>The company raised $5.37 million of Series A venture funding from G Squared, Kaplan Group Investments and other undisclosed investors on August 18, 2016, putting the pre-money valuation at $6.06 million. The company will use the funds to continue to expand, hire approximately 10 new employees and build out its 25,000-square-foot warehouse in Tempe, US.</t>
  </si>
  <si>
    <t>G Squared, KG Investments</t>
  </si>
  <si>
    <t>G Squared(www.gsquared.com), KG Investments(www.kginvest.net)</t>
  </si>
  <si>
    <t>G Squared, KG Investments(Allan Kaplan)</t>
  </si>
  <si>
    <t>G Squared Fund III(G Squared)</t>
  </si>
  <si>
    <t>84735-55T</t>
  </si>
  <si>
    <t>The company was reportedly seeking Series B venture funding from undisclosed investors on March 13, 2017. Subsequently, the deal got canceled.</t>
  </si>
  <si>
    <t>Failed Transaction (VC)</t>
  </si>
  <si>
    <t>102642-85T</t>
  </si>
  <si>
    <t>100746-19T</t>
  </si>
  <si>
    <t>Epicured</t>
  </si>
  <si>
    <t>221884-12</t>
  </si>
  <si>
    <t>Developer of a gourmet kitchen and food delivery service platform intended to make healthy eating simple and joyful. The company's platform provides offers a gluten-free, healthy, digestion-friendly and low FODMAP menu (fermentable oligosaccharides, disaccharides, monosaccharides and polyols), enabling digestive disorder patients to improve symptoms and get a meal compliant with their treatment plans.</t>
  </si>
  <si>
    <t>The company raised an undisclosed amount of venture funding from Fantail Ventures and Mount Sinai Ambulatory Ventures on January 10, 2019.</t>
  </si>
  <si>
    <t>Application Software, Food Products*</t>
  </si>
  <si>
    <t>FoodTech, LOHAS &amp; Wellness, TMT</t>
  </si>
  <si>
    <t>fodmap diet, food delivery platform, food delivery service, food subscription, food subscription box, foodtech, healthy diet, healthy food subscription, meals delivery service</t>
  </si>
  <si>
    <t>Richard Bennett</t>
  </si>
  <si>
    <t>173620-63P</t>
  </si>
  <si>
    <t>+1 (844) 650-9002</t>
  </si>
  <si>
    <t>richard.bennett@epicured.com</t>
  </si>
  <si>
    <t>Mr. Richard Bennett is a Co-Founder and serves as Chief Executive Officer at Epicured. At Epicured, he spearheads day-to-day finance and operations, while leading the company's long-term business development strategy. Previously, Richard worked for the North Shore-LIJ Health System (now Northwell Health), the region's largest healthcare provider, where he co-founded the health system's first incubator and launched its health and wellness division. He subsequently served MUFG (Bank of Tokyo) as Chief Operating Officer of the Latin America Corporate &amp; Investment Banking group.</t>
  </si>
  <si>
    <t>The company raised an undisclosed amount of venture funding from Mount Sinai Ambulatory Ventures in 2017</t>
  </si>
  <si>
    <t>Mount Sinai Ambulatory Ventures</t>
  </si>
  <si>
    <t>Mount Sinai Ambulatory Ventures(Brent Stackhouse)</t>
  </si>
  <si>
    <t>10012</t>
  </si>
  <si>
    <t>www.epicured.com</t>
  </si>
  <si>
    <t>116362-45T</t>
  </si>
  <si>
    <t>Fantail Ventures</t>
  </si>
  <si>
    <t>Fantail Ventures(www.fantailventures.com)</t>
  </si>
  <si>
    <t>Fantail Ventures, Mount Sinai Ambulatory Ventures(Brent Stackhouse)</t>
  </si>
  <si>
    <t>56220-76T</t>
  </si>
  <si>
    <t>Factor 75</t>
  </si>
  <si>
    <t>101489-05</t>
  </si>
  <si>
    <t>Provider of food preparing and delivery services intended to offer a perfect balance of nutrition and taste to enhance mind and body performance. The company's services offer meals that are designed by a team of nutritionists and chefs to provide an optimal balance of nourishment and taste, enabling consumers to look, feel and perform better while saving time by preparing and delivering chef-crafted, nutritious meals to their homes and offices.</t>
  </si>
  <si>
    <t>The company raised $12.5 million of Series B venture funding from Slojo Investments on May 22, 2020.</t>
  </si>
  <si>
    <t>Application Software, Food Products*, Other Restaurants, Hotels and Leisure, Other Services (B2C Non-Financial)</t>
  </si>
  <si>
    <t>food delivery, gluten-free diet, healthy food delivery, meals delivery, nutritional food platform, online food platform</t>
  </si>
  <si>
    <t>Nick Wernimont</t>
  </si>
  <si>
    <t>97807-51P</t>
  </si>
  <si>
    <t>Mr. Nick Wernimont Founded and served as Chief Health &amp; Wellness Strategist at Factor 75. He earned his Bachelor's degree in Accounting &amp; Finance from the University of Iowa in 2000.</t>
  </si>
  <si>
    <t>University of Iowa, Bachelor's, 2000, Accounting &amp; Finance</t>
  </si>
  <si>
    <t>The company raised an undisclosed amount of venture funding from Listen Ventures and Nameless Ventures in June 2013.</t>
  </si>
  <si>
    <t>Listen Ventures, Nameless Ventures</t>
  </si>
  <si>
    <t>Listen Ventures(www.listen.co), Nameless Ventures(www.namelessventures.com)</t>
  </si>
  <si>
    <t>Listen Ventures(Jeff Cantalupo), Nameless Ventures</t>
  </si>
  <si>
    <t>Batavia, IL</t>
  </si>
  <si>
    <t>Batavia</t>
  </si>
  <si>
    <t>60510</t>
  </si>
  <si>
    <t>www.factor75.com</t>
  </si>
  <si>
    <t>81022-06T</t>
  </si>
  <si>
    <t>The company raised 1.1 million of venture funding from Bluestein &amp; Associates, Flow Capital, Listen Ventures and Dashfire in 2016.</t>
  </si>
  <si>
    <t>Bluestein Ventures, Dashfire, Flow Capital</t>
  </si>
  <si>
    <t>Listen Ventures</t>
  </si>
  <si>
    <t>Bluestein Ventures(www.bluesteinassociates.com), Dashfire(www.dashfire.com), Flow Capital (TSX: FW)(www.flowcap.com), Listen Ventures(www.listen.co)</t>
  </si>
  <si>
    <t>Bluestein Ventures(Andrew Bluestein), Dashfire, Flow Capital (TSX: FW), Listen Ventures(Jeff Cantalupo)</t>
  </si>
  <si>
    <t>Bluestein Ventures(Andrew Bluestein)</t>
  </si>
  <si>
    <t>46884-79T</t>
  </si>
  <si>
    <t>The company raised $13 million of Series A funding from lead investor S3 Ventures on March 13, 2015, putting the pre-money valuation at $18.15 million. Corsa Ventures and Silverton Partners also participated in the round. The funding will be used to expand its mobile service, which delivers orders from local restaurants and stores. Tim Draper and other undisclosed angel investors also participated in the round.</t>
  </si>
  <si>
    <t>Corsa Ventures, S3 Ventures</t>
  </si>
  <si>
    <t>Silverton Partners</t>
  </si>
  <si>
    <t>Corsa Ventures(www.corsaventures.com), S3 Ventures(www.s3vc.com), Silverton Partners(www.silvertonpartners.com)</t>
  </si>
  <si>
    <t>Corsa Ventures, S3 Ventures(Brian Smith), Silverton Partners(Kip McClanahan)</t>
  </si>
  <si>
    <t>S3 Ventures(Brian Smith)</t>
  </si>
  <si>
    <t>S3 Ventures V(S3 Ventures), Silverton Partners IV(Silverton Partners)</t>
  </si>
  <si>
    <t>Kastner Gravelle (Legal Advisor to Company)</t>
  </si>
  <si>
    <t>93945-43T</t>
  </si>
  <si>
    <t>Flat Round</t>
  </si>
  <si>
    <t>The company raised $22 million of Series B venture funding in a deal led by S3 Ventures on September 7, 2017, putting the pre-money valuation at $44 million. Follow on Silverton Partners, Tim Draper and other undisclosed investors also participated. The company which has raised more than $34 million in total funding to date, intends to use the funds to expand first in Texas and then elsewhere and to develop their product, including a new Web app for desktop computers that aims to encourage ordering from corporate customers and large groups.</t>
  </si>
  <si>
    <t>S3 Ventures, Silverton Partners, Timothy Draper</t>
  </si>
  <si>
    <t>S3 Ventures(www.s3vc.com), Silverton Partners(www.silvertonpartners.com), Timothy Draper(www.timothydraper.com)</t>
  </si>
  <si>
    <t>S3 Ventures(Brian Smith), Silverton Partners(Kip McClanahan), Timothy Draper(Timothy Draper)</t>
  </si>
  <si>
    <t>134850-52T</t>
  </si>
  <si>
    <t>The company was in talks to receive an undisclosed amount of venture funding in the form of convertible debt on April 8, 2020. Subsequently, the deal was cancelled.</t>
  </si>
  <si>
    <t>58787-92T</t>
  </si>
  <si>
    <t>Forkable</t>
  </si>
  <si>
    <t>91967-41</t>
  </si>
  <si>
    <t>Provider of a food delivery service intended to offer lunch at the workplace and offices. The company's services plan and deliver single-person lunches from different restaurants for its users, enabling users to avail required dishes at a reasonable price.</t>
  </si>
  <si>
    <t>The company raised $813,863 of venture funding through a combination of debt and equity from S2 Capital, Hemisphere Ventures and David Hauser on April 11, 2016. David Chan, Blake Commagere, Seth Ginns, Amir Banifatemi and Chris Bennett also participated in the round.</t>
  </si>
  <si>
    <t>FoodTech, Restaurant Technology, SaaS</t>
  </si>
  <si>
    <t>food at work, food delivery, lunch suggestion, office lunch delivery, single-person lunches</t>
  </si>
  <si>
    <t>Joseph Kumph</t>
  </si>
  <si>
    <t>116200-18P</t>
  </si>
  <si>
    <t>+1 (415) 857-0841</t>
  </si>
  <si>
    <t>kumph@forkable.com</t>
  </si>
  <si>
    <t>Mr. Joseph Kumph is a Co-Founder and serves as Chief Executive Officer at Forkable.</t>
  </si>
  <si>
    <t>University of Chicago, Bachelor's, 2004, Mathematics</t>
  </si>
  <si>
    <t>Amir Banifatemi, Blake Commagere, Chris Bennett, David Chan, David Hauser, Hemisphere Ventures, S2 Capital, Seth Ginns</t>
  </si>
  <si>
    <t>David Hauser(www.davidhauser.com), Hemisphere Ventures(www.hemisphere.com), S2 Capital(www.s2capital.vc)</t>
  </si>
  <si>
    <t>Amir Banifatemi(Amir Banifatemi), Blake Commagere(Blake Commagere), Chris Bennett(Chris Bennett), David Chan(David Chan), David Hauser(David Hauser), Hemisphere Ventures, S2 Capital, Seth Ginns(Seth Ginns)</t>
  </si>
  <si>
    <t>94131</t>
  </si>
  <si>
    <t>www.forkable.com</t>
  </si>
  <si>
    <t>59987-98T</t>
  </si>
  <si>
    <t>The company raised $10.75 million of Series A venture funding in a deal led by Trinity Ventures on October 29, 2015, putting the company's pre-money valuation at $18.19 million. Rohan Oza, Andreessen Horowitz, Fenox Venture Capital, Himel Capital, Initialized Capital and Anjula Acharia-Bath also participated in the round. The funding will be used to expand its engineering team towards enhancing its technology.</t>
  </si>
  <si>
    <t>Andreessen Horowitz, Himel Capital, Pegasus Tech Ventures, Rohan Oza, Trinity Ventures</t>
  </si>
  <si>
    <t>Initialized Capital Management</t>
  </si>
  <si>
    <t>Andreessen Horowitz(www.a16z.com), Himel Capital(www.himelcapital.com), Initialized Capital Management(www.initialized.com), Pegasus Tech Ventures(www.pegasustechventures.com), Trinity Ventures(www.trinityventures.com)</t>
  </si>
  <si>
    <t>Andreessen Horowitz, Himel Capital, Initialized Capital Management(Garry Tan), Pegasus Tech Ventures, Rohan Oza(Rohan Oza), Trinity Ventures(Ajay Chopra)</t>
  </si>
  <si>
    <t>Trinity Ventures(Ajay Chopra)</t>
  </si>
  <si>
    <t>Andreessen Horowitz Fund IV(Andreessen Horowitz), Fenox Infocom Venture Fund V(Pegasus Tech Ventures), Initialized II(Initialized Capital Management), Trinity Ventures XI(Trinity Ventures)</t>
  </si>
  <si>
    <t>30174-31T</t>
  </si>
  <si>
    <t>The company raised GBP 1.2 million of venture funding led by MMC Ventures on December 9, 2013, putting the pre-money valuation at GBP 2.47 million. Angel CoFund, Andi Peters and other undisclosed individual investors also participated in the funding. The funding will be used to further strengthen the product and to fast track the business.</t>
  </si>
  <si>
    <t>Andi Peters, MMC Ventures</t>
  </si>
  <si>
    <t>Angel CoFund(www.angelcofund.co.uk), MMC Ventures(mmc.vc)</t>
  </si>
  <si>
    <t>Andi Peters(Andi Peters), Angel CoFund(George Whitehead), MMC Ventures(Jonathan Coker)</t>
  </si>
  <si>
    <t>MMC Ventures(Jonathan Coker)</t>
  </si>
  <si>
    <t>WY Partners (Advisor: General to MMC Ventures)</t>
  </si>
  <si>
    <t>37627-93T</t>
  </si>
  <si>
    <t>The company raised GBP 5 million of Series A venture funding from lead investor Unilever Ventures on September 15, 2014, putting the pre-money valuation at GBP 7.1 million. MMC Ventures also participated. There were three series of stock issued as part of this round: 58,466 shares of F2 Ordinary and 58,466 shares of G2 ordinary were acquired for GBP 500,000 each and 345,424 shares of H Ordinary shares were acquired for GBP 4 million.</t>
  </si>
  <si>
    <t>Unilever Ventures</t>
  </si>
  <si>
    <t>MMC Ventures</t>
  </si>
  <si>
    <t>MMC Ventures(mmc.vc), Unilever Ventures(www.unileverventures.com)</t>
  </si>
  <si>
    <t>MMC Ventures(Jonathan Coker), Unilever Ventures(Jan Harley)</t>
  </si>
  <si>
    <t>Unilever Ventures(Jan Harley)</t>
  </si>
  <si>
    <t>MMC Growth Generation Fund II(MMC Ventures), Unilever Ventures II(Unilever Ventures)</t>
  </si>
  <si>
    <t>78015-88T</t>
  </si>
  <si>
    <t>The company raised GBP 22 million of venture funding from BGF, MMC Ventures and Barclays on November 3, 2016, putting the pre-money valuation at GBP 29.67 million. Angel CoFund, Unilever Ventures and Business Growth Fund also participated in the round. The funds will be used to continue improving the experience for customers, in terms of recipe choice and turn around.</t>
  </si>
  <si>
    <t>Other Debt</t>
  </si>
  <si>
    <t>Barclays, BGF</t>
  </si>
  <si>
    <t>Angel CoFund, MMC Ventures, Unilever Ventures</t>
  </si>
  <si>
    <t>Angel CoFund(www.angelcofund.co.uk), Barclays (LON: BARC)(home.barclays), BGF(www.bgf.co.uk), MMC Ventures(mmc.vc), Unilever Ventures(www.unileverventures.com)</t>
  </si>
  <si>
    <t>Angel CoFund(George Whitehead), Barclays (LON: BARC), BGF(Stephen Murphy), MMC Ventures(Jonathan Coker), Unilever Ventures(Jan Harley)</t>
  </si>
  <si>
    <t>Angel CoFund(Angel CoFund), MMC Greater London Fund(MMC Ventures), Unilever Ventures(Unilever Ventures)</t>
  </si>
  <si>
    <t>WY Partners (Advisor: General to Angel CoFund), WY Partners (Advisor: General to BGF), WY Partners (Advisor: General to MMC Ventures), WY Partners (Advisor: General to Unilever Ventures)</t>
  </si>
  <si>
    <t>22309-75T</t>
  </si>
  <si>
    <t>The company raised $2.19 million of Series A seed funding from Highland Capital Partners and General Catalyst on October 16, 2012, putting the pre-money valuation at $3.25 million.</t>
  </si>
  <si>
    <t>General Catalyst</t>
  </si>
  <si>
    <t>Highland Capital Partners</t>
  </si>
  <si>
    <t>General Catalyst(www.generalcatalyst.com), Highland Capital Partners(www.hcp.com)</t>
  </si>
  <si>
    <t>General Catalyst(Joel Cutler), Highland Capital Partners(Robert Davis)</t>
  </si>
  <si>
    <t>General Catalyst Group VI(General Catalyst), Highland Capital Partners VIII(Highland Capital Partners)</t>
  </si>
  <si>
    <t>29294-29T</t>
  </si>
  <si>
    <t>Series A1</t>
  </si>
  <si>
    <t>The company raised $10 million of Series A1 venture funding from lead investor General Catalyst Partners on October 22, 2013, putting the pre-money valuation at $38.01 million. Highland Capital Partners, David Tisch and BoxGroup also participated.</t>
  </si>
  <si>
    <t>BoxGroup, David Tisch</t>
  </si>
  <si>
    <t>General Catalyst, Highland Capital Partners</t>
  </si>
  <si>
    <t>BoxGroup(www.boxgroup.com), David Tisch(www.davidtisch.com), General Catalyst(www.generalcatalyst.com), Highland Capital Partners(www.hcp.com)</t>
  </si>
  <si>
    <t>BoxGroup, David Tisch(David Tisch), General Catalyst(Joel Cutler), Highland Capital Partners(Robert Davis)</t>
  </si>
  <si>
    <t>General Catalyst(Joel Cutler)</t>
  </si>
  <si>
    <t>General Catalyst Group VI(General Catalyst), Highland Capital Partners IX(Highland Capital Partners)</t>
  </si>
  <si>
    <t>31260-07T</t>
  </si>
  <si>
    <t>Series A2</t>
  </si>
  <si>
    <t>The company raised $3.72 million of Series A2 venture funding from undisclosed investors on February 4, 2014, putting the pre-money valuation at $49.11 million. 39 investors participated in the round.</t>
  </si>
  <si>
    <t>34613-11T</t>
  </si>
  <si>
    <t>The company raised $29.98 million of Series B venture funding from lead investor Revolution Growth on June 05, 2014, putting the pre-money valuation at $77.31 million. Highland Capital Partners, Slow Ventures, BoxGroup and General Catalyst Partners also participated. The company intends to use the funds to build the team and product.</t>
  </si>
  <si>
    <t>Kevin Colleran, Revolution, Slow Ventures</t>
  </si>
  <si>
    <t>BoxGroup, General Catalyst, Highland Capital Partners</t>
  </si>
  <si>
    <t>BoxGroup(www.boxgroup.com), General Catalyst(www.generalcatalyst.com), Highland Capital Partners(www.hcp.com), Revolution(www.revolution.com), Slow Ventures(www.slow.co)</t>
  </si>
  <si>
    <t>BoxGroup, General Catalyst(Joel Cutler), Highland Capital Partners(Robert Davis), Kevin Colleran(Kevin Colleran), Revolution(Scott Hilleboe), Slow Ventures</t>
  </si>
  <si>
    <t>General Catalyst Group VI(General Catalyst), Highland Capital Partners IX(Highland Capital Partners), Revolution Growth Fund II(Revolution)</t>
  </si>
  <si>
    <t>Goodwin (Legal Advisor to Company, John Egan III)</t>
  </si>
  <si>
    <t>37860-49T</t>
  </si>
  <si>
    <t>Robert Davis</t>
  </si>
  <si>
    <t>12482-38P</t>
  </si>
  <si>
    <t>+1 (617) 401-4500</t>
  </si>
  <si>
    <t>bdavis@hcp.com</t>
  </si>
  <si>
    <t>Mr. Robert Davis serves as Board Member at Vecna Robotics. he also serves as Partner at Highland Capital Partners. He serves as Board Member at Coin Metrics. He was a Board Member of OpenSky. He focuses primarily on digital media and has been with our team since 2001. He currently represents Highland with Dailybreak, Gemvara, Harry's, NameMedia, Oyster Books, Handybook and SessionM. He previously served on the boards of ALOHA, Bullhorn (acquired by Vista Equity Partners), Fastclick (Nasdaq: FSTC), Going (acquired by AOL), Navic (acquired by MSFT), Pixable (acquired by SingTel), Quattro (acquired by Apple), Quigo (acquired by AOL) and Turbine (acquired by Warner Bros.). Prior to joining Highland, he served as the Chief Executive Officer of Terra Lycos (TRLY) formed in October 2000 with the $5.5 billion acquisition of Lycos by Telefonica's Terra Networks of Spain. Previously, he was the Founder of Lycos, Inc. (LCOS) and served as its President and Chief Executive Officer since its inception in 1995 where he led Lycos from a start-up with $2 million in venture capital funding to become the most visited online destination in the world. Under his leadership, Lycos jumped from the fastest IPO in Nasdaq history, a mere nine months from inception to offering, exceeding Wall Street estimates for 22 consecutive quarters and grew to a global media entity. He has also served on the boards of several public and private sector companies including John Hancock (JHFS), Ticketmaster (TCMS), Terra Lycos (TRLY), Lycos (LCOS) and Lycos Europe (LCY). He also served as a Trustee for Children's Hospital Trust Board, The Rivers School and Board of Advisors for the Boston College Carroll School of Management. He has advised former President Clinton on matters relating to internet commerce and regulation and has addressed Congress, The United Nations, The National Press Corps and the U.S. Council of Foreign Relations on similar matters. He earned a B.S. from Northeastern University, an M.B.A. from Babson College, an Honorary Doctorate of Commercial Sciences from Bentley College and an Honorary Doctorate from Northeastern University. He also serves as Board Member at Handybook.</t>
  </si>
  <si>
    <t>Babson College, MBA (Master of Business Administration), 1985; Northeastern University, BS (Bachelor of Science), 1979, Business Administration; Northeastern University, Honorary Doctorate</t>
  </si>
  <si>
    <t>6th Round</t>
  </si>
  <si>
    <t>Series B1</t>
  </si>
  <si>
    <t>The company raised $1.75 million of Series B1 venture funding from Lance White and undisclosed investors on September 23, 2014, putting the pre-money valuation at $109.4 million.</t>
  </si>
  <si>
    <t>Lance White</t>
  </si>
  <si>
    <t>Lance White(Lance White)</t>
  </si>
  <si>
    <t>47596-51T</t>
  </si>
  <si>
    <t>7th Round</t>
  </si>
  <si>
    <t>Series B2</t>
  </si>
  <si>
    <t>The company raised $15.19 million of Series B2 venture funding led by TPG Growth on May 5, 2015, putting the pre-money valuation at $154.31 million. Sound Ventures, General Catalyst Partners, Highland Capital Partners, Slow Ventures and Revolution Growth also participated in the round.</t>
  </si>
  <si>
    <t>Sound Ventures, TPG Growth</t>
  </si>
  <si>
    <t>General Catalyst, Highland Capital Partners, Revolution, Slow Ventures</t>
  </si>
  <si>
    <t>General Catalyst(www.generalcatalyst.com), Highland Capital Partners(www.hcp.com), Revolution(www.revolution.com), Slow Ventures(www.slow.co), Sound Ventures(soundventures.com), TPG Growth(www.tpggrowth.com)</t>
  </si>
  <si>
    <t>General Catalyst(Joel Cutler), Highland Capital Partners(Robert Davis), Revolution(Scott Hilleboe), Slow Ventures, Sound Ventures, TPG Growth</t>
  </si>
  <si>
    <t>TPG Growth</t>
  </si>
  <si>
    <t>General Catalyst Group VI(General Catalyst), Highland Capital Partners IX(Highland Capital Partners), Revolution Growth Fund II(Revolution), Slow Ventures I(Slow Ventures), TPG Growth Fund III(TPG Growth)</t>
  </si>
  <si>
    <t>136680-22T</t>
  </si>
  <si>
    <t>HappyNest</t>
  </si>
  <si>
    <t>280118-62</t>
  </si>
  <si>
    <t>Operator of a laundry-as-a-service enterprise software intended for a convenient and affordable way to get laundry done. The company's technology platform makes on-demand home laundry an easy, economical, and efficient experience for time-starved consumers, enabling them to get rid of a repetitive domestic chore.</t>
  </si>
  <si>
    <t>The company raised an undisclosed amount of venture funding from Slater Technology Fund on May 18, 2020. The funding will be used to capitalize on the company's function as an essential service to many people during the COVID19 pandemic.</t>
  </si>
  <si>
    <t>laundry app, laundry care, laundry deliver, laundry deliver services, laundry service</t>
  </si>
  <si>
    <t>John MacKrell</t>
  </si>
  <si>
    <t>210583-27P</t>
  </si>
  <si>
    <t>+1 (855) 335-9274</t>
  </si>
  <si>
    <t>john@happynest.com</t>
  </si>
  <si>
    <t>Mr. John MacKrell is a Co-Founder &amp; serves as Chief Executive Officer at HappyNest.</t>
  </si>
  <si>
    <t>The company raised $462,742 of venture funding in the form of options and warrants from undisclosed investors on January 17, 2020.</t>
  </si>
  <si>
    <t>East Greenwich, RI</t>
  </si>
  <si>
    <t>East Greenwich</t>
  </si>
  <si>
    <t>Rhode Island</t>
  </si>
  <si>
    <t>www.happynest.com</t>
  </si>
  <si>
    <t>136680-31T</t>
  </si>
  <si>
    <t>Slater Technology Fund</t>
  </si>
  <si>
    <t>Slater Technology Fund(www.slaterfund.com)</t>
  </si>
  <si>
    <t>Slater Technology Fund(Thorne Sparkman)</t>
  </si>
  <si>
    <t>48353-14T</t>
  </si>
  <si>
    <t>Hello Alfred</t>
  </si>
  <si>
    <t>97481-53</t>
  </si>
  <si>
    <t>Provider of on-demand concierge services designed to change the way people back each other and get things done. The company's services offers an innovative private-butler service in which someone can be hired to come into users home while work and take care of chores such as house cleaning, grocery shopping and dry cleaning drop-off and pick up all of which will be completed by the time users return home, enabling users to handle everyday household chores with ease and simple life.</t>
  </si>
  <si>
    <t>The company was approved for a Paycheck Protection Program Loan in the range of $2-5 million from Newtek Small Business Finance, Inc. on June, 12 2020. The application cited 289 jobs to be retained with the financing.</t>
  </si>
  <si>
    <t>apartments cleaning, butler application, butler platform, butler property, butler service, domestic helpers, household assistant, household service, luxury rental unit, on demand butler services, online butler, personalized services</t>
  </si>
  <si>
    <t>Marcela Sapone</t>
  </si>
  <si>
    <t>35520-76P</t>
  </si>
  <si>
    <t>+1 (646) 756-4877</t>
  </si>
  <si>
    <t>marcela@alfredclub.com</t>
  </si>
  <si>
    <t>Ms. Marcela Sapone is a Co-Founder and serves as Chief Executive Officer at Hello Alfred. She conducts due diligence on potential acquisitions and helps portfolio companies develop and execute their overall strategy. She was previously with McKinsey &amp; Company, where she focused on innovative growth strategies and operations in the energy, high tech, retail, and healthcare sectors. Ms. Sapone holds BA in Political Science and Economics from Boston University, MBA from Harvard Business School and BS from Boston University.</t>
  </si>
  <si>
    <t>Boston University, BA (Bachelor of Arts), Political Science and Economics; Boston University, BS (Bachelor of Science), 2008; Harvard Business School, MBA (Master of Business Administration), 2014</t>
  </si>
  <si>
    <t>The company raised $10.5 million of Series A venture funding led by New Enterprise Associates and Spark Capital on February 27, 2015, putting the company's pre-money valuation at $23.11 million. Sherpa Ventures and CrunchFund also participated in the round. The deal also includes $400,000 of debt financing.</t>
  </si>
  <si>
    <t>ACME Capital</t>
  </si>
  <si>
    <t>New Enterprise Associates, Spark Capital, Tuesday Capital</t>
  </si>
  <si>
    <t>ACME Capital(www.acme.vc), New Enterprise Associates(www.nea.com), Spark Capital(www.sparkcapital.com), Tuesday Capital(www.tuesday.vc)</t>
  </si>
  <si>
    <t>ACME Capital, New Enterprise Associates(Scott Sandell), Spark Capital(Bijan Sabet), Tuesday Capital</t>
  </si>
  <si>
    <t>New Enterprise Associates(Scott Sandell), Spark Capital(Bijan Sabet)</t>
  </si>
  <si>
    <t>Crunch Fund II(Tuesday Capital), New Enterprise Associates 15(New Enterprise Associates), SherpaVentures Fund(ACME Capital), Spark Capital Growth Fund(Spark Capital)</t>
  </si>
  <si>
    <t>Cooley (Legal Advisor to Company)</t>
  </si>
  <si>
    <t>10006</t>
  </si>
  <si>
    <t>www.helloalfred.com</t>
  </si>
  <si>
    <t>93513-25T</t>
  </si>
  <si>
    <t>The company raised $11.1 million of Series A1 venture funding from Moderne Ventures and other undisclosed investors on June 15, 2017, putting the company's pre-money valuation at $54 million.</t>
  </si>
  <si>
    <t>Moderne Ventures Fund I(Moderne Ventures)</t>
  </si>
  <si>
    <t>Cooley (Legal Advisor to Company), DecisionCFO (Consulting to Company)</t>
  </si>
  <si>
    <t>105783-31T</t>
  </si>
  <si>
    <t>The company raised $40 million of Series B venture funding in a deal led by Invesco and DivcoWest on May 31, 2018, putting the company's pre-money valuation at $100 million. Centrica Innovations, FernBrook, Spark Capital, New Enterprise Associates and Greystar Real Estate Partners also participated in the round. The funds will be used to accelerate growth and allow further investment in technology, data science and the Alfred Home Essentials private label line of home goods and products.</t>
  </si>
  <si>
    <t>Centrica Innovations, DivcoWest, Fernbrook Capital Management LLC, Greystar Real Estate Partners, Invesco</t>
  </si>
  <si>
    <t>New Enterprise Associates, Spark Capital</t>
  </si>
  <si>
    <t>DivcoWest(www.divcowest.com), Fernbrook Capital Management LLC(www.fernbrookmgmt.com), Greystar Real Estate Partners(www.greystar.com), Invesco (NYS: IVZ)(www.invesco.com), New Enterprise Associates(www.nea.com), Spark Capital(www.sparkcapital.com)</t>
  </si>
  <si>
    <t>Centrica Innovations(Michael D'Aurizio), DivcoWest, Fernbrook Capital Management LLC, Greystar Real Estate Partners, Invesco (NYS: IVZ), New Enterprise Associates(Scott Sandell), Spark Capital(Bijan Sabet)</t>
  </si>
  <si>
    <t>DivcoWest, Invesco (NYS: IVZ)</t>
  </si>
  <si>
    <t>DivcoWest Fund IV(DivcoWest), Fernbrook Convergence Fund I(Fernbrook Capital Management LLC), Greystar Growth and Income Fund(Greystar Real Estate Partners), Invesco Mortgage Recovery Fund II(Invesco), New Enterprise Associates 15(New Enterprise Associates), Spark Capital Growth Fund(Spark Capital)</t>
  </si>
  <si>
    <t>Cooley (Legal Advisor to Company), DLA Piper (Legal Advisor to New Enterprise Associates, Louis Lehot JD), Gunderson Dettmer (Legal Advisor to Greystar Real Estate Partners), Shearman &amp; Sterling (Legal Advisor to DivcoWest)</t>
  </si>
  <si>
    <t>DLA Piper (Legal Advisor to New Enterprise Associates, Louis Lehot JD), Gunderson Dettmer (Legal Advisor to Greystar Real Estate Partners), Shearman &amp; Sterling (Legal Advisor to DivcoWest)</t>
  </si>
  <si>
    <t>55364-59T</t>
  </si>
  <si>
    <t>Home Chef</t>
  </si>
  <si>
    <t>65351-17</t>
  </si>
  <si>
    <t>Provider of a subscription-based meal kit delivery services designed to help people to save time while enjoying home cooking. The company's services deliver pre-portioned ingredients and recipes to subscribers weekly, enabling users to prepare home-cooked meals in about 30 minutes.</t>
  </si>
  <si>
    <t>The company was acquired by Kroger (NYS: KR) for $727 million on June 22, 2018. The company is no longer actively tracked by PitchBook.</t>
  </si>
  <si>
    <t>Application Software*, Food Products, Specialty Retail</t>
  </si>
  <si>
    <t>chef design meals, delivery service, food recipes, meal kit delivery, meals subscription, recipe delivery</t>
  </si>
  <si>
    <t>Patrick Vihtelic</t>
  </si>
  <si>
    <t>73836-91P</t>
  </si>
  <si>
    <t>+1 (872) 225-2433</t>
  </si>
  <si>
    <t>Mr. Patrick Vihtelic is a Co-Founder of Home Chef &amp; serves as its Chief Executive Officer. Mr. Vihtelic also serves as Angel Investor at Patrick Vihtelic. He has served as a Full Stack Rails Developer at Web Developer.</t>
  </si>
  <si>
    <t>Indiana University, BS (Bachelor of Science), 2008, Finance and Economics</t>
  </si>
  <si>
    <t>The company raised $10 million of Series A venture funding in a deal led by Shining Capital and Guild Capital on April 29, 2016. FireStarter Fund and Breakpoint Ventures also participated. The company will use the funding to open a new distribution center.</t>
  </si>
  <si>
    <t>Breakpoint Ventures, FireStarter Fund, Shining Capital</t>
  </si>
  <si>
    <t>Guild Capital</t>
  </si>
  <si>
    <t>Breakpoint Ventures(www.breakpointventures.com), FireStarter Fund(www.firestarterfund.com), Guild Capital(www.guildcap.com), Shining Capital(www.shiningfund.com)</t>
  </si>
  <si>
    <t>Breakpoint Ventures, FireStarter Fund, Guild Capital, Shining Capital</t>
  </si>
  <si>
    <t>Guild Capital, Shining Capital</t>
  </si>
  <si>
    <t>www.homechef.com</t>
  </si>
  <si>
    <t>76420-36T</t>
  </si>
  <si>
    <t>The company raised $40 million of Series B venture funding in a deal led by L Catterton on August 15, 2016. Other undisclosed investors also participated in the round. The company intends to use the funds to continue to grow its business.</t>
  </si>
  <si>
    <t>L Catterton</t>
  </si>
  <si>
    <t>L Catterton(www.lcatterton.com)</t>
  </si>
  <si>
    <t>L Catterton(Michael Farello)</t>
  </si>
  <si>
    <t>Catterton Growth Partners II(L Catterton)</t>
  </si>
  <si>
    <t>Latham &amp; Watkins (Legal Advisor to Company, Alex Voxman), TRC Companies (Consulting to L Catterton)</t>
  </si>
  <si>
    <t>Latham &amp; Watkins (Legal Advisor to Company, Alex Voxman)</t>
  </si>
  <si>
    <t>TRC Companies (Consulting to L Catterton)</t>
  </si>
  <si>
    <t>107956-45T</t>
  </si>
  <si>
    <t>The company raised $10.97 million of Series A venture funding in a deal led by Activate Capital Partners on June 26, 2018, putting the company's pre-money valuation at $27 million. The Home Depot, Deepwork Capital, Engage VC, Bialla Venture Partners, Tech Square Venture Partners and Florida Funders also participated in the round.</t>
  </si>
  <si>
    <t>Activate Capital Partners, The Home Depot</t>
  </si>
  <si>
    <t>Bialla Venture Partners, Deepwork Capital, Engage VC, Florida Funders, Tech Square Venture Partners</t>
  </si>
  <si>
    <t>Activate Capital Partners(www.activatecp.com), Bialla Venture Partners(www.bialla.com), Deepwork Capital(www.deepworkcapital.com), Engage VC(www.engage.vc), Florida Funders(www.floridafunders.com), Tech Square Venture Partners(www.techsquareventures.com), The Home Depot (NYS: HD)(www.homedepot.com)</t>
  </si>
  <si>
    <t>Activate Capital Partners(Michael Derosa), Bialla Venture Partners, Deepwork Capital(Benjamin Patz), Engage VC(Martin Flanagan), Florida Funders(Tom Wallace), Tech Square Venture Partners(Blake Patton), The Home Depot (NYS: HD)</t>
  </si>
  <si>
    <t>Activate Capital Partners(Michael Derosa)</t>
  </si>
  <si>
    <t>ENGAGE Venture Fund I(Engage VC), ENGAGE Venture Fund I(Tech Square Venture Partners), FAN Investors Fund I(Deepwork Capital)</t>
  </si>
  <si>
    <t>DLA Piper (Legal Advisor to The Home Depot, Joseph Silver JD), Hill Ward Henderson (Legal Advisor to Company)</t>
  </si>
  <si>
    <t>Hill Ward Henderson (Legal Advisor to Company)</t>
  </si>
  <si>
    <t>DLA Piper (Legal Advisor to The Home Depot, Joseph Silver JD)</t>
  </si>
  <si>
    <t>122611-96T</t>
  </si>
  <si>
    <t>The company raised $15 million of Series B venture funding in a deal led by Liberty Mutual Strategic Ventures and Forté Ventures on August 27, 2019, putting the company's pre-money valuation at $40 million. State Farm Ventures, Ferguson Ventures, The Hartford Financial Services Group, Deepwork Capital, Engage VC, Active Venture Partners and Florida Funders also participated in the round. The funds will be used to launch new markets and expand its services further throughout the U.S.</t>
  </si>
  <si>
    <t>Active Venture Partners, Ferguson Ventures, Forté Ventures, Liberty Mutual Strategic Ventures, State Farm Ventures, The Hartford Financial Services Group</t>
  </si>
  <si>
    <t>Deepwork Capital, Engage VC, Florida Funders</t>
  </si>
  <si>
    <t>Active Venture Partners(www.active-vp.com), Deepwork Capital(www.deepworkcapital.com), Engage VC(www.engage.vc), Ferguson Ventures(www.fergusonventures.com), Florida Funders(www.floridafunders.com), Forté Ventures(www.forteventures.com), Liberty Mutual Strategic Ventures(welcome.libertymutual.com/innovation/ventures), State Farm Ventures(ventures.statefarm.com), The Hartford Financial Services Group (NYS: HIG)(www.thehartford.com)</t>
  </si>
  <si>
    <t>Active Venture Partners, Deepwork Capital(Benjamin Patz), Engage VC, Ferguson Ventures(Blake Luse), Florida Funders(Tom Wallace), Forté Ventures(Thomas Hawkins), Liberty Mutual Strategic Ventures(David DeSisto), State Farm Ventures, The Hartford Financial Services Group (NYS: HIG)</t>
  </si>
  <si>
    <t>Forté Ventures(Thomas Hawkins), Liberty Mutual Strategic Ventures(David DeSisto)</t>
  </si>
  <si>
    <t>ENGAGE Venture Fund I(Engage VC), FAN Investors Fund I(Deepwork Capital)</t>
  </si>
  <si>
    <t>Fenwick &amp; West (Legal Advisor to Forté Ventures)</t>
  </si>
  <si>
    <t>139762-45T</t>
  </si>
  <si>
    <t>27114-31T</t>
  </si>
  <si>
    <t>The company raised $10.8 million of Series A venture funding from lead investor Sequoia Capital on April 4, 2013, putting the company's pre-money valuation at $14.61 million. Khosla Ventures, Canaan Partners, Initialized Capital Management, Haystack, Seth Ginns, Mark Hager Othman Laraki, SVAngel, Garry Tan, Haroon Mokhtarzada, Harjeet Taggar, Jonathan Abrams and Paul Buchheit also participated.</t>
  </si>
  <si>
    <t>Canaan Partners, FundersClub, Garry Tan, Harj Taggar, Haroon Mokhtarzada, Haystack, Initialized Capital Management, Jonathan Abrams, Kevin D'Silva, Khosla Ventures, Mark Hager, Othman Laraki, Richmond View Ventures, Sequoia Capital, Seth Ginns, SV Angel</t>
  </si>
  <si>
    <t>Canaan Partners(www.canaan.com), FundersClub(www.fundersclub.com), Harj Taggar(harjtaggar.com), Haroon Mokhtarzada(angel.co/haroon), Haystack(haystack.vc), Initialized Capital Management(www.initialized.com), Jonathan Abrams(www.jabrams.com), Khosla Ventures(www.khoslaventures.com), Richmond View Ventures(www.rvv.tv), Sequoia Capital(www.sequoiacap.com), SV Angel(www.svangel.com)</t>
  </si>
  <si>
    <t>Canaan Partners(Hrach Simonian), FundersClub, Garry Tan(Garry Tan), Harj Taggar(Harj Taggar), Haroon Mokhtarzada(Haroon Mokhtarzada), Haystack(Semil Shah), Initialized Capital Management, Jonathan Abrams(Jonathan Abrams), Kevin D'Silva, Khosla Ventures, Mark Hager(Mark Hager), Othman Laraki(Othman Laraki), Richmond View Ventures, Sequoia Capital(Michael Moritz), Seth Ginns(Seth Ginns), SV Angel</t>
  </si>
  <si>
    <t>Sequoia Capital(Michael Moritz)</t>
  </si>
  <si>
    <t>Canaan IX(Canaan Partners), Haystack(Haystack), Initialized Capital Special Opportunities Fund I(Initialized Capital Management), Khosla Ventures Seed B(Khosla Ventures), Sequoia Capital Israel Venture Fund V(Sequoia Capital), SV Angel IV(SV Angel)</t>
  </si>
  <si>
    <t>34727-59T</t>
  </si>
  <si>
    <t>The company raised $44 million of Series B funding led by Andreessen Horowitz on June 16, 2014, putting the company's pre-money valuation at $336 million. Sequoia Capital, Initialized Capital, Khosla Ventures, Canaan Partners, Aaron Levie, Sam Altman also participated. The funding will be used in geographic growth, continued improvements to the customer experience, experimenting with new and innovative models for delivery and continued improvements to the proprietary technology that makes Instacart tick.</t>
  </si>
  <si>
    <t>Aaron Levie, Andreessen Horowitz, Sam Altman</t>
  </si>
  <si>
    <t>Canaan Partners, Initialized Capital Management, Kevin D'Silva, Khosla Ventures, Sequoia Capital</t>
  </si>
  <si>
    <t>Andreessen Horowitz(www.a16z.com), Canaan Partners(www.canaan.com), Initialized Capital Management(www.initialized.com), Khosla Ventures(www.khoslaventures.com), Sequoia Capital(www.sequoiacap.com)</t>
  </si>
  <si>
    <t>Aaron Levie(Aaron Levie), Andreessen Horowitz(Jeffrey Jordan), Canaan Partners(Hrach Simonian), Initialized Capital Management, Kevin D'Silva, Khosla Ventures, Sam Altman(Sam Altman), Sequoia Capital(Michael Moritz)</t>
  </si>
  <si>
    <t>Andreessen Horowitz(Jeffrey Jordan)</t>
  </si>
  <si>
    <t>Andreessen Horowitz Fund IV(Andreessen Horowitz), Canaan IX(Canaan Partners), Initialized Capital Special Opportunities Fund I(Initialized Capital Management), Khosla Ventures Seed B(Khosla Ventures), Sequoia Capital Israel Venture Fund V(Sequoia Capital)</t>
  </si>
  <si>
    <t>111199-15T</t>
  </si>
  <si>
    <t>Jarvis</t>
  </si>
  <si>
    <t>60052-51</t>
  </si>
  <si>
    <t>Developer of a cleaning platform intended to provide housekeeping services to clients. The company's platform provides services for residential cleaning, tidying tasks, mopping, vacuuming, dish cleaning and making the beds, enabling customers to manage household chores and keeping the house tidy.</t>
  </si>
  <si>
    <t>The company raised $20,000 of venture funding from Oxygen Capital (Sydney) on an undisclosed date.</t>
  </si>
  <si>
    <t>cleaning platform, house cleaning, housekeeping services, residential cleaning, tidying tasks</t>
  </si>
  <si>
    <t>Publicly Listed, Venture Capital</t>
  </si>
  <si>
    <t>Dennis Jap</t>
  </si>
  <si>
    <t>232144-84P</t>
  </si>
  <si>
    <t>+61 (0)13 0069 5278</t>
  </si>
  <si>
    <t>dennis@getjarvis.com.au</t>
  </si>
  <si>
    <t>Mr. Dennis Jap is a Co-Founder of Jarvis.</t>
  </si>
  <si>
    <t>Oxygen Capital (Sydney)</t>
  </si>
  <si>
    <t>Oxygen Capital (Sydney)(www.oxygencapital.vc)</t>
  </si>
  <si>
    <t>VentureCrowd (Lead Manager or Arranger to Company)</t>
  </si>
  <si>
    <t>Melbourne, Australia</t>
  </si>
  <si>
    <t>Oceania</t>
  </si>
  <si>
    <t>Melbourne</t>
  </si>
  <si>
    <t>Victoria</t>
  </si>
  <si>
    <t>Australia</t>
  </si>
  <si>
    <t>www.getjarvis.com.au</t>
  </si>
  <si>
    <t>103601-44T</t>
  </si>
  <si>
    <t>The company raised GBP 5.66 million of venture funding from Atami Capital in July 2017, putting the pre-money valuation at GBP 33 million.</t>
  </si>
  <si>
    <t>Atami Capital</t>
  </si>
  <si>
    <t>Atami Capital(www.atamicapital.co.uk)</t>
  </si>
  <si>
    <t>Gateley Legal (Legal Advisor to Atami Capital, Paul Jefferson)</t>
  </si>
  <si>
    <t>81113-05T</t>
  </si>
  <si>
    <t>The company raised an undisclosed amount of venture funding from Bodley Group, Fyrfly Venture Partners and Forefront Venture Partners on September 28, 2017. All Iron Ventures, Bullpen Capital and FJ Labs also participated in the round.</t>
  </si>
  <si>
    <t>All Iron Ventures, Bullpen Capital, FJ Labs, Forefront Venture Partners, Fyrfly Venture Partners</t>
  </si>
  <si>
    <t>Bodley Group</t>
  </si>
  <si>
    <t>All Iron Ventures(www.alliron.vc), Bodley Group(www.bodleygroup.com), Bullpen Capital(www.bullpencap.com), FJ Labs(www.fjlabs.com), Forefront Venture Partners(www.forefrontvp.com), Fyrfly Venture Partners(www.fyrfly.vc)</t>
  </si>
  <si>
    <t>All Iron Ventures, Bodley Group, Bullpen Capital, FJ Labs, Forefront Venture Partners, Fyrfly Venture Partners</t>
  </si>
  <si>
    <t>BG Fund I(Bodley Group), Bullpen Capital III(Bullpen Capital), FJ Labs 5 VC(FJ Labs)</t>
  </si>
  <si>
    <t>137112-76T</t>
  </si>
  <si>
    <t>68467-87T</t>
  </si>
  <si>
    <t>MealPal</t>
  </si>
  <si>
    <t>156382-03</t>
  </si>
  <si>
    <t>Provider of a lunchtime meal subscription service intended to offer delicious and affordable lunch every day. The company's services involve letting members to select lunch packs from hundreds of restaurants by opting for a meal subscription that offer meals for as little as $6, enabling users to pre-order the night before or in the morning, choose a time to pick up their lunch and skip the lunch lines.</t>
  </si>
  <si>
    <t>The company was approved for a Paycheck Protection Program Loan in the range of $1-2 million from Citibank, N.A. on April, 15 2020. The application cited 34 jobs to be retained with the financing.</t>
  </si>
  <si>
    <t>Other Restaurants, Hotels and Leisure*</t>
  </si>
  <si>
    <t>food ordering application, food ordering platform, meals subscription, restaurant finding application, subscription basis meals</t>
  </si>
  <si>
    <t>Mary Biggins</t>
  </si>
  <si>
    <t>64054-09P</t>
  </si>
  <si>
    <t>mary@mealpal.com</t>
  </si>
  <si>
    <t>Ms. Mary Biggins is a Co-Founder of MealPass and also serves as its Chief Executive Officer. She also co-founded ClassPass. She Mary has over 10 years of marketing, product, and sales experience. She has a unique blend of experience creating marketing strategies for both big brands and micro businesses. She's built marketing campaigns for big brands like the National Football League, Major League Baseball, and Disney. She's also helped nearly a million small businesses grow as the manager of Vistaprint's Canadian site.</t>
  </si>
  <si>
    <t>Colby College, BA (Bachelor of Arts), 2005, Government, Religious Studies</t>
  </si>
  <si>
    <t>The company raised an undisclosed amount of venture funding from Krillion Ventures in 2016.</t>
  </si>
  <si>
    <t>Krillion Ventures</t>
  </si>
  <si>
    <t>Krillion Ventures(www.krillionventures.com)</t>
  </si>
  <si>
    <t>www.mealpal.com</t>
  </si>
  <si>
    <t>82432-72T</t>
  </si>
  <si>
    <t>The company raised $15 million of Series A venture funding in a deal led by Comcast Ventures on February 15, 2017. Bessemer Venture Partners, Haystack Partners and NextView Ventures also participated in the round. The funds will be used to accelerate growth.</t>
  </si>
  <si>
    <t>Bessemer Venture Partners, Comcast Ventures, NextView Ventures, Teamworthy Ventures</t>
  </si>
  <si>
    <t>Bessemer Venture Partners(www.bvp.com), Comcast Ventures(www.comcastventures.com), NextView Ventures(www.nextviewventures.com), Teamworthy Ventures(www.teamworthy.com)</t>
  </si>
  <si>
    <t>Bessemer Venture Partners(Robert Goodman), Comcast Ventures, NextView Ventures(David Beisel), Teamworthy Ventures</t>
  </si>
  <si>
    <t>Comcast Ventures</t>
  </si>
  <si>
    <t>Bessemer Venture Partners IX Institutional(Bessemer Venture Partners), Comcast Venture Fund(Comcast Ventures), NextView Ventures II(NextView Ventures)</t>
  </si>
  <si>
    <t>94616-20T</t>
  </si>
  <si>
    <t>The company raised $20 million of Series B venture funding in a deal led by Menlo Ventures on August 23, 2017. TriplePoint Capital, Bessemer Venture Partners, Comcast Ventures, Haystack Partners and NextView Ventures also participated in the round. The company has raised $35 million in total funding to day, the funds will be used to further team and market expansion in the United States, United Kingdom, Canada and Australia, as well as new markets throughout Europe.</t>
  </si>
  <si>
    <t>Menlo Ventures, TriplePoint Capital</t>
  </si>
  <si>
    <t>Bessemer Venture Partners(www.bvp.com), Comcast Ventures(www.comcastventures.com), Menlo Ventures(www.menlovc.com), NextView Ventures(www.nextviewventures.com), Teamworthy Ventures(www.teamworthy.com), TriplePoint Capital(www.triplepointcapital.com)</t>
  </si>
  <si>
    <t>Bessemer Venture Partners(Robert Goodman), Comcast Ventures, Menlo Ventures(Venkataraman Ganesan), NextView Ventures(David Beisel), Teamworthy Ventures, TriplePoint Capital</t>
  </si>
  <si>
    <t>Menlo Ventures(Venkataraman Ganesan)</t>
  </si>
  <si>
    <t>Comcast Venture Fund(Comcast Ventures), Lightning Fund(Bessemer Venture Partners), Menlo Ventures XIV(Menlo Ventures), NextView Ventures III(NextView Ventures)</t>
  </si>
  <si>
    <t>133531-12T</t>
  </si>
  <si>
    <t>The company raised $622,000 of venture funding from Alven Capital Partners on September 24, 2015.</t>
  </si>
  <si>
    <t>Alven Capital Partners</t>
  </si>
  <si>
    <t>Alven Capital Partners(www.alven.co)</t>
  </si>
  <si>
    <t>82469-35T</t>
  </si>
  <si>
    <t>Mulberrys Garment Care</t>
  </si>
  <si>
    <t>168763-24</t>
  </si>
  <si>
    <t>Provider of on-demand dry cleaning and laundry services intended to offer an environmentally sustainable cleaning service. The company offers online dry cleaning and laundry services using toxin-free naturally occurring solvents and also provides dress preservation, rug cleaning, leather cleaning, tailoring and shoe repair including home pick-up and delivery, enabling customers to save time by booking through a mobile application.</t>
  </si>
  <si>
    <t>The company received $1.04 million of debt financing in the form of a term loan from Newtek Business Services on December 27, 2019.</t>
  </si>
  <si>
    <t>LOHAS &amp; Wellness, Mobile, TMT</t>
  </si>
  <si>
    <t>drying cleaning, drying cleaning services, household cleaning</t>
  </si>
  <si>
    <t>Private Debt Financed</t>
  </si>
  <si>
    <t>Daniel Miller</t>
  </si>
  <si>
    <t>151753-42P</t>
  </si>
  <si>
    <t>+1 (866) 473-0798</t>
  </si>
  <si>
    <t>dmiller@mulberryscleaners.com</t>
  </si>
  <si>
    <t>Mr. Daniel Miller is the Founder and Owner and serves as President and Chief Executive Officer at Mulberrys Garment Care.</t>
  </si>
  <si>
    <t>The company was in talks to receive $20 million of venture funding from undisclosed investors on February 16, 2017. Subsequently, the deal was canceled.</t>
  </si>
  <si>
    <t>Roseville, MN</t>
  </si>
  <si>
    <t>Roseville</t>
  </si>
  <si>
    <t>55113</t>
  </si>
  <si>
    <t>www.mulberryscleaners.com</t>
  </si>
  <si>
    <t>116414-83T</t>
  </si>
  <si>
    <t>Evolution VC Partners, Halogen Ventures, Sand Hill Angels, TLI Bedrock</t>
  </si>
  <si>
    <t>Evolution VC Partners(www.evolutionvcp.com), Halogen Ventures(www.halogenvc.com), Sand Hill Angels(www.sandhillangels.com), TLI Bedrock(www.tlibedrock.com)</t>
  </si>
  <si>
    <t>Halogen Ventures Female Founders Fund(Halogen Ventures)</t>
  </si>
  <si>
    <t>55624-96T</t>
  </si>
  <si>
    <t>Peach (Logistics)</t>
  </si>
  <si>
    <t>64846-09</t>
  </si>
  <si>
    <t>Provider of lunch delivery services intended to make lunch easy for working professionals. The company's services can be availed of through a mobile application where the daily menu from the local restaurants is texted and orders can be booked for an individual or a group by texting back or online, enabling businesses to offer a convenient lunch benefit program for their employees.</t>
  </si>
  <si>
    <t>The company was approved for a Paycheck Protection Program Loan in the range of $150,000-350,000 from KeyBank National Association on April 13, 2020. The application cited 20 jobs to be retained with the financing.</t>
  </si>
  <si>
    <t>Food Products, Logistics*, Social/Platform Software</t>
  </si>
  <si>
    <t>corporate lunch delivery, food delivery, lunch delivery, lunch delivery app, office lunch service</t>
  </si>
  <si>
    <t>Nishant Singh</t>
  </si>
  <si>
    <t>72381-70P</t>
  </si>
  <si>
    <t>+1 (206) 452-8700</t>
  </si>
  <si>
    <t>nishant@peachd.com</t>
  </si>
  <si>
    <t>Mr. Nishant Singh is a Co-Founder &amp; serves as Chief Executive Officer &amp; Board Member at Peach (Food Delivery). Mr. Singh was the Co-Founder at Truffle.io. Prior to founding Truffle.io, Mr. Singh was a Software Developer at Amazon. Prior to serving at Amazon, Mr. Singh was the Founder of Suppermate. He has also served at the Scientific Technologies Corporation and SAP Labs.</t>
  </si>
  <si>
    <t>Arizona State University, MS (Master of Science), 2009, Computer Science</t>
  </si>
  <si>
    <t>The company raised $10.46 million of Series A venture funding in a deal led by Madrona Venture Group on August 18, 2015, putting the company's pre-money valuation at $18 million. Vulcan Capital and Insure.VC also participated in the round. The company intends to use the funding in its lunch ordering technology in Boston.</t>
  </si>
  <si>
    <t>Insure.VC</t>
  </si>
  <si>
    <t>Madrona Venture Group, Vulcan Capital</t>
  </si>
  <si>
    <t>Insure.VC(www.insure.vc), Madrona Venture Group(www.madrona.com), Vulcan Capital(capital.vulcan.com)</t>
  </si>
  <si>
    <t>Insure.VC, Madrona Venture Group(Scott Jacobson), Vulcan Capital(Yongbai Choi)</t>
  </si>
  <si>
    <t>Madrona Venture Group(Scott Jacobson)</t>
  </si>
  <si>
    <t>Madrona Venture Fund V(Madrona Venture Group)</t>
  </si>
  <si>
    <t>98101</t>
  </si>
  <si>
    <t>www.peachd.com</t>
  </si>
  <si>
    <t>157314-79T</t>
  </si>
  <si>
    <t>The company raised an undisclosed amount of venture funding from Right Side Capital Management in 2018.</t>
  </si>
  <si>
    <t>RSCM Fund IV(Right Side Capital Management)</t>
  </si>
  <si>
    <t>104176-36T</t>
  </si>
  <si>
    <t>Phlatbed</t>
  </si>
  <si>
    <t>174045-70</t>
  </si>
  <si>
    <t>Developer of an on-demand technology platform intended to provide packaging and moving services. The company's platform connects users with local drivers who can help them move their personal items and also facilitate individuals to utilize their vehicles in order to provide relocation services, enabling consumers to transfer their furniture and equipment securely.</t>
  </si>
  <si>
    <t>The company raised $250,000 of venture funding from Connecticut Innovations on April 23, 2020.</t>
  </si>
  <si>
    <t>Application Software, Logistics, Other Services (B2C Non-Financial)*</t>
  </si>
  <si>
    <t>moving and delivery, moving marketplace, moving platform, moving services, on demand technology, ondemand delivery platform</t>
  </si>
  <si>
    <t>Alani Kuye</t>
  </si>
  <si>
    <t>183473-56P</t>
  </si>
  <si>
    <t>+1 (203) 340-1194</t>
  </si>
  <si>
    <t>alani.kuye@phlatbed.com</t>
  </si>
  <si>
    <t>Mr. Alani Kuye is the Founder and serves as the Chief Executive Officer and Chief Platform Officer at Phlatbed. After 17 years in the Enterprise Technology space deploying global ERP systems in the oil and gas, logistics, supply chain, manufacturing, defense &amp; intelligence sectors, he has a passion for changing consumer logistics for the better. He oversees our operation, from cutting edge mobility innovation, to platform evolution and our entire roadmap. With a personal and professional life spanning Connecticut, Amsterdam, London, Berlin, and other parts of the world, he continues to find enablement through technology advocacy at every opportunity. He holds degrees in Information Systems, and National Security &amp; Public Safety (UNH).</t>
  </si>
  <si>
    <t>Degree, Information Systems</t>
  </si>
  <si>
    <t>The company raised $60,000 of venture funding from Connecticut Innovations on January 5, 2018.</t>
  </si>
  <si>
    <t>Connecticut Innovations</t>
  </si>
  <si>
    <t>Connecticut Innovations(www.ctinnovations.com)</t>
  </si>
  <si>
    <t>Connecticut Innovations(Pauline Murphy)</t>
  </si>
  <si>
    <t>Eli Whitney Fund(Connecticut Innovations)</t>
  </si>
  <si>
    <t>Norwalk, CT</t>
  </si>
  <si>
    <t>Norwalk</t>
  </si>
  <si>
    <t>Connecticut</t>
  </si>
  <si>
    <t>06513</t>
  </si>
  <si>
    <t>www.phlatbed.com</t>
  </si>
  <si>
    <t>118007-92T</t>
  </si>
  <si>
    <t>The company raised $650,000 of venture funding from Connecticut Innovations and other investors on May 14, 2019. The funds will be used to support company expansion and operations.</t>
  </si>
  <si>
    <t>129701-71T</t>
  </si>
  <si>
    <t>36463-87T</t>
  </si>
  <si>
    <t>Nicholas Taranto</t>
  </si>
  <si>
    <t>47778-76P</t>
  </si>
  <si>
    <t>Mr. Nicholas Taranto co-founded &amp; served as Chief Executive Officer and Board of Director at Trove Social. He Co-Founded of Plated. He served as an Infantry Officer in the United States Marine Corps. Previously he served as a Private Wealth Investor at Goldman Sachs. Prior to this he served as a Microfinance Consultant at KOMPIP Microfinance. He received his MBA from Harvard Business School and his MPA in development economics and international development from Harvard University and his BA in war photography from Dartmouth College.</t>
  </si>
  <si>
    <t>Dartmouth College, BA (Bachelor of Arts), 2006, War photography; Harvard Business School, MBA (Master of Business Administration), 2010; Harvard University, MPA (Master of Public Administration), 2010, Development Economics and International</t>
  </si>
  <si>
    <t>The company raised $15 million of Series A venture funding led by Greycroft Partners on July 25, 2014, putting the company's pre-money valuation at $35 million. Formation 8, ff Venture Capital, Lerer Ventures, Solon Mack Capital, Great Oaks Venture Capital, Kite Ventures and Slow Ventures also participated. Drew Oetting also participated.</t>
  </si>
  <si>
    <t>Drew Oetting, Formation 8, Greycroft, Kevin Colleran, Slow Ventures</t>
  </si>
  <si>
    <t>ff Venture Capital, Great Oaks Venture Capital, Kite Ventures, Lerer Hippeau, Solon Mack Capital</t>
  </si>
  <si>
    <t>ff Venture Capital(www.ffvc.com), Formation 8(www.formation8.com), Great Oaks Venture Capital(www.greatoaksvc.com), Greycroft(www.greycroft.com), Kite Ventures(www.kiteventures.com), Lerer Hippeau(www.lererhippeau.com), Slow Ventures(www.slow.co), Solon Mack Capital(www.solonmack.com)</t>
  </si>
  <si>
    <t>Drew Oetting(Drew Oetting), ff Venture Capital(John Frankel), Formation 8, Great Oaks Venture Capital, Greycroft(Alan Patricof), Kevin Colleran(Kevin Colleran), Kite Ventures, Lerer Hippeau, Slow Ventures, Solon Mack Capital</t>
  </si>
  <si>
    <t>Greycroft(Alan Patricof)</t>
  </si>
  <si>
    <t>ff Silver (II) Venture Capital Fund(ff Venture Capital), Formation8 Partners Fund I(Formation 8), Great Oaks Venture Fund(Great Oaks Venture Capital), Greycroft Partners III(Greycroft), Lerer Ventures III(Lerer Hippeau), Slow Ventures I(Slow Ventures)</t>
  </si>
  <si>
    <t>38642-86T</t>
  </si>
  <si>
    <t>The company raised $58.3 million of Series B venture funding from Greycroft Partners, Spring Lake Equity Partners, Formation 8 and HBS Alumni Angels New York on August 10, 2016, putting the company's pre-money valuation at $70 million. Arena Ventures, 8VC, HBS Alumni Angels New York, 7 Global Capital and Valley Oak Investments also participated in this round.</t>
  </si>
  <si>
    <t>7 Global Capital, 8VC, Arena Ventures, HBS Alumni Angels New York, Spring Lake Equity Partners, Valley Oak Investments</t>
  </si>
  <si>
    <t>Ares Capital, Formation 8, Greycroft</t>
  </si>
  <si>
    <t>7 Global Capital(www.7globalcapital.com), 8VC(www.8vc.com), Arena Ventures(www.arenavc.com), Ares Capital (NAS: ARCC)(www.arescapitalcorp.com), Formation 8(www.formation8.com), Greycroft(www.greycroft.com), HBS Alumni Angels New York(hbsangelsny.com), Spring Lake Equity Partners(www.springlakeequitypartners.com), Valley Oak Investments(www.valleyoakinvestments.com)</t>
  </si>
  <si>
    <t>7 Global Capital, 8VC, Arena Ventures, Ares Capital (NAS: ARCC), Formation 8, Greycroft(Alan Patricof), HBS Alumni Angels New York, Spring Lake Equity Partners, Valley Oak Investments(Niko Hrdy)</t>
  </si>
  <si>
    <t>Arena Alpha(Arena Ventures), Ares Venture Finance(Ares Capital), Eight Partners VC Fund I(8VC), Formation8 Partners Fund II(Formation 8), Greycroft Partners III(Greycroft)</t>
  </si>
  <si>
    <t>96642-01T</t>
  </si>
  <si>
    <t>The company raised venture funding from Precursor Ventures, Kairos Society and Rosecliff Venture Partners on an undisclosed date. GFR Fund, Bullpen Capital, K50 Ventures, GingerBread Capital and Cleo Capital also participated in the round.</t>
  </si>
  <si>
    <t>Bullpen Capital, Cleo Capital, GFR Fund, GingerBread Capital, K50 Ventures, Kairos HQ, Precursor Ventures, Rosecliff Venture Partners</t>
  </si>
  <si>
    <t>Bullpen Capital(www.bullpencap.com), Cleo Capital(www.cleocap.com), GFR Fund(www.gfrfund.com), GingerBread Capital(www.gingerbreadcap.com), Kairos HQ(www.kairoshq.com), Precursor Ventures(precursorvc.com), Rosecliff Venture Partners(www.rosecliff.com)</t>
  </si>
  <si>
    <t>Kairos Investors Fund I(Kairos HQ), Precursor Ventures I(Precursor Ventures)</t>
  </si>
  <si>
    <t>140316-04T</t>
  </si>
  <si>
    <t>The company closed on $220,000 of a planned $500,000 round of venture funding on July 24, 2020.</t>
  </si>
  <si>
    <t>Announced/In Progress</t>
  </si>
  <si>
    <t>Pending Transaction (VC)</t>
  </si>
  <si>
    <t>74895-85T</t>
  </si>
  <si>
    <t>The company raised $1.5 million through the combination of debt and Series 1-B venture funding from Science and other undisclosed individual investors on August 26, 2016, putting the company's pre-money valuation at $5 million.</t>
  </si>
  <si>
    <t>Science</t>
  </si>
  <si>
    <t>Science(www.science-inc.com)</t>
  </si>
  <si>
    <t>36849-43T</t>
  </si>
  <si>
    <t>The company raised $27.6 million through a combination of Series A venture funding in a deal led by Lowe's Companies on September 22, 2014, putting the pre-money valuation at $52.4 million. Other undisclosed investors also participated.</t>
  </si>
  <si>
    <t>Lowe's Companies</t>
  </si>
  <si>
    <t>Lowe's Companies (NYS: LOW)(www.lowes.com)</t>
  </si>
  <si>
    <t>Lowe's Companies (NYS: LOW)</t>
  </si>
  <si>
    <t>Dorsey &amp; Whitney (Legal Advisor to Company)</t>
  </si>
  <si>
    <t>44655-85T</t>
  </si>
  <si>
    <t>The company raised $65 million of Series B venture funding in a deal led by Valor Equity Partners on January 20, 2015, putting the company's pre-money valuation at $435 million. Lowe's Companies, Capricorn Investment Group, Founders Fund, Battery Ventures, Tao Capital Partners, The Gramercy Fund, Saints Capital, Graph Ventures, Panorama Point Partners, FJ Labs and Ty Pennington also participated. The company plans to use these new funds to fuel its growth, scale its infrastructure and launch a number of new products in 2015.</t>
  </si>
  <si>
    <t>Battery Ventures, Capricorn Investment Group, FJ Labs, Founders Fund, Graph Ventures, Panorama Point Partners, Saints Capital, Tao Capital Partners, The Gramercy Fund, Ty Pennington, Valor Equity Partners</t>
  </si>
  <si>
    <t>Battery Ventures(www.battery.com), Capricorn Investment Group(www.capricornllc.com), FJ Labs(www.fjlabs.com), Founders Fund(www.foundersfund.com), Graph Ventures(www.graphventures.com), Lowe's Companies (NYS: LOW)(www.lowes.com), Panorama Point Partners(www.panoramapoint.com), Saints Capital(www.saintscapital.com), Tao Capital Partners(www.taocap.com), The Gramercy Fund(www.gramercyfund.com), Valor Equity Partners(www.valorep.com)</t>
  </si>
  <si>
    <t>Battery Ventures, Capricorn Investment Group, FJ Labs, Founders Fund, Graph Ventures, Lowe's Companies (NYS: LOW), Panorama Point Partners, Saints Capital, Tao Capital Partners, The Gramercy Fund, Ty Pennington(Ty Pennington), Valor Equity Partners(Antonio Gracias)</t>
  </si>
  <si>
    <t>Valor Equity Partners(Antonio Gracias)</t>
  </si>
  <si>
    <t>Battery Ventures X Side Fund(Battery Ventures), Capricorn AIP - Real Estate &amp; Infrastructure I(Capricorn Investment Group), Panorama Growth Partners (Flex)(Panorama Point Partners), Saints Capital Granite(Saints Capital), The Founders Fund V(Founders Fund), Valor Equity Partners III(Valor Equity Partners)</t>
  </si>
  <si>
    <t>25054-75T</t>
  </si>
  <si>
    <t>The company raised $8.45 million of Series A venture funding in a deal led by Founders Fund on March 19, 2013, putting the company's pre-money valuation at $7.05 million. Expansion Venture Capital, Uncork Capital, Crosslink Capital, AngelPad, Scott Banister, Dave Morin, David Sacks, Bill Lee, Jack Abraham and Shervin Pishevar also participated in the round.</t>
  </si>
  <si>
    <t>Dave Morin, David Sacks, Expansion Venture Capital, Founders Fund, Shervin Pishevar</t>
  </si>
  <si>
    <t>AngelPad, Bill Lee, Crosslink Capital, Jack Abraham, Scott Banister, Uncork Capital</t>
  </si>
  <si>
    <t>AngelPad(www.angelpad.com), Bill Lee(www.backtoreality.com), Crosslink Capital(www.crosslinkcapital.com), Dave Morin(www.davemorin.com), Expansion Venture Capital(www.expansionvc.com), Founders Fund(www.foundersfund.com), Shervin Pishevar(www.pishevar.com), Uncork Capital(www.uncorkcapital.com)</t>
  </si>
  <si>
    <t>AngelPad(Thomas Korte), Bill Lee(Bill Lee), Crosslink Capital, Dave Morin(Dave Morin), David Sacks(David Sacks), Expansion Venture Capital(Ryan Melohn), Founders Fund(Cyan Banister), Jack Abraham(Jack Abraham), Scott Banister(Scott Banister), Shervin Pishevar(Shervin Pishevar), Uncork Capital(Jean-Francois Clavier)</t>
  </si>
  <si>
    <t>Founders Fund(Cyan Banister)</t>
  </si>
  <si>
    <t>SoftTech VC II(Uncork Capital), The Founders Fund IV(Founders Fund)</t>
  </si>
  <si>
    <t>31688-65T</t>
  </si>
  <si>
    <t>The company raised $16 million of Series B venture funding in a deal led by Spark Capital on February 18, 2014, putting the company's pre-money valuation at $56.97 million. Uncork Capital, Matrix Partners, Crosslink Capital, Slow Ventures, Founders Fund, Expansion Venture Capital, Olive Tree Capital, AngelPad, Kevin Colleran, Lee Linden, Jared Leto, Kevin Durant and Scott Banister also participated in the round.</t>
  </si>
  <si>
    <t>Jared Leto, Kevin Colleran, Kevin Durant, Lee Linden, Olive Tree Capital, Slow Ventures, Spark Capital</t>
  </si>
  <si>
    <t>AngelPad, Crosslink Capital, Expansion Venture Capital, Founders Fund, Matrix Partners, Scott Banister, Uncork Capital</t>
  </si>
  <si>
    <t>AngelPad(www.angelpad.com), Crosslink Capital(www.crosslinkcapital.com), Expansion Venture Capital(www.expansionvc.com), Founders Fund(www.foundersfund.com), Matrix Partners(www.matrixpartners.com), Olive Tree Capital(www.olivetreecapital.com), Slow Ventures(www.slow.co), Spark Capital(www.sparkcapital.com), Uncork Capital(www.uncorkcapital.com)</t>
  </si>
  <si>
    <t>AngelPad(Thomas Korte), Crosslink Capital, Expansion Venture Capital(Ryan Melohn), Founders Fund(Cyan Banister), Jared Leto(Jared Leto), Kevin Colleran(Kevin Colleran), Kevin Durant, Lee Linden(Lee Linden), Matrix Partners, Olive Tree Capital, Scott Banister(Scott Banister), Slow Ventures, Spark Capital(Nabeel Hyatt), Uncork Capital(Jean-Francois Clavier)</t>
  </si>
  <si>
    <t>Spark Capital(Nabeel Hyatt)</t>
  </si>
  <si>
    <t>Crosslink Ventures VI(Crosslink Capital), Matrix Partners IX(Matrix Partners), Slow Ventures I(Slow Ventures), SoftTech VC II(Uncork Capital), Spark Capital IV(Spark Capital), The Founders Fund IV(Founders Fund)</t>
  </si>
  <si>
    <t>Gunderson Dettmer (Legal Advisor to Spark Capital), Wilson Sonsini Goodrich &amp; Rosati (Legal Advisor to Company)</t>
  </si>
  <si>
    <t>Gunderson Dettmer (Legal Advisor to Spark Capital)</t>
  </si>
  <si>
    <t>98967-70T</t>
  </si>
  <si>
    <t>Ryan Norton</t>
  </si>
  <si>
    <t>176589-10P</t>
  </si>
  <si>
    <t>Mr. Ryan Norton is a Co-Founder and serves as Chief Technology Officer at Press.</t>
  </si>
  <si>
    <t>Chuck Gordon, Jonathan Coon, Mario Feghali, Mike Bennett, Rob Taylor, RSH Ventures</t>
  </si>
  <si>
    <t>Chuck Gordon(Chuck Gordon), Jonathan Coon(Jonathan Coon), Mario Feghali(Mario Feghali), Mike Bennett(Mike Bennett), Rob Taylor(Rob Taylor), RSH Ventures</t>
  </si>
  <si>
    <t>121456-63T</t>
  </si>
  <si>
    <t>RealEats</t>
  </si>
  <si>
    <t>231910-21</t>
  </si>
  <si>
    <t>Provider of meal preparation and delivery service intended to deliver healthy, chef-cooked meals. The company's meal is prepared from whole vegetables, grains, meats and fish which are delivered in single portion sizes that are usually 600 calories or less and vacuum-packed, enabling customers with a meal which is fresh, never-frozen and thoughtfully prepared by a seasoned chef.</t>
  </si>
  <si>
    <t>The company raised $2.82 million of seed funding in a deal led by Excell Partners on July 6, 2020. Armory Square Ventures and Wiley Cerilli also participated in the round. The funds will be used to solve the dinner dilemma by bridging the gap between healthy and easy for a whole lot more people.</t>
  </si>
  <si>
    <t>cooked meals, cooked meals delivery, food company, healthy food delivery service, healthy food seller, meals solution</t>
  </si>
  <si>
    <t>Daniel Wise</t>
  </si>
  <si>
    <t>191449-27P</t>
  </si>
  <si>
    <t>+1 (855) 695-6387</t>
  </si>
  <si>
    <t>dwise@realeats.com</t>
  </si>
  <si>
    <t>Mr. Daniel Wise is the Founder &amp; serves as Chief Executive Officer &amp; Board Member at RealEats.</t>
  </si>
  <si>
    <t>Concordia University, BA (Bachelor of Arts), 1995, Political Science and Government</t>
  </si>
  <si>
    <t>The company raised an undisclosed amount of venture funding from Excell Partners on an undisclosed date.</t>
  </si>
  <si>
    <t>Excell Partners</t>
  </si>
  <si>
    <t>Excell Partners(www.excellny.com)</t>
  </si>
  <si>
    <t>Excell Partners(Theresa Mazzullo)</t>
  </si>
  <si>
    <t>Geneva, NY</t>
  </si>
  <si>
    <t>Geneva</t>
  </si>
  <si>
    <t>14456</t>
  </si>
  <si>
    <t>www.realeats.com</t>
  </si>
  <si>
    <t>68944-15T</t>
  </si>
  <si>
    <t>Rinse</t>
  </si>
  <si>
    <t>87814-90</t>
  </si>
  <si>
    <t>Provider of dry cleaning and laundry delivery services intended to offer quality clothing care. The company's services offer garment care including dry cleaning, launder, press, wash, fold, hang dry, repairs, leather cleaning and clothing donations, through smart scheduling technology, enabling users to get standardized dry cleaning and laundry experience at their door on a predictable and route-based schedule and keep their garments clean.</t>
  </si>
  <si>
    <t>The company was approved for a Paycheck Protection Program Loan in the range of $1-2 million from Silicon Valley Bank on April 13, 2020. The application cited 361 jobs to be retained with the financing.</t>
  </si>
  <si>
    <t>Application Software, Clothing, Other Services (B2C Non-Financial)*</t>
  </si>
  <si>
    <t>dry cleaning, laundry, laundry cleaning, laundry delivery, laundry service</t>
  </si>
  <si>
    <t>Ajay Prakash</t>
  </si>
  <si>
    <t>87104-44P</t>
  </si>
  <si>
    <t>+1 (888) 850-2444</t>
  </si>
  <si>
    <t>ajay@rinse.com</t>
  </si>
  <si>
    <t>Mr. Ajay Prakash is a Co-Founder and serves as Chief Executive Officer at Rinse. He serves as an Advisor at Waxelene. He has previously worked with reBloom.</t>
  </si>
  <si>
    <t>Dartmouth College, BA (Bachelor of Arts), 2003, Economics; Stanford Graduate School of Business, MBA (Master of Business Administration), 2010</t>
  </si>
  <si>
    <t>The company raised $6 million of Series A venture funding in a deal led by Javelin Venture Partners on December 2, 2015, putting the company's pre-money valuation at $11.94 million. CAA Ventures, Alumni Ventures Group, Expansion Venture Capital, Aslanoba Capital, Structure Capital, Base Ventures, Accelerator Ventures, Arena Ventures, Otter Rock Capital and CSC UpShot Ventures also participated in the round. The company intends to expand its operations in other locations along with expanding its services.</t>
  </si>
  <si>
    <t>Alumni Ventures Group, CAA Ventures, CSC UpShot Ventures, Javelin Venture Partners</t>
  </si>
  <si>
    <t>Accelerator Ventures, Arena Ventures, Aslanoba Capital, Base Ventures, Expansion Venture Capital, Otter Rock Capital, Structure Capital</t>
  </si>
  <si>
    <t>Accelerator Ventures(www.acceleratorventures.com), Alumni Ventures Group(www.avgfunds.com), Arena Ventures(www.arenavc.com), Aslanoba Capital(www.aslanobacapital.com), Base Ventures(www.base.ventures), CAA Ventures(ventures.caa.com), CSC UpShot Ventures(www.csc-upshot.vc), Expansion Venture Capital(www.expansionvc.com), Javelin Venture Partners(www.javelinvp.com), Otter Rock Capital(www.otterrockcapital.com), Structure Capital(www.structure.vc)</t>
  </si>
  <si>
    <t>Accelerator Ventures, Alumni Ventures Group, Arena Ventures(Paige Craig), Aslanoba Capital, Base Ventures, CAA Ventures, CSC UpShot Ventures, Expansion Venture Capital, Javelin Venture Partners(Alex Gurevich), Otter Rock Capital, Structure Capital</t>
  </si>
  <si>
    <t>Javelin Venture Partners(Alex Gurevich)</t>
  </si>
  <si>
    <t>Accelerator Venture Capital II(Accelerator Ventures), CSC Upshot Fund I(CSC UpShot Ventures), Structure Capital(Structure Capital)</t>
  </si>
  <si>
    <t>www.rinse.com</t>
  </si>
  <si>
    <t>89489-71T</t>
  </si>
  <si>
    <t>The company raised $14 million of Series B venture funding in a deal led by Partech on June 21, 2017, putting the company's pre-money valuation at $28 million. Structure Capital, Accelerator Ventures, Arena Ventures, Javelin Venture Partners, Alumni Ventures Group, Hemisphere Ventures, CSC UpShot Ventures and Team in Residence also participated in the round. The company will use the funding to fuel expansion to several new markets, including Chicago, Boston, Houston, Dallas, Austin, Seattle, Miami, San Diego, Denver and New York.</t>
  </si>
  <si>
    <t>Hemisphere Ventures, Partech, Team in Residence</t>
  </si>
  <si>
    <t>Accelerator Ventures, Alumni Ventures Group, Arena Ventures, CSC UpShot Ventures, Javelin Venture Partners, Structure Capital</t>
  </si>
  <si>
    <t>Accelerator Ventures(www.acceleratorventures.com), Alumni Ventures Group(www.avgfunds.com), Arena Ventures(www.arenavc.com), CSC UpShot Ventures(www.csc-upshot.vc), Hemisphere Ventures(www.hemisphere.com), Javelin Venture Partners(www.javelinvp.com), Partech(www.partechpartners.com), Structure Capital(www.structure.vc), Team in Residence(www.teaminresidence.com)</t>
  </si>
  <si>
    <t>Accelerator Ventures, Alumni Ventures Group(Michael Madden), Arena Ventures(Paige Craig), CSC UpShot Ventures, Hemisphere Ventures, Javelin Venture Partners(Alex Gurevich), Partech(Nicolas El Baze), Structure Capital, Team in Residence</t>
  </si>
  <si>
    <t>Partech(Nicolas El Baze)</t>
  </si>
  <si>
    <t>Accelerator Venture Capital II(Accelerator Ventures), Arena Alpha(Arena Ventures), CSC Upshot Fund I(CSC UpShot Ventures), Green D Ventures 4(Alumni Ventures Group), Javelin Venture Partners IV(Javelin Venture Partners), Partech International Ventures VII(Partech), Structure Capital(Structure Capital)</t>
  </si>
  <si>
    <t>21148-84T</t>
  </si>
  <si>
    <t>Rover</t>
  </si>
  <si>
    <t>53467-39</t>
  </si>
  <si>
    <t>Developer of a pet care platform designed to connect pet owners with pet sitters and dog walkers. The company's platform provides pet sitting, dog walking, in-home dog boarding and doggy day care, enabling dog owners to find people who'll treat their pets like family.</t>
  </si>
  <si>
    <t>The company raised $155 million of Series G venture funding through a combination of debt and equity in a deal led by T. Rowe Price on May 25, 2018, putting the company's pre-money valuation at $800 million. Winslow Capital Management, Cross Creek Advisors, Greenspring Associates, Technology Crossover Ventures, First Round Capital, Capital Factory, Spark Capital, Caixa Capital Risc and Civeta Investments also participated in the round. The company will use the funding to expand internationally, increase share of market for its on-demand walking service, enhance its core offerings and introduce new service adjacencies. also participated in this round.</t>
  </si>
  <si>
    <t>Mobile, Pet Technology, TMT</t>
  </si>
  <si>
    <t>dog board, dog care, dog sitters, dog walking, doggy day care, pet sitter, pet sitting</t>
  </si>
  <si>
    <t>Aaron Easterly</t>
  </si>
  <si>
    <t>39580-93P</t>
  </si>
  <si>
    <t>+1 (888) 453-7889</t>
  </si>
  <si>
    <t>aaron@rover.com</t>
  </si>
  <si>
    <t>Mr. Aaron Easterly serves as Chief Executive Officer at Rover. He was an Advisor at Spare5. He is an Angel Investor. Previously, he was an Entrepreneur in Residence at Madrona Venture Group and General Manager of Advertising Strategy &amp; Monetization at Microsoft. Prior to Microsoft, he served as Vice President and General Manager at Atlas. He holds a Bachelor of Arts in Economics from Harvard University.</t>
  </si>
  <si>
    <t>Harvard University, BA (Bachelor of Arts), 1999, Economics</t>
  </si>
  <si>
    <t>The company raised $3.38 million of Series A venture funding from lead investor Madrona Venture Group, CrunchFund and undisclosed individual investors on April 12, 2012, putting the pre-money valuation at $7.41 million.</t>
  </si>
  <si>
    <t>Tuesday Capital</t>
  </si>
  <si>
    <t>Madrona Venture Group</t>
  </si>
  <si>
    <t>Madrona Venture Group(www.madrona.com), Tuesday Capital(www.tuesday.vc)</t>
  </si>
  <si>
    <t>Madrona Venture Group(Gregory Gottesman), Tuesday Capital</t>
  </si>
  <si>
    <t>Madrona Venture Group(Gregory Gottesman)</t>
  </si>
  <si>
    <t>Crunch Fund I(Tuesday Capital), Madrona Venture Fund IV(Madrona Venture Group)</t>
  </si>
  <si>
    <t>DLA Piper (Legal Advisor to Madrona Venture Group, Trenton Dykes JD), Wilson Sonsini Goodrich &amp; Rosati (Legal Advisor to Company)</t>
  </si>
  <si>
    <t>DLA Piper (Legal Advisor to Madrona Venture Group, Trenton Dykes JD)</t>
  </si>
  <si>
    <t>Olympia, WA</t>
  </si>
  <si>
    <t>Olympia</t>
  </si>
  <si>
    <t>98501</t>
  </si>
  <si>
    <t>www.rover.com</t>
  </si>
  <si>
    <t>27571-33T</t>
  </si>
  <si>
    <t>The company raised $10.5 million of Series B venture funding from lead investor PETCO Animal Supplies on July 30, 2013, putting the pre-money valuation at $18.09 million. Foundry Group, Madrona Venture Group, Rolling Bay Ventures and Crunchfund also participated. The funding was raised in tranches.</t>
  </si>
  <si>
    <t>Foundry Group, Petco Animal Supplies, Rolling Bay Ventures</t>
  </si>
  <si>
    <t>Madrona Venture Group, Tuesday Capital</t>
  </si>
  <si>
    <t>Foundry Group(www.foundrygroup.com), Madrona Venture Group(www.madrona.com), Petco Animal Supplies(www.petco.com), Tuesday Capital(www.tuesday.vc)</t>
  </si>
  <si>
    <t>Foundry Group(Bradley Feld), Madrona Venture Group(Gregory Gottesman), Petco Animal Supplies(Ted Root), Rolling Bay Ventures, Tuesday Capital</t>
  </si>
  <si>
    <t>Petco Animal Supplies(Ted Root)</t>
  </si>
  <si>
    <t>Crunch Fund I(Tuesday Capital), Foundry Venture Capital 2013(Foundry Group), Madrona Venture Fund IV(Madrona Venture Group)</t>
  </si>
  <si>
    <t>32021-74T</t>
  </si>
  <si>
    <t>Serviz</t>
  </si>
  <si>
    <t>61754-77</t>
  </si>
  <si>
    <t>Provider of an online platform designed to offer on-demand home repair services. The company's platform offers an application-based service to book and pay for home services online, including plumbing, carpet cleaning, appliance repair and electrical services, enabling users to easily find professionals nearby easily to repair any need at home.</t>
  </si>
  <si>
    <t>The company was acquired by Porch for an undisclosed amount on August 22, 2018.</t>
  </si>
  <si>
    <t>Other Services (B2C Non-Financial), Social/Platform Software*</t>
  </si>
  <si>
    <t>appliance repair, home repair service, home services books, on demand home repair service</t>
  </si>
  <si>
    <t>Zorik Gordon</t>
  </si>
  <si>
    <t>37113-04P</t>
  </si>
  <si>
    <t>+1 (866) 907-4088</t>
  </si>
  <si>
    <t>zorik.gordon@certemy.com</t>
  </si>
  <si>
    <t>Mr. Zorik Gordon is a Co-Founder and serves as Chief Executive Officer at Certemy. Mr. Gordon co-founded and served as Chief Executive Officer at Serviz. Prior to SERVIZ, Zorik was a founder of ReachLocal, Inc. (NASDAQ: RLOC), a leading provider of digital marketing services to small and medium-sized businesses, where he served as CEO from 2004 until 2013. From 1999 to 2003, he served as CEO for WorldWinner, a provider of prize-based tournaments in online games. He also founded Jackpot.com, which grew to become the Connexus Corporation, an online marketing company.</t>
  </si>
  <si>
    <t>The company raised $7.5 million of a planned $10.7 million of Series A funding from lead investor Groupon on February 25, 2014, putting the pre-money valuation at $19.14 million. Andy Sheehan, Jeff Stibel of Stibel Investments, Zorik Gordon, Michael Kline and undisclosed investors also participated in the round. The financing consists of an initial $7.5M investment with an option for Groupon to contribute an additional $3.2M within the next twelve months. The investment will be used to expand the company’s geographic footprint and its network of independent professional service providers and to accelerate the introduction of innovative features to its online and mobile booking and transaction platform.</t>
  </si>
  <si>
    <t>Groupon</t>
  </si>
  <si>
    <t>Groupon (NAS: GRPN)(www.groupon.com)</t>
  </si>
  <si>
    <t>Groupon (NAS: GRPN)</t>
  </si>
  <si>
    <t>Cooley (Legal Advisor to Company), DLA Piper (Legal Advisor to Groupon, Gregory Grossman JD)</t>
  </si>
  <si>
    <t>DLA Piper (Legal Advisor to Groupon, Gregory Grossman JD)</t>
  </si>
  <si>
    <t>91403</t>
  </si>
  <si>
    <t>www.serviz.com</t>
  </si>
  <si>
    <t>40507-75T</t>
  </si>
  <si>
    <t>The company raised $12.5 million of Series B funding from lead investor PointGuard Ventures on December 16, 2014, putting the pre-money valuation at $47.5 million. Andy Sheehan, Jeff Stibel, Zorik Gordon and Michael Kline also participated. The company intends to use the funds to expand its service offerings to the top 20 home repair categories and support expansion into an additional 20 geographic markets in the next 12 to 24 months.</t>
  </si>
  <si>
    <t>Jeffrey Stibel, PointGuard Ventures</t>
  </si>
  <si>
    <t>PointGuard Ventures(www.pointguardventures.com)</t>
  </si>
  <si>
    <t>Jeffrey Stibel(Jeffrey Stibel), PointGuard Ventures(Krish Panu)</t>
  </si>
  <si>
    <t>PointGuard Ventures(Krish Panu)</t>
  </si>
  <si>
    <t>Strategic Law Partners (Legal Advisor to Company)</t>
  </si>
  <si>
    <t>76439-89T</t>
  </si>
  <si>
    <t>Adam Wergeles</t>
  </si>
  <si>
    <t>124999-39P</t>
  </si>
  <si>
    <t>Mr. Adam Wergeles served as the Executive Vice President, Business and Legal Affairs at Serviz. He served for over 7 years as the first Chief Legal Officer for ReachLocal, Inc. (NASDAQ: RLOC). Adam brings deep experience advising technology companies from start up to maturity. Adam holds a JD degree from the University of Southern California Law School and a BA from Hamilton College.</t>
  </si>
  <si>
    <t>Hamilton College, BA (Bachelor of Arts), 1987, Political Science; University of Southern California (USC), JD (Doctor of Law), 1991</t>
  </si>
  <si>
    <t>The company raised $10.70 million of venture funding from ENGIE New Ventures, Tippet Venture Partners and other undisclosed investors on September 29, 2016.</t>
  </si>
  <si>
    <t>ENGIE New Ventures, Tippet Venture Partners</t>
  </si>
  <si>
    <t>ENGIE New Ventures(www.engieventures.com), Tippet Venture Partners(www.tippetpartners.com)</t>
  </si>
  <si>
    <t>ENGIE New Ventures(Scott Pinizzotto), Tippet Venture Partners</t>
  </si>
  <si>
    <t>73400-86T</t>
  </si>
  <si>
    <t>Shipt</t>
  </si>
  <si>
    <t>121192-48</t>
  </si>
  <si>
    <t>Operator of an online grocery marketplace created to deliver groceries to the customer's door. The company's application offers a membership-based grocery marketplace, enabling users to shop for groceries online and get them delivered to their door in a convenient and less timeconsuming manner.</t>
  </si>
  <si>
    <t>SWS Venture Capital sold a stake in the company to an undisclosed buyer.</t>
  </si>
  <si>
    <t>Food Products, Specialty Retail*</t>
  </si>
  <si>
    <t>FoodTech, Mobile, SaaS, Supply Chain Tech, TMT</t>
  </si>
  <si>
    <t>grocery app, grocery delivery, grocery delivery service, online grocery marketplace, personal shopping application, supply chain tech</t>
  </si>
  <si>
    <t>Bill Smith</t>
  </si>
  <si>
    <t>109284-22P</t>
  </si>
  <si>
    <t>Mr. Bill Smith founded and served as Chief Executive Officer and Board Member at Shipt. He also is an Angel Investor. He served as an Advisor at Smooth Terminal.</t>
  </si>
  <si>
    <t>The company raised $20.1 million in a combination of Series A and Series A1 venture funding from Greycroft Partners, Harbert Growth Partners and e.ventures on June 27, 2016, putting the company's pre-money valuation at $40 million. Other undisclosed investors also participated in the round. The funds will be used to continue to scale the company's business to new markets, develop additional partnerships with grocery retailers and invest in its team.</t>
  </si>
  <si>
    <t>e.ventures, Greycroft, Harbert Growth Partners</t>
  </si>
  <si>
    <t>e.ventures(Thomas Gieselmann), Greycroft(Ian Sigalow), Harbert Growth Partners(Robert Crutchfield)</t>
  </si>
  <si>
    <t>Greycroft Partners Annex Fund(Greycroft), Harbert Growth Partners IV(Harbert Growth Partners), Redpoint eventures 1(e.ventures)</t>
  </si>
  <si>
    <t>Founders Advisors (Advisor: General to Company), Morris Manning &amp; Martin (Legal Advisor to Company)</t>
  </si>
  <si>
    <t>Founders Advisors (Advisor: General to Company)</t>
  </si>
  <si>
    <t>Birmingham, AL</t>
  </si>
  <si>
    <t>Birmingham</t>
  </si>
  <si>
    <t>Alabama</t>
  </si>
  <si>
    <t>35203</t>
  </si>
  <si>
    <t>www.shipt.com</t>
  </si>
  <si>
    <t>88722-19T</t>
  </si>
  <si>
    <t>The company raised $40 million of Series B venture funding in a deal led by Greycroft on June 1, 2017, putting the company's pre-money valuation at $165 million. Harbert Growth Partners, 7 Global Capital, e.ventures, and Harbert Management also participated in the round. The funds will be used to build up the company's team and product capabilities, as well as to forge more partnerships with grocery stores, retailers and others - including possible deals with consumer packaged goods companies.</t>
  </si>
  <si>
    <t>7 Global Capital, Harbert Management</t>
  </si>
  <si>
    <t>7 Global Capital(www.7globalcapital.com), e.ventures(www.eventures.vc), Greycroft(www.greycroft.com), Harbert Management(www.harbert.net)</t>
  </si>
  <si>
    <t>7 Global Capital, e.ventures(Thomas Gieselmann), Greycroft(Ian Sigalow), Harbert Growth Partners(Robert Crutchfield), Harbert Management</t>
  </si>
  <si>
    <t>Greycroft(Ian Sigalow)</t>
  </si>
  <si>
    <t>Greycroft Growth II(Greycroft), Harbert European Real Estate Fund IV(Harbert Management), Harbert Growth Partners IV(Harbert Growth Partners), Redpoint eventures 1(e.ventures)</t>
  </si>
  <si>
    <t>125146-90T</t>
  </si>
  <si>
    <t>Shoe Drop</t>
  </si>
  <si>
    <t>338561-47</t>
  </si>
  <si>
    <t>Provider of a shoe repair service intended to revolutionize the shoe repair and leather care industry. The company's service includes repair of broken threads, lining replacement, repainting of edges and corners, changing handles, and leather conditioning, enabling customers to get their items repaired at an affordable rate.</t>
  </si>
  <si>
    <t>The company raised an undisclosed amount of venture funding from Breakout Capital in 2014.</t>
  </si>
  <si>
    <t>bags repair, custom bags, handbag repair, shoes repair service, shoes repair shop</t>
  </si>
  <si>
    <t>Brandon Labrum</t>
  </si>
  <si>
    <t>150871-42P</t>
  </si>
  <si>
    <t>+1 (312) 809-0991</t>
  </si>
  <si>
    <t>Mr. Brandon Labrum is a Co-Founder of Shoe Drop. He is also the Founder &amp; serves as Chief Executive Officer at Fund Lab. Prior to this he had served at Sterling Partners.</t>
  </si>
  <si>
    <t>Breakout Capital</t>
  </si>
  <si>
    <t>Breakout Capital(www.breakoutcap.com)</t>
  </si>
  <si>
    <t>Breakout Capital(Brandon Labrum)</t>
  </si>
  <si>
    <t>60602</t>
  </si>
  <si>
    <t>www.shoedrop.com</t>
  </si>
  <si>
    <t>17366-86T</t>
  </si>
  <si>
    <t>shopKick</t>
  </si>
  <si>
    <t>45248-14</t>
  </si>
  <si>
    <t>Developer of mobile phone applications that present users with store specific product recommendations. The company provides deals and rewards for shopping in various stores and enable users to redeem the kicks for restaurant vouchers.</t>
  </si>
  <si>
    <t>The company, a subsidiary of SK Planet, was acquired by Trax Image Recognition, via its financial sponsors Boyu Capital Advisory Company, Warburg Pincus, Investec, DC Thomson Ventures and Vulpes Investment Management, through a $200 million LBO on June 24, 2019. The deal accelerates Trax Image Recognition's vision of digitizing the physical world of retail, bridging the mobile and physical retail worlds for global and regional retailers.</t>
  </si>
  <si>
    <t>Application Software*, Other Software</t>
  </si>
  <si>
    <t>Mobile, SaaS, TMT</t>
  </si>
  <si>
    <t>charity application, deals finder app, offline stores, online application, product recommendation app</t>
  </si>
  <si>
    <t>Cyriac Roeding</t>
  </si>
  <si>
    <t>35525-44P</t>
  </si>
  <si>
    <t>+1 (855) 650-0940</t>
  </si>
  <si>
    <t>Mr. Cyriac Roeding is an Angel Investor. Mr. Roeding serves as an Advisor at Brilliant (Smart Switch). He was a Co-Founder and served as the Board Member &amp; Chief Executive Officer at shopKick. Previously, Cyriac was Founder and EVP of CBS Mobile, CBS Interactive. He launched and built CBS Corporation's (NYSE: CBS) mobile division across CBS Entertainment, CBS Sports, CBS News and The CW. He created the first location-based mobile ads in the U.S. together with Loopt; avatar-based mobile games tied to TV shows like America's Next Top Model; grew CBS Sports Mobile into one of the top ten highest traffic ad-supported mobile websites in the U.S.; created the first virtual reality video gaming experience across TV, online and mobile with "CSI: NY"; and launched the first Alternate Reality Game with primetime TV drama (Numb3rs) and outdoor billboard integration.</t>
  </si>
  <si>
    <t>Master's, 1997, Business and Engineering</t>
  </si>
  <si>
    <t>The company raised $15 million in Series B funding from lead investor Kleiner Perkins Caufield &amp; Byers and Greylock Partners on July 14, 2010, putting the pre-money valuation at $64.72 million. SV Angel, Innovation Group, Simon Venture Group, Archer Venture Capital, SevenVentures and Citi group also participated in the financing. Greg Martin also participated in this round.</t>
  </si>
  <si>
    <t>Archer Venture Capital, Citigroup Alternative Investments, Greg Martin, Greylock Partners, SevenVentures, Simon Venture Group</t>
  </si>
  <si>
    <t>Innovation Group, Kleiner Perkins, SV Angel</t>
  </si>
  <si>
    <t>Archer Venture Capital(www.archervc.com), Greylock Partners(www.greylock.com), Innovation Group(www.innovation.group), Kleiner Perkins(www.kleinerperkins.com), SevenVentures(www.sevenventures.de), Simon Venture Group(simonventuregroup.com), SV Angel(www.svangel.com)</t>
  </si>
  <si>
    <t>Archer Venture Capital(Greg Martin), Citigroup Alternative Investments, Greg Martin(Greg Martin), Greylock Partners(Reid Hoffman), Innovation Group, Kleiner Perkins(Matthew Murphy), SevenVentures, Simon Venture Group, SV Angel</t>
  </si>
  <si>
    <t>Greylock Partners(Reid Hoffman), Kleiner Perkins(Matthew Murphy)</t>
  </si>
  <si>
    <t>BRAVO II(Citigroup Alternative Investments), Greylock XIII(Greylock Partners), Kleiner Perkins Caufield &amp; Byers XIII(Kleiner Perkins), SV Angel I(SV Angel)</t>
  </si>
  <si>
    <t>Redwood City, CA</t>
  </si>
  <si>
    <t>Redwood City</t>
  </si>
  <si>
    <t>94063</t>
  </si>
  <si>
    <t>www.shopkick.com</t>
  </si>
  <si>
    <t>17367-04T</t>
  </si>
  <si>
    <t>The company raised $5 million in series A funding from Kleiner Perkins Caufield &amp; Byers, Citi Group, Citi Ventures and Innovation Group in 2010, putting the pre-money valuation at $8.18 million. SV Angel and angel investor Reid Hoffman also participated in the round.</t>
  </si>
  <si>
    <t>Citi Ventures, Innovation Group, Kevin D'Silva, Kleiner Perkins, Reid Hoffman, SV Angel</t>
  </si>
  <si>
    <t>Innovation Group(www.innovation.group), Kleiner Perkins(www.kleinerperkins.com), Reid Hoffman(www.reidhoffman.org), SV Angel(www.svangel.com)</t>
  </si>
  <si>
    <t>Citi Ventures, Innovation Group, Kevin D'Silva, Kleiner Perkins(Matthew Murphy), Reid Hoffman(Reid Hoffman), SV Angel</t>
  </si>
  <si>
    <t>Kleiner Perkins Caufield &amp; Byers XIII(Kleiner Perkins), SV Angel I(SV Angel)</t>
  </si>
  <si>
    <t>22185-73T</t>
  </si>
  <si>
    <t>Smart Lunches</t>
  </si>
  <si>
    <t>55075-78</t>
  </si>
  <si>
    <t>Provider of an online food platform intended to offer food ordering service for children. The company's platform offers lunch for school children from their daily menu, its local catering partners create the customized meal for each child and hand deliver each meal to their school partners before lunchtime, enabling parents to get lunches for their kids delivered directly at their school.</t>
  </si>
  <si>
    <t>The company raised $1.60 million of Series B venture funding from Migration Capital, Launchpad Venture Group and other undisclosed investors on February 14, 2019, putting the company's pre-money valuation at $4.5 million.</t>
  </si>
  <si>
    <t>daily lunch, food ordering, food ordering services, kids lunch, lunch for kids, online school lunch, order food online, school lunch, school lunch catering, school lunch meals</t>
  </si>
  <si>
    <t>The company raised $1.13 million of Series A venture funding from Data Point Capital and Crimson Seed Capital on August 23, 2012, putting their pre-money valuation at $2.57 million. Jonathan Kraft, Jennifer Lum, David S. Chang, Jean Hammond, Jean Hammond and Lon Chow also participated in this round. Jere Doyle also participated.</t>
  </si>
  <si>
    <t>Crimson Seed Capital, Data Point Capital, David Chang, Jean Hammond, Jennifer Lum, Jere Doyle, Lon Chow</t>
  </si>
  <si>
    <t>Crimson Seed Capital(www.crimsonseedcapital.com), Data Point Capital(www.datapointcapital.com), Jennifer Lum(www.about.me/jenniferlum)</t>
  </si>
  <si>
    <t>Crimson Seed Capital, Data Point Capital(Scott Savitz), David Chang(David Chang), Jean Hammond(Jean Hammond), Jennifer Lum(Jennifer Lum), Jere Doyle(Jere Doyle), Lon Chow(Lon Chow)</t>
  </si>
  <si>
    <t>02108</t>
  </si>
  <si>
    <t>www.smartlunches.com</t>
  </si>
  <si>
    <t>35380-72T</t>
  </si>
  <si>
    <t>The company raised $4.44 million of Series A1 venture funding from Romulus Capital, Apricot Capital and Alumni Ventures Group on July 3, 2014, putting the company's pre-money valuation at $8.95 million. Data Point Capital, Joe Caruso, Bantam Group, Jonathan Kraft, Lon Chow, Launchpad Venture Group and Western Technology Investment also participated in the round.</t>
  </si>
  <si>
    <t>Alumni Ventures Group, Apricot Capital, Bantam Group, Joe Caruso, Jonathan Kraft, Launchpad Venture Group, Romulus Capital, Western Technology Investment</t>
  </si>
  <si>
    <t>Data Point Capital, Lon Chow</t>
  </si>
  <si>
    <t>Alumni Ventures Group(www.avgfunds.com), Apricot Capital(www.apricotcapital.wordpress.com), Bantam Group(www.bantamgroup.com), Data Point Capital(www.datapointcapital.com), Launchpad Venture Group(www.launchpadventuregroup.com), Romulus Capital(www.romuluscap.com), Western Technology Investment(www.westerntech.com)</t>
  </si>
  <si>
    <t>Alumni Ventures Group(Michael Collins), Apricot Capital, Bantam Group, Data Point Capital(Scott Savitz), Joe Caruso(Joe Caruso), Jonathan Kraft(Jonathan Kraft), Launchpad Venture Group(Ray Riley), Lon Chow(Lon Chow), Romulus Capital, Western Technology Investment</t>
  </si>
  <si>
    <t>Data Point Capital I(Data Point Capital), Romulus Capital I(Romulus Capital), Venture Lending &amp; Leasing VII(Western Technology Investment), Where Fund(Alumni Ventures Group)</t>
  </si>
  <si>
    <t>Gunderson Dettmer (Legal Advisor to Data Point Capital)</t>
  </si>
  <si>
    <t>117484-39T</t>
  </si>
  <si>
    <t>Hall Venture Partners</t>
  </si>
  <si>
    <t>Hall Venture Partners(www.hallvp.com)</t>
  </si>
  <si>
    <t>Hall Venture Partners(David Hall)</t>
  </si>
  <si>
    <t>Hall Opportunity Fund 1(Hall Venture Partners)</t>
  </si>
  <si>
    <t>82415-71T</t>
  </si>
  <si>
    <t>Scot Wingo</t>
  </si>
  <si>
    <t>36085-51P</t>
  </si>
  <si>
    <t>scot@getspiffynow.com</t>
  </si>
  <si>
    <t>Mr. Scot Wingo is a Co-Founder of Spiffy and serves as its Chief Executive Officer and Board Member. He serves as Board Member at ZVerse &amp; Spoonflower. He also serves as Operating Partner at IDEA Fund Partners. He serves as Advisory Board Member and Investor at CoFounders Capital. He is also a Co-Founder of ChannelAdvisor and serves as its Chairman of the Board and Executive Chairman. He also serves as Board Member at ZVerse. He leads the company in its mission to provide retailers and manufacturers with the software and services needed to successfully sell their products via online sales channels. In tandem with his work at ChannelAdvisor, he is an industry thought leader, contributing regularly to several ChannelAdvisor blogs and speaking often at industry events. Prior to launching ChannelAdvisor, he occupied the roles of general manager of GoTo Auctions, Chief Executive Officer and co-founder of AuctionRover.com (acquired by GoTo.com) and CEO and co-founder of Stingray Software (acquired by RogueWave). Mr. Wingo received a Bachelor of Computer Science degree from the University of South Carolina and a Master of Computer Science degree from North Carolina State University. He also serves as Advisor at Bull City Venture Partners. He is also an Angel Investor.</t>
  </si>
  <si>
    <t>North Carolina State University, MS (Master of Science), 1991, Computer Engineering; University of South Carolina, BS (Bachelor of Science), 1990, Computer Engineering</t>
  </si>
  <si>
    <t>Acquisition Financing</t>
  </si>
  <si>
    <t>The company raised $7.54 million of Series A venture funding in a deal led by Bull City Venture Partners on April 01, 2017, putting the company's pre-money valuation at $6 million. Service Provider Capital, Task Force X Capital, Development 72, IDEA Fund Partners, Industry Ventures and other undisclosed investors also participated in the round. The company intends to use the funds to expand into new markets, invest in technology and explore additional services.</t>
  </si>
  <si>
    <t>Bull City Venture Partners, Development 72, IDEA Fund Partners, Industry Ventures, Service Provider Capital, TFX Capital</t>
  </si>
  <si>
    <t>Bull City Venture Partners(www.bcvp.com), Development 72(www.development72.com), IDEA Fund Partners(www.ideafundpartners.com), Industry Ventures(www.industryventures.com), Service Provider Capital(www.serviceprovidercapital.com), TFX Capital(www.tfxcap.com)</t>
  </si>
  <si>
    <t>Bull City Venture Partners(Jason Caplain), Development 72(Julius Numas), IDEA Fund Partners(Lister Delgado), Industry Ventures, Service Provider Capital, TFX Capital</t>
  </si>
  <si>
    <t>Bull City Venture Partners(Jason Caplain)</t>
  </si>
  <si>
    <t>Bull City Venture Partners Fund III(Bull City Venture Partners), IDEA Fund II(IDEA Fund Partners), Industry Ventures Partnership Holdings IV(Industry Ventures), Service Provider Capital Southeast Fund I(Service Provider Capital), Task Force X Fund I(TFX Capital)</t>
  </si>
  <si>
    <t>Kilpatrick Townsend &amp; Stockton (Legal Advisor to TFX Capital)</t>
  </si>
  <si>
    <t>108496-63T</t>
  </si>
  <si>
    <t>The company raised an estimated $9.5 of Series A venture funding led by Bull City Venture Partners on June 1, 2018, putting the company's pre-money valuation at $13.54 million. IDEA Fund Partners, MANN+HUMMEL, Visionary Private Equity Group, the North Carolina Venture Capital Multiplier Fund, Wolfpack Investor Network (WIN), Tribeca Venture Partners and VentureSouth also participated in the round. The company will use the funds to broaden car care services, expand geographies, and develop additional channels.</t>
  </si>
  <si>
    <t>Hatteras Venture Partners, Mann+Hummel, Tribeca Venture Partners, VentureSouth, Visionary Private Equity Group, Wolfpack Investor Network</t>
  </si>
  <si>
    <t>Bull City Venture Partners, IDEA Fund Partners</t>
  </si>
  <si>
    <t>Bull City Venture Partners(www.bcvp.com), Hatteras Venture Partners(www.hatterasvp.com), IDEA Fund Partners(www.ideafundpartners.com), Mann+Hummel(www.mann-hummel.com), Tribeca Venture Partners(www.tribecavp.com), VentureSouth(www.venturesouth.vc), Visionary Private Equity Group(www.visionaryprivateequitygroup.com), Wolfpack Investor Network(www.wolfpackinvestornetwork.com)</t>
  </si>
  <si>
    <t>Bull City Venture Partners(Jason Caplain), Hatteras Venture Partners, IDEA Fund Partners(Lister Delgado), Mann+Hummel(Charles Vaillant), Tribeca Venture Partners(Chip Meakem), VentureSouth, Visionary Private Equity Group(Ronald Zamber), Wolfpack Investor Network</t>
  </si>
  <si>
    <t>Bull City Venture Partners Fund III(Bull City Venture Partners), IDEA Co-Investment Fund I(IDEA Fund Partners), VentureSouth Angel Fund III(VentureSouth), Visionary Private Equity Group I(Visionary Private Equity Group)</t>
  </si>
  <si>
    <t>120128-23T</t>
  </si>
  <si>
    <t>The company raised $10 million of Series A venture funding in a deal led by Tribeca Venture Partners on June 26, 2019, putting the company's pre-money valuation at $6 million. IDEA Fund Partners, Elevate Innovation Partners, Bull City Venture Partners, Trog Hawley Capital, Zunis Investments, and Colopy Ventures also participated in this round. The funds will be used to expand business into six new markets with Fleet Management as a Service (FMaaS) and rolling out FMaaS in existing markets of Atlanta, Charlotte, Dallas-Fort Worth, Los Angeles and Raleigh-Durham.</t>
  </si>
  <si>
    <t>Colopy Ventures, Elevate Innovation Partners, Trog Hawley Capital, Zunis Investments</t>
  </si>
  <si>
    <t>Bull City Venture Partners, IDEA Fund Partners, Tribeca Venture Partners</t>
  </si>
  <si>
    <t>Bull City Venture Partners(www.bcvp.com), Colopy Ventures(colopy.com), Elevate Innovation Partners(www.eipfund.com), IDEA Fund Partners(www.ideafundpartners.com), Tribeca Venture Partners(www.tribecavp.com), Trog Hawley Capital(www.troghawley.com)</t>
  </si>
  <si>
    <t>Bull City Venture Partners(Jason Caplain), Colopy Ventures, Elevate Innovation Partners, IDEA Fund Partners(Scot Wingo), Tribeca Venture Partners(Chip Meakem), Trog Hawley Capital, Zunis Investments</t>
  </si>
  <si>
    <t>Tribeca Venture Partners(Chip Meakem)</t>
  </si>
  <si>
    <t>Bull City Venture Partners Fund III(Bull City Venture Partners), IDEA Co-Investment Fund I(IDEA Fund Partners)</t>
  </si>
  <si>
    <t>Cooley (Legal Advisor to Tribeca Venture Partners)</t>
  </si>
  <si>
    <t>101775-43T</t>
  </si>
  <si>
    <t>The company raised $6 million of Series A venture funding in a deal led by Munich Re Ventures on January 1, 2017, putting the company's pre-money valuation at $14.5 million. Aquiline Capital Partners and Moderne Ventures also participated in the round.</t>
  </si>
  <si>
    <t>Aquiline Capital Partners, Moderne Ventures, Munich Re Ventures</t>
  </si>
  <si>
    <t>Aquiline Capital Partners(www.aquiline.com), Moderne Ventures(www.moderneventures.com), Munich Re Ventures(www.munichreventures.com)</t>
  </si>
  <si>
    <t>Aquiline Capital Partners(Max Chee), Moderne Ventures(Constance Freedman), Munich Re Ventures(Matthew McElhattan)</t>
  </si>
  <si>
    <t>Munich Re Ventures(Matthew McElhattan)</t>
  </si>
  <si>
    <t>HSB Fund(Munich Re Ventures)</t>
  </si>
  <si>
    <t>115410-43T</t>
  </si>
  <si>
    <t>The company raised $20 million of Series B venture funding in a deal led by Aquiline Capital Partners on April 17, 2019, putting the company's pre-money valuation at $33.5 million. Munich Re Ventures, Liberty Mutual Strategic Ventures, Moderne Ventures, 8VC, Solon Mack Capital and Qatar Investment Authority also participated in the round. The funds will be used to add new geographies based on the demand from the market, as well as for hiring and technology development.</t>
  </si>
  <si>
    <t>8VC, LeFrak, Liberty Mutual Strategic Ventures, Qatar Investment Authority, Solon Mack Capital</t>
  </si>
  <si>
    <t>8VC(www.8vc.com), Aquiline Capital Partners(www.aquiline.com), LeFrak(www.lefrak.com), Liberty Mutual Strategic Ventures(welcome.libertymutual.com/innovation/ventures), Moderne Ventures(www.moderneventures.com), Munich Re Ventures(www.munichreventures.com), Qatar Investment Authority(www.qia.qa), Solon Mack Capital(www.solonmack.com)</t>
  </si>
  <si>
    <t>8VC, Aquiline Capital Partners(Max Chee), LeFrak, Liberty Mutual Strategic Ventures, Moderne Ventures(Constance Freedman), Munich Re Ventures(Matthew McElhattan), Qatar Investment Authority, Solon Mack Capital</t>
  </si>
  <si>
    <t>Aquiline Capital Partners(Max Chee)</t>
  </si>
  <si>
    <t>8VC Fund II(8VC), Aquiline Financial Services Fund IV(Aquiline Capital Partners), HSB Fund(Munich Re Ventures), Liberty Mutual Strategic Ventures(Liberty Mutual Strategic Ventures), Moderne Ventures Fund I(Moderne Ventures), Qatar Ascott Private Equity Fund(Qatar Investment Authority)</t>
  </si>
  <si>
    <t>Goodwin (Legal Advisor to Company, Anthony McCusker JD)</t>
  </si>
  <si>
    <t>25661-98T</t>
  </si>
  <si>
    <t>Swifto</t>
  </si>
  <si>
    <t>56767-60</t>
  </si>
  <si>
    <t>Provider of GPS tracked dog-walking services intended to provide personal and professional dog walking services. The company's services provide GPS integrated technology that matches each dog or puppy with its ideal, insured dog walker offering private dog walks, text notifications and live alerts during the walk, enabling dog owners to get a worry-free dog walking experience to ensure they stay in contact with their canine best friend.</t>
  </si>
  <si>
    <t>The company raised $2.5 million of Series A venture funding from Benchmark Capital on April 26, 2013.</t>
  </si>
  <si>
    <t>Application Software, Information Services (B2C), Other Services (B2C Non-Financial)*</t>
  </si>
  <si>
    <t>Mobile, Pet Technology, SaaS, TMT</t>
  </si>
  <si>
    <t>dog walking, dog walking assistance, dog walking platform, dog walking service, dog walking software, gps tracked dog-walking services, live alerts, pet technology vertical</t>
  </si>
  <si>
    <t>Penina First</t>
  </si>
  <si>
    <t>48895-75P</t>
  </si>
  <si>
    <t>+1 (917) 746-7633</t>
  </si>
  <si>
    <t>penina@swifto.com</t>
  </si>
  <si>
    <t>Ms. First is the Founder and serves as the Chief Executive Officer at Swifto. She began her career as a serial entrepreneur by winning multiple global business competitions and creating Today-Job, an idea aimed at creating a virtual job market in Israel. Ms. First holds a Master of Science in Biotechnology.</t>
  </si>
  <si>
    <t>Bachelor's, 2008, Education; Hebrew University, MS (Master of Science), 2010, Biotechnology</t>
  </si>
  <si>
    <t>Benchmark (San Francisco)</t>
  </si>
  <si>
    <t>Benchmark (San Francisco)(www.benchmark.com)</t>
  </si>
  <si>
    <t>Benchmark Capital Partners VII(Benchmark (San Francisco))</t>
  </si>
  <si>
    <t>10016</t>
  </si>
  <si>
    <t>www.swifto.com</t>
  </si>
  <si>
    <t>38723-41T</t>
  </si>
  <si>
    <t>TaskEasy</t>
  </si>
  <si>
    <t>61957-81</t>
  </si>
  <si>
    <t>Provider of an on-demand lawn maintenance service platform designed to help property owners and contractors to easily book and manage yard care online. The company's platform establishes market price and services for homeowners, property managers and landscape contractors making it easier to order lawn care and snow removal services, enabling contractors to easily manage their customers and business from smartphone or laptop and eliminate the cost of advertising, bidding and billing.</t>
  </si>
  <si>
    <t>The company raised $1 million of Series C venture funding from Level Equity and other undisclosed investors on November 5, 2019.</t>
  </si>
  <si>
    <t>contractor services, lawn maintenance app, lawn maintenance service, lawn service app, lawn service books, yard maintenance</t>
  </si>
  <si>
    <t>Kenneth Davis</t>
  </si>
  <si>
    <t>63190-18P</t>
  </si>
  <si>
    <t>+1 (800) 518-4461</t>
  </si>
  <si>
    <t>ken.davis@taskeasy.com</t>
  </si>
  <si>
    <t>Mr. Kenneth Davis is a Co-Founder and serves as the President, Chief Executive Officer and a Board Member of TaskEasy. He previously started Exterus Technology Services, an on-demand tech services group, and Oakley Networks, a cyber security company which sold to Raytheon in 2007 for $250 million. Davis continued at Raytheon for more than three years following the purchase in the capacity of vice president of technology. He was primarily focused on due diligence and integration for Raytheon's multi-billion M&amp;A activity, along with directing Raytheon's only commercial sales team. He received his bachelor's degree in finance and mathematics, cum laude, from the University of Utah. He is an experienced speaker and lecturer, having presented at tech and security conferences including RSA, the Gartner IT Security Summit, TechForum, DoDIIS, Interop, Secure World, and others.</t>
  </si>
  <si>
    <t>University of Utah, BS (Bachelor of Science), Finance &amp; Mathematics</t>
  </si>
  <si>
    <t>The company raised $7 million of Series A venture funding from lead investors Grotech Ventures, Access Venture Partners and Kickstart Seed Fund on October 24, 2014, putting the pre-money valuation at $15.92 million. Stoneway Capital, Camber Creek, Service Provider Capital and Michael Beaudoin also participated.</t>
  </si>
  <si>
    <t>Access Venture Partners, Camber Creek, Grotech Ventures, Michael Beaudoin, Osborn Companies, Service Provider Capital</t>
  </si>
  <si>
    <t>Kickstart Seed Fund</t>
  </si>
  <si>
    <t>Access Venture Partners(www.accessvp.com), Camber Creek(www.cambercreek.com), Grotech Ventures(www.grotech.com), Kickstart Seed Fund(www.kickstartfund.com), Osborn Companies(www.osbornco.com), Service Provider Capital(www.serviceprovidercapital.com)</t>
  </si>
  <si>
    <t>Access Venture Partners(Kirk Holland), Camber Creek, Grotech Ventures(Lawson DeVries), Kickstart Seed Fund(Gavin Christensen), Michael Beaudoin(Michael Beaudoin), Osborn Companies, Service Provider Capital</t>
  </si>
  <si>
    <t>Access Venture Partners(Kirk Holland), Grotech Ventures(Lawson DeVries), Kickstart Seed Fund(Gavin Christensen)</t>
  </si>
  <si>
    <t>Access Venture Partners II(Access Venture Partners), Grotech Ventures II(Grotech Ventures), Kickstart Seed Fund III(Kickstart Seed Fund), Service Provider Capital Fund I(Service Provider Capital)</t>
  </si>
  <si>
    <t>Cooley (Legal Advisor to Access Venture Partners)</t>
  </si>
  <si>
    <t>Salt Lake City, UT</t>
  </si>
  <si>
    <t>Salt Lake City</t>
  </si>
  <si>
    <t>84101</t>
  </si>
  <si>
    <t>www.taskeasy.com</t>
  </si>
  <si>
    <t>65724-31T</t>
  </si>
  <si>
    <t>The company raised $12 million of Series B venture funding led by Delta Electronics Capital in May, 2016, putting the company's pre-money valuation at $28 million. Moderne Ventures, MTD Products, Grotech Ventures, Park City Angels, Access Venture Partners and Kickstart Fund also participated. The company will use the funding for the growth and product development.</t>
  </si>
  <si>
    <t>Delta Electronics, Moderne Ventures, MTD Products, Park City Angels</t>
  </si>
  <si>
    <t>Access Venture Partners, Grotech Ventures, Kickstart Seed Fund</t>
  </si>
  <si>
    <t>Access Venture Partners(www.accessvp.com), Delta Electronics (TAI: 2308)(www.deltaww.com), Grotech Ventures(www.grotech.com), Kickstart Seed Fund(www.kickstartfund.com), Moderne Ventures(www.moderneventures.com), MTD Products(www.mtdproducts.com), Park City Angels(www.parkcityangels.com)</t>
  </si>
  <si>
    <t>Access Venture Partners(Kirk Holland), Delta Electronics (TAI: 2308), Grotech Ventures(Lawson DeVries), Kickstart Seed Fund(Gavin Christensen), Moderne Ventures(Constance Freedman), MTD Products(Robert Moll), Park City Angels</t>
  </si>
  <si>
    <t>Delta Electronics (TAI: 2308)</t>
  </si>
  <si>
    <t>Access Venture Partners II(Access Venture Partners), Grotech Ventures II(Grotech Ventures), Kickstart Seed Fund III(Kickstart Seed Fund)</t>
  </si>
  <si>
    <t>Cooley (Legal Advisor to Company), Wilson Sonsini Goodrich &amp; Rosati (Legal Advisor to Delta Electronics)</t>
  </si>
  <si>
    <t>Wilson Sonsini Goodrich &amp; Rosati (Legal Advisor to Delta Electronics)</t>
  </si>
  <si>
    <t>82816-21T</t>
  </si>
  <si>
    <t>The company raised $400,000 of Series A venture funding from Stoneway Capital and other undisclosed investors on February 18, 2016.</t>
  </si>
  <si>
    <t>Osborn Companies</t>
  </si>
  <si>
    <t>Osborn Companies(www.osbornco.com)</t>
  </si>
  <si>
    <t>101705-50T</t>
  </si>
  <si>
    <t>Thistle</t>
  </si>
  <si>
    <t>102712-42</t>
  </si>
  <si>
    <t>Developer of an online delivery platform intended to search and order healthy food products. The company's platform helps users to order nutritious, organic, and plant-based food items that are made from all fresh and natural ingredients through its subscription-based delivery services, enabling people to order fresh ready meals and get it delivered to their doorsteps in a hassle-free manner.</t>
  </si>
  <si>
    <t>New Ground Ventures sold a stake in the company to an undisclosed buyer.</t>
  </si>
  <si>
    <t>FoodTech, LOHAS &amp; Wellness, Restaurant Technology</t>
  </si>
  <si>
    <t>food deilvery platform, food delivery portal, food delivery system, meals delivery platform, online meal delivery platform</t>
  </si>
  <si>
    <t>Shiri Avnery</t>
  </si>
  <si>
    <t>118960-03P</t>
  </si>
  <si>
    <t>+1 (833) 837-5662</t>
  </si>
  <si>
    <t>shiri.avnery@thistle.co</t>
  </si>
  <si>
    <t>Ms. Shiri Avnery is a Co-Founder and serves as Chief Operating Officer at Thistle.</t>
  </si>
  <si>
    <t>Brown University, BS (Bachelor of Science), 2004, Geological and Earth Sciences/Geoscience; Princeton University, Ph.D. (Doctor of Philosophy), 2012, Environmental Policy; University of Texas, MA (Master of Arts), 2007, Physical Geography</t>
  </si>
  <si>
    <t>The company raised $8.35 million of venture funding from New Ground Ventures and Powerplant Ventures on an undisclosed date.</t>
  </si>
  <si>
    <t>New Ground Ventures, Powerplant Ventures</t>
  </si>
  <si>
    <t>New Ground Ventures(www.newground.vc), Powerplant Ventures(www.powerplantvc.com)</t>
  </si>
  <si>
    <t>New Ground Ventures, Powerplant Ventures(Daniel Gluck)</t>
  </si>
  <si>
    <t>94109</t>
  </si>
  <si>
    <t>www.thistle.co</t>
  </si>
  <si>
    <t>78430-06T</t>
  </si>
  <si>
    <t>Seed Round</t>
  </si>
  <si>
    <t>The company raised $400,000 of seed 1 funding from Full Tilt Capital and other angel investors on September 9, 2016, putting the pre-money valuation at $1.5 million. The funding will be used in expanding the 11 person staff and and in other marketing activities.</t>
  </si>
  <si>
    <t>Full Tilt Capital</t>
  </si>
  <si>
    <t>Full Tilt Capital(www.fulltilt.capital)</t>
  </si>
  <si>
    <t>Full Tilt Capital(Anthony Pompliano)</t>
  </si>
  <si>
    <t>87250-60T</t>
  </si>
  <si>
    <t>The company raised $2.5 million of Seed 2 funding from Cox Enterprises, Reform Ventures and Techstars on September 11, 2017, putting the company's pre-money valuation at $8.75 million. The funding is intended to scale hiring, expand marketing efforts and company growth.</t>
  </si>
  <si>
    <t>Cox Enterprises, Reform Ventures</t>
  </si>
  <si>
    <t>Cox Enterprises(www.coxenterprises.com), Reform Ventures(www.reformventures.com), Techstars(www.techstars.com)</t>
  </si>
  <si>
    <t>Cox Enterprises, Reform Ventures, Techstars</t>
  </si>
  <si>
    <t>57877-03T</t>
  </si>
  <si>
    <t>The company raised $1.5 million of seed funding in a deal led by Alexandr Chernyak on September 22, 2015. Imperious Group, Life.SREDA VC, SMRK VC Fund also participated in the round. The company intends to use the funding to expand operations.</t>
  </si>
  <si>
    <t>Alexandr Chernyak, Imperious Group, Life.SREDA VC, SMRK VC Fund</t>
  </si>
  <si>
    <t>Imperious Group(www.imperiousgroup.com), Life.SREDA VC(www.sreda.vc), SMRK VC Fund(www.smrk.vc)</t>
  </si>
  <si>
    <t>Alexandr Chernyak(Alexandr Chernyak), Imperious Group, Life.SREDA VC, SMRK VC Fund</t>
  </si>
  <si>
    <t>Alexandr Chernyak(Alexandr Chernyak)</t>
  </si>
  <si>
    <t>75949-21T</t>
  </si>
  <si>
    <t>The company raised $2.35 million of Seed funding in a deal led by Metamorphic Ventures on September 20, 2016, putting the pre-money valuation at $6 million. Andreessen Horowitz, FJ Labs, SMRK VC Fund and Alexandr Chernyak also participated in the round. It plans to utilize the new funds to expand into new markets (Los Angeles and Chicago) as well as for product research, development and marketing.</t>
  </si>
  <si>
    <t>Andreessen Horowitz, Compound, FJ Labs</t>
  </si>
  <si>
    <t>Alexandr Chernyak, SMRK VC Fund</t>
  </si>
  <si>
    <t>Andreessen Horowitz(www.a16z.com), Compound(www.compound.vc), FJ Labs(www.fjlabs.com), SMRK VC Fund(www.smrk.vc)</t>
  </si>
  <si>
    <t>Alexandr Chernyak(Alexandr Chernyak), Andreessen Horowitz(Jeffrey Jordan), Compound(David Hirsch), FJ Labs(Fabrice Grinda), SMRK VC Fund</t>
  </si>
  <si>
    <t>Compound(David Hirsch)</t>
  </si>
  <si>
    <t>Andreessen Horowitz Fund V(Andreessen Horowitz), FJ Labs 3VC(FJ Labs), Metamorphic Ventures FD(Compound)</t>
  </si>
  <si>
    <t>Gunderson Dettmer (Legal Advisor to Andreessen Horowitz)</t>
  </si>
  <si>
    <t>71945-38T</t>
  </si>
  <si>
    <t>Barkly Pets</t>
  </si>
  <si>
    <t>161565-22</t>
  </si>
  <si>
    <t>Developer of a digital marketplace and platform intended to help in scheduling on-demand pet care. The company's platform offers service for pet owners who want to supervise their pets' treatment and book on-demand trained dog walkers available to take out their dog in as little as 60 minutes notice, enabling clients to access premium care through pick-up and drop-off notifications, detailed walk reports including GPS map of the route, photos from the visit as well as the ability to get instant feedback and encrypted cash-less transactions.</t>
  </si>
  <si>
    <t>The company was acquired by Metamorphosis Partners for an undisclosed amount on July 27, 2020. The acquisition expands Metamorphosis' offerings in dog walking, boarding, training, grooming and other pet care services.</t>
  </si>
  <si>
    <t>dog care, dog walking application, on demand pet care, pet care services, pet technology vertical</t>
  </si>
  <si>
    <t>David Comiskey</t>
  </si>
  <si>
    <t>138506-86P</t>
  </si>
  <si>
    <t>+1 (518) 256-7204</t>
  </si>
  <si>
    <t>dave@barkly.us</t>
  </si>
  <si>
    <t>Mr. David Comiskey is a Co-Founder of Barkly Pets.</t>
  </si>
  <si>
    <t>Johns Hopkins University, MA (Master of Arts), 2013, Global Security, Strategic Studies; University of Florida, BA (Bachelor of Arts), 2008, East Asian Languages &amp; Literature</t>
  </si>
  <si>
    <t>The company raised an estimated $720,000 of seed funding led by Michael Passante on September 6, 2016, putting the pre-money valuation at $3.28 million. Other undisclosed investors also participated in the round.</t>
  </si>
  <si>
    <t>Michael Passante</t>
  </si>
  <si>
    <t>Michael Passante(Michael Passante)</t>
  </si>
  <si>
    <t>La Jolla, CA</t>
  </si>
  <si>
    <t>La Jolla</t>
  </si>
  <si>
    <t>92037</t>
  </si>
  <si>
    <t>www.barklypets.com</t>
  </si>
  <si>
    <t>90286-30T</t>
  </si>
  <si>
    <t>Christopher Gonzalez</t>
  </si>
  <si>
    <t>138507-31P</t>
  </si>
  <si>
    <t>chris@barkly.us</t>
  </si>
  <si>
    <t>Mr. Christopher Gonzalez is a Co-Founder at Barkly Pets and serves as its Chief Executive Officer.</t>
  </si>
  <si>
    <t>Susquehanna University, BS (Bachelor of Science), 2007, Finance and Economics; University of Maryland, MBA (Master of Business Administration), 2014</t>
  </si>
  <si>
    <t>The company raised $605,000 of seed funding in a deal led by Newark Venture Partners on June 23, 2017. Benjamin Novak and other undisclosed investors also participated in the round. The company intends to use the funds to fuel their growth.</t>
  </si>
  <si>
    <t>Benjamin Novak, Newark Venture Partners</t>
  </si>
  <si>
    <t>Benjamin Novak(www.benjamindavidnovak.com), Newark Venture Partners(www.newarkventurepartners.com)</t>
  </si>
  <si>
    <t>Benjamin Novak(Benjamin Novak), Newark Venture Partners</t>
  </si>
  <si>
    <t>Newark Venture Partners</t>
  </si>
  <si>
    <t>116702-92T</t>
  </si>
  <si>
    <t>The company raised $3 million of Seed funding from Comcast Ventures, Cross Culture Ventures and BAM Ventures on April 22, 2019, putting the company's pre-money valuation at $13.5 million. Able Partners, Global Founders Capital, Bass Investment, Justin Timberlake, Nicholas Jammet, BBG Ventures, Weekend Fund, DuContra Ventures and Nick Green also participated in the round. The funds will be used by the company to provide the initial marketing push and continue their product development and sales efforts.</t>
  </si>
  <si>
    <t>Able Partners, BAM Ventures, Bass Investment, BBG Ventures, Comcast Ventures, DuContra Ventures, Global Founders Capital, Justin Timberlake, MaC Venture Capital, Nicholas Jammet, Nick Green, Weekend Fund</t>
  </si>
  <si>
    <t>Able Partners(www.ablepartners.nyc), BAM Ventures(www.bam.vc), Bass Investment(www.bassinvestment.com), BBG Ventures(www.bbgventures.com), Comcast Ventures(www.comcastventures.com), DuContra Ventures(www.ducontra.ventures), Global Founders Capital(globalfounderscapital.com), Justin Timberlake(www.justintimberlake.com), MaC Venture Capital(www.macventurecapital.com), Weekend Fund(weekend.fund)</t>
  </si>
  <si>
    <t>Able Partners, BAM Ventures, Bass Investment, BBG Ventures, Comcast Ventures, DuContra Ventures, Global Founders Capital, Justin Timberlake(Justin Timberlake), MaC Venture Capital, Nicholas Jammet(Nicholas Jammet), Nick Green(Nick Green), Weekend Fund</t>
  </si>
  <si>
    <t>Bam Ventures Partners(BAM Ventures), BBG Ventures II(BBG Ventures), Cross Culture Ventures I(MaC Venture Capital), Weekend Fund(Weekend Fund)</t>
  </si>
  <si>
    <t>38827-63T</t>
  </si>
  <si>
    <t>The company raised $400,000 of seed funding through a combination of debt and equity from Quotidian Ventures, Upstage Ventures and Forefront Venture Partners on July 11, 2014. Hemisphere Ventures, 37 Angels, 9 individual investors also participated in the round.</t>
  </si>
  <si>
    <t>First Lien</t>
  </si>
  <si>
    <t>37 Angels, Dave Lerner, Dazhi Chen, Forefront Venture Partners, Geoff Ward, Hemisphere Ventures, Lisa Rich, Mark Wachen, Matt Zeltser, Mohammed Seyfi, Quotidian Ventures, Scott Hendrick, Scott Wolfgang, Upstage Ventures</t>
  </si>
  <si>
    <t>37 Angels(www.37angels.com), Dave Lerner(www.davelerner.com), Forefront Venture Partners(www.forefrontvp.com), Hemisphere Ventures(www.hemisphere.com), Quotidian Ventures(www.quotidian.co), Upstage Ventures(www.upstageventures.com)</t>
  </si>
  <si>
    <t>37 Angels, Dave Lerner(Dave Lerner), Dazhi Chen(Dazhi Chen), Forefront Venture Partners, Geoff Ward(Geoff Ward), Hemisphere Ventures, Lisa Rich(Lisa Rich), Mark Wachen(Mark Wachen), Matt Zeltser(Matt Zeltser), Mohammed Seyfi(Mohammed Seyfi), Quotidian Ventures, Scott Hendrick(Scott Hendrick), Scott Wolfgang(Scott Wolfgang), Upstage Ventures</t>
  </si>
  <si>
    <t>60570-82T</t>
  </si>
  <si>
    <t>Matt Hawkins</t>
  </si>
  <si>
    <t>119071-72P</t>
  </si>
  <si>
    <t>matt@apitracker.com</t>
  </si>
  <si>
    <t>Mr. Matt Hawkins is a Co-Founder and serves as Chief Executive Officer at Hoss.</t>
  </si>
  <si>
    <t>University of Colorado, BS (Bachelor of Science), 2007, Marketing</t>
  </si>
  <si>
    <t>The company raised $1.3 million of seed funding from Hugh Forrest and other 10 angel investors on November 3, 2015. The company intends to use the funding to extend its services to additional cities in United States.</t>
  </si>
  <si>
    <t>Hugh Forrest</t>
  </si>
  <si>
    <t>26770-87T</t>
  </si>
  <si>
    <t>The company raised $1.4 million of seed funding led by Formation 8 Partners on June 25, 2013. DG Incubation, Beenos Partners, Hydrazine Capital, Signatures Capital, DV Playground, Goldcrest Investments and 6 angel investors also participated in the round. Bobby Yazdani also participated.</t>
  </si>
  <si>
    <t>Beenos Partners, Bobby Yazdani, DG Ventures (Japan), DV Playground, Formation 8, Goldcrest Capital, Hydrazine Capital, Jason Young, Michael Liou, Pankaj Shah, Signatures Capital, Ullas Naik</t>
  </si>
  <si>
    <t>Beenos Partners (TKS: 3328)(www.beenos.com), DG Ventures (Japan)(www.dgventures.com/en), Formation 8(www.formation8.com), Goldcrest Capital(www.goldcrest.com), Signatures Capital(www.signaturescapital.com)</t>
  </si>
  <si>
    <t>Beenos Partners (TKS: 3328), Bobby Yazdani(Bobby Yazdani), DG Ventures (Japan), DV Playground, Formation 8(Joseph Lonsdale), Goldcrest Capital, Hydrazine Capital(Sam Altman), Jason Young, Michael Liou(Michael Liou), Pankaj Shah(Pankaj Shah), Signatures Capital, Ullas Naik(Ullas Naik)</t>
  </si>
  <si>
    <t>Formation8 Partners Fund I(Formation 8)</t>
  </si>
  <si>
    <t>Morgan Lewis (Legal Advisor to Formation 8)</t>
  </si>
  <si>
    <t>38113-75T</t>
  </si>
  <si>
    <t>The company raised $2.15 million of seed funding in a deal led by Formation 8 on July 21, 2015, putting the company's pre-money valuation at $15 million. Cota Capital, Otter Rock Capital, Goldcrest Capital, Streamlined Ventures, Brendan Wallace, Darren Bechtel, Tomoya Sasaki, Drew Oetting, Ryan Choi, Dave Smith and YC Start Fund also participated in the round. The company will use its funds for hiring and overall growth.</t>
  </si>
  <si>
    <t>Brendan Wallace, Cota Capital, Darren Bechtel, David Smith, Drew Oetting, Otter Rock Capital, Ryan Choi, Streamlined Ventures, Tomoya Sasaki, YC Start Fund</t>
  </si>
  <si>
    <t>Formation 8, Goldcrest Capital</t>
  </si>
  <si>
    <t>Brendan Wallace(identified.com/brendan), Cota Capital(www.cotacapital.com), Formation 8(www.formation8.com), Goldcrest Capital(www.goldcrest.com), Otter Rock Capital(www.otterrockcapital.com), Streamlined Ventures(www.streamlined.vc)</t>
  </si>
  <si>
    <t>Brendan Wallace(Brendan Wallace), Cota Capital, Darren Bechtel(Darren Bechtel), David Smith, Drew Oetting(Drew Oetting), Formation 8(Joseph Lonsdale), Goldcrest Capital, Otter Rock Capital, Ryan Choi, Streamlined Ventures, Tomoya Sasaki, YC Start Fund</t>
  </si>
  <si>
    <t>Formation8 Partners Fund I(Formation 8), Streamlined Ventures I(Streamlined Ventures)</t>
  </si>
  <si>
    <t>31130-20T</t>
  </si>
  <si>
    <t>The company raised $4.8 million of seed funding from lead investor Continental Investors on May 21, 2014, putting the pre-money valuation at $4.79 million. Vayner/RSE, Suffolk Equity Partners, Atlas Venture, Abundance Partners, Breakaway Innovation Group, Boston Syndicates, Continental Advisors, Continental Investors, Fairhaven Capital Partners, Reynolds and Company Venture Partners, Capital Factory and 19 individual investors also participated in the round. The transaction included $2.5 million of bridge financing.</t>
  </si>
  <si>
    <t>Abundance Partners, Atlas Venture, Boston Syndicates, Breakaway Ventures, Capital Factory, Charles Meyer, Christopher Merrill, Continental Advisors, Continental Investors, Dennis Baldwin, Fairhaven Capital Partners, Jeremiah Gall, Lars Albright, Maximilian Seel, Reynolds and Company Venture Partners, Suffolk Equity Partners, Todd McSweeney, Vayner/RSE, Walter Danco</t>
  </si>
  <si>
    <t>Abundance Partners(www.abundancepartnersllc.com), Atlas Venture(www.atlasventure.com), Boston Syndicates(www.bossbacked.com), Breakaway Ventures(breakaway.com), Capital Factory(www.capitalfactory.com), Christopher Merrill(www.superwebomatic.com), Continental Advisors(www.contadv.com), Continental Investors(www.continentalinvestors.com), Fairhaven Capital Partners(www.fairhavencapital.com), Reynolds and Company Venture Partners(www.rcvpartners.com), Suffolk Equity Partners(www.suffolkequity.com), Vayner/RSE(www.vaynerrse.com)</t>
  </si>
  <si>
    <t>Abundance Partners, Atlas Venture, Boston Syndicates, Breakaway Ventures, Capital Factory, Charles Meyer(Charles Meyer), Christopher Merrill(Christopher Merrill), Continental Advisors(Paul Purcell), Continental Investors(Philip Purcell), Dennis Baldwin(Dennis Baldwin), Fairhaven Capital Partners, Jeremiah Gall(Jeremiah Gall), Lars Albright(Lars Albright), Maximilian Seel(Maximilian Seel), Reynolds and Company Venture Partners, Suffolk Equity Partners(Freddie Martignetti), Todd McSweeney(Todd McSweeney), Vayner/RSE(Gary Vaynerchuk), Walter Danco(Walter Danco)</t>
  </si>
  <si>
    <t>Continental Investors(Philip Purcell)</t>
  </si>
  <si>
    <t>Atlas Venture Fund IX(Atlas Venture), Breakaway Partners I(Breakaway Ventures), Fairhaven Capital Partners(Fairhaven Capital Partners), Vayner RSE(Vayner/RSE)</t>
  </si>
  <si>
    <t>78909-31T</t>
  </si>
  <si>
    <t>DRYV</t>
  </si>
  <si>
    <t>101603-62</t>
  </si>
  <si>
    <t>Provider of an application designed to offer dry cleaning and laundry services. The company's application helps users to schedule on-the-go pickup and deliveries as well as partner with retail cleaners in nearby area, enabling users to receive the best possible garment care.</t>
  </si>
  <si>
    <t>The company raised an estimated $3 million of Seed funding from Service Provider Capital on June 2, 2016, putting the company's pre-money valuation at $5 million.</t>
  </si>
  <si>
    <t>drying cleaning, drying cleaning services, online laundry, online laundry platform, online laundry service</t>
  </si>
  <si>
    <t>Chris Elipas</t>
  </si>
  <si>
    <t>150734-53P</t>
  </si>
  <si>
    <t>Mr. Chris Elipas Co-Founded DRYV.</t>
  </si>
  <si>
    <t>The company raised $450,000 of seed funding from Breakpoint Ventures and undisclosed individual investors on August 19, 2014.</t>
  </si>
  <si>
    <t>Breakpoint Ventures</t>
  </si>
  <si>
    <t>Breakpoint Ventures(www.breakpointventures.com)</t>
  </si>
  <si>
    <t>60601</t>
  </si>
  <si>
    <t>www.dryv.com</t>
  </si>
  <si>
    <t>78909-40T</t>
  </si>
  <si>
    <t>Service Provider Capital</t>
  </si>
  <si>
    <t>Service Provider Capital(www.serviceprovidercapital.com)</t>
  </si>
  <si>
    <t>Service Provider Capital Midwest Fund I(Service Provider Capital)</t>
  </si>
  <si>
    <t>79117-75T</t>
  </si>
  <si>
    <t>The company raised $650,000 of angel funding from Eric Troy in December, 2015, putting the pre-money valuation at $3 million. The round partially consisted of convertible debt. The funds will be used for application development and testing.</t>
  </si>
  <si>
    <t>Eric Troy</t>
  </si>
  <si>
    <t>Eric Troy(Eric Troy)</t>
  </si>
  <si>
    <t>96558-85T</t>
  </si>
  <si>
    <t>The company raised seed funding from FundRx, New World Health and other undisclosed investors.</t>
  </si>
  <si>
    <t>MBX Capital, New World Health</t>
  </si>
  <si>
    <t>MBX Capital(www.mbxcapital.com), New World Health(www.nwhealth.nyc)</t>
  </si>
  <si>
    <t>24924-70T</t>
  </si>
  <si>
    <t>The company raised $1.2 million of seed funding from Draper Associates, Mario Feghali, Chuck Gordon, Eric Simone, Pat Matthews, Bill Boebel and Silverton Partners on February 12, 2013. Kevin Moore also participated.</t>
  </si>
  <si>
    <t>Draper Associates, Eric Simone, Kevin Moore, Pat Matthews, Silverton Partners, William Boebel</t>
  </si>
  <si>
    <t>Draper Associates(www.draper.vc), Kevin Moore(www.agileangel.com), Silverton Partners(www.silvertonpartners.com), William Boebel(www.bb.co)</t>
  </si>
  <si>
    <t>Draper Associates(Timothy Draper), Eric Simone(Eric Simone), Kevin Moore(Kevin Moore), Pat Matthews(Pat Matthews), Silverton Partners(Kip McClanahan), William Boebel(William Boebel)</t>
  </si>
  <si>
    <t>Silverton Partners III(Silverton Partners)</t>
  </si>
  <si>
    <t>34777-45T</t>
  </si>
  <si>
    <t>The company raised $660,000 of Seed funding from Silverton Partners on November 7, 2013, putting the pre-money valuation at $2.10 million.</t>
  </si>
  <si>
    <t>Silverton Partners(www.silvertonpartners.com)</t>
  </si>
  <si>
    <t>Silverton Partners(Kip McClanahan)</t>
  </si>
  <si>
    <t>Silverton Partners IV(Silverton Partners)</t>
  </si>
  <si>
    <t>37243-99T</t>
  </si>
  <si>
    <t>The company raised $2 million of seed funding from lead investor Silverton Partners on September 4, 2014. Tim Draper and other undisclosed investors also participated. The funding will be used to grow business and client acquisition.</t>
  </si>
  <si>
    <t>Timothy Draper</t>
  </si>
  <si>
    <t>Silverton Partners(www.silvertonpartners.com), Timothy Draper(www.timothydraper.com)</t>
  </si>
  <si>
    <t>Silverton Partners(Kip McClanahan), Timothy Draper(Timothy Draper)</t>
  </si>
  <si>
    <t>30359-26T</t>
  </si>
  <si>
    <t>FlyCleaners</t>
  </si>
  <si>
    <t>60769-27</t>
  </si>
  <si>
    <t>Developer of an on-demand laundry and dry-cleaning application designed to offer laundry and dry cleaning services. The company's application permits users to schedule pickup and delivery of their dry-cleaning and laundry on-demand, usually with under an hour's notice and offers competitive pricing and also tracks cleaning preferences and the status of garments throughout the process, enabling individuals to avail fast and economical laundry services.</t>
  </si>
  <si>
    <t>The company raised $2 million of seed funding in a deal led by Zelkova Ventures on December 17, 2013. Mistral Equity Partners, Interplay Ventures, RiverPark Ventures, and FJ Labs also participated in the round.</t>
  </si>
  <si>
    <t>dry cleaning service provider, drying cleaning, drying cleaning services, laundry, laundry process, laundry service, on demand laundry</t>
  </si>
  <si>
    <t>David Salama</t>
  </si>
  <si>
    <t>58143-79P</t>
  </si>
  <si>
    <t>+1 (855) 865-6359</t>
  </si>
  <si>
    <t>david@flycleaners.com</t>
  </si>
  <si>
    <t>Mr. Salama serves as the Chief Executive Officer &amp; a Co-Founder at FlyCleaners.</t>
  </si>
  <si>
    <t>New York University (Stern), BS (Bachelor of Science), 2004, Finance</t>
  </si>
  <si>
    <t>FJ Labs, Interplay Ventures, Mistral Equity Partners, RiverPark Ventures, Zelkova Ventures</t>
  </si>
  <si>
    <t>FJ Labs(www.fjlabs.com), Interplay Ventures(www.interplay.vc), Mistral Equity Partners(www.mistralequity.com), RiverPark Ventures(www.riverparkvc.com), Zelkova Ventures(www.zelkovavc.com)</t>
  </si>
  <si>
    <t>FJ Labs, Interplay Ventures, Mistral Equity Partners, RiverPark Ventures, Zelkova Ventures(Jason Levy)</t>
  </si>
  <si>
    <t>Zelkova Ventures(Jason Levy)</t>
  </si>
  <si>
    <t>Mistral Equity Partners(Mistral Equity Partners), Zelkova Venture Partners I(Zelkova Ventures)</t>
  </si>
  <si>
    <t>10010</t>
  </si>
  <si>
    <t>www.flycleaners.com</t>
  </si>
  <si>
    <t>117235-54T</t>
  </si>
  <si>
    <t>The company raised $2 million of seed funding in a deal led by Cleveland Avenue on March 10, 2019. Other undisclosed investors also participated in the round. The company intends to use the funds to continue to expand operations.</t>
  </si>
  <si>
    <t>Cleveland Avenue</t>
  </si>
  <si>
    <t>Cleveland Avenue(www.clevelandavenue.com)</t>
  </si>
  <si>
    <t>Cleveland Avenue(Donald Thompson)</t>
  </si>
  <si>
    <t>87072-40T</t>
  </si>
  <si>
    <t>Galley</t>
  </si>
  <si>
    <t>172186-03</t>
  </si>
  <si>
    <t>Developer of a food delivery application designed to order freshly cooked meals from local restaurants. The company's food delivery application displays an online menu alongside the ingredients used, nutrition information, prices and time of delivery, enabling users to surf across daily menus and plans to order healthy and nutritious family meals at desired venues.</t>
  </si>
  <si>
    <t>The company was acquired by Sweetgreen for an undisclosed amount on June 11, 2019. The company is no longer actively tracked by PitchBook.</t>
  </si>
  <si>
    <t>food delivery application, food delivery platform, food ordering application, meals planning application, online menu</t>
  </si>
  <si>
    <t>Alan Clifford</t>
  </si>
  <si>
    <t>161289-73P</t>
  </si>
  <si>
    <t>+1 (202) 930-3663</t>
  </si>
  <si>
    <t>alan@galleyfoods.com</t>
  </si>
  <si>
    <t>Mr. Alan Clifford is a Co-Founder at Galley and also serves as its Chief Executive Officer and Board Member.</t>
  </si>
  <si>
    <t>The company raised $933,426 of seed angel funding from undisclosed investors on April 27, 2017, putting the estimated pre-money valuation at $8.4 million.</t>
  </si>
  <si>
    <t>www.galleyfoods.com</t>
  </si>
  <si>
    <t>119619-73T</t>
  </si>
  <si>
    <t>The company raised an undisclosed amount of seed funding from Cabana Ventures on December 15, 2016.</t>
  </si>
  <si>
    <t>Cabana Ventures</t>
  </si>
  <si>
    <t>Cabana Ventures(www.cabanaventures.com)</t>
  </si>
  <si>
    <t>18654-22T</t>
  </si>
  <si>
    <t>The company raised $1.2 million of seed funding from DeNA Co., Greylock Partners, Felicis Ventures, Vast Ventures, Initialized Capital Management, Collaborative Fund, Founder Collective, SV Angel, Morado Venture Partners, Thrive Capital, and 12 individual investors including Mark Hager on February 24, 2012.</t>
  </si>
  <si>
    <t>Alexander Gerko, Alexis Ohanian, Ashvin Patel, Benjamin Ling, Collaborative Fund, Craig Shapiro, DeNA, Felicis Ventures, Founder Collective, Garry Tan, Greylock Partners, Initialized Capital Management, Jack Abraham, Keith Rabois, Mark Hager, Morado Venture Partners, Noah Goodhart, Reid Hoffman, SV Angel, Thrive Capital, Vast Ventures</t>
  </si>
  <si>
    <t>Alexis Ohanian(alexisohanian.com), Collaborative Fund(www.collaborativefund.com), Craig Shapiro(www.cshapiro.com), DeNA (TKS: 2432)(www.dena.com), Felicis Ventures(www.felicis.com), Founder Collective(www.foundercollective.com), Greylock Partners(www.greylock.com), Initialized Capital Management(www.initialized.com), Morado Venture Partners(www.moradoventures.com), Noah Goodhart(www.noahgoodhart.com), Reid Hoffman(www.reidhoffman.org), SV Angel(www.svangel.com), Thrive Capital(www.thrivecap.com), Vast Ventures(www.vastvc.com)</t>
  </si>
  <si>
    <t>Alexander Gerko(Alexander Gerko), Alexis Ohanian(Alexis Ohanian), Ashvin Patel(Ashvin Patel), Benjamin Ling(Benjamin Ling), Collaborative Fund, Craig Shapiro(Craig Shapiro), DeNA (TKS: 2432), Felicis Ventures, Founder Collective, Garry Tan(Garry Tan), Greylock Partners, Initialized Capital Management(Garry Tan), Jack Abraham(Jack Abraham), Keith Rabois(Keith Rabois), Mark Hager(Mark Hager), Morado Venture Partners, Noah Goodhart(Noah Goodhart), Reid Hoffman(Reid Hoffman), SV Angel, Thrive Capital, Vast Ventures</t>
  </si>
  <si>
    <t>Felicis Ventures II(Felicis Ventures), Founder Collective I(Founder Collective), Greylock XIII(Greylock Partners), Initialized Capital Special Opportunities Fund I(Initialized Capital Management), Morado Venture Partners I(Morado Venture Partners), SV Angel II(SV Angel), Thrive Capital Fund I(Thrive Capital)</t>
  </si>
  <si>
    <t>Clerky (Advisor: General to Company), Silicon Legal Strategy (Legal Advisor to Company)</t>
  </si>
  <si>
    <t>Clerky (Advisor: General to Company)</t>
  </si>
  <si>
    <t>49319-74T</t>
  </si>
  <si>
    <t>Burch Creative Capital, Marcello Bottoli</t>
  </si>
  <si>
    <t>Burch Creative Capital(www.burchcreativecapital.com)</t>
  </si>
  <si>
    <t>Burch Creative Capital(Christopher Burch), Marcello Bottoli(Marcello Bottoli)</t>
  </si>
  <si>
    <t>124955-11T</t>
  </si>
  <si>
    <t>Grocemania</t>
  </si>
  <si>
    <t>171834-04</t>
  </si>
  <si>
    <t>Provider of a platform intended to help users in ordering groceries online. The companies platform offers its users to order groceries from local or chain stores and get it delivered on-demand, enabling them to save minimum order fees and avoid lifting heavy supermarket bags.</t>
  </si>
  <si>
    <t>E-Commerce, FoodTech, Mobile, Mobile Commerce, SaaS</t>
  </si>
  <si>
    <t>grocery shopping, grocery shopping app, grocery shopping application, grocery shopping delivery, grocery shopping platform</t>
  </si>
  <si>
    <t>Pre-venture, Venture Capital</t>
  </si>
  <si>
    <t>Askar Bulegenov</t>
  </si>
  <si>
    <t>213401-53P</t>
  </si>
  <si>
    <t>+44 (0)75 4964 1470</t>
  </si>
  <si>
    <t>askar@grocemania.co.uk</t>
  </si>
  <si>
    <t>Mr. Askar Bulegenov is a Co-Founder and serves as Chief Executive Officer and Managing Director at Grocemania.</t>
  </si>
  <si>
    <t>The company raised GBP 76,557 of seed funding via crowdfunding platform Seedrs on November 18, 2018, putting the company's pre-money valuation at GBP 650,000.</t>
  </si>
  <si>
    <t>Seedrs (Lead Manager or Arranger to Company)</t>
  </si>
  <si>
    <t>KT2 7LB</t>
  </si>
  <si>
    <t>www.grocemania.co.uk</t>
  </si>
  <si>
    <t>22309-57T</t>
  </si>
  <si>
    <t>The company raised approximately $20,000 of seed funding from Highland Capital Partners and Summer@Highland on June 26, 2012, putting the company's pre-money valuation at $40,270. The funding was raised in tranches.</t>
  </si>
  <si>
    <t>Highland Capital Partners, Summer@Highland</t>
  </si>
  <si>
    <t>Highland Capital Partners(www.hcp.com), Summer@Highland(summer.hcp.com)</t>
  </si>
  <si>
    <t>Highland Capital Partners(Robert Davis), Summer@Highland</t>
  </si>
  <si>
    <t>Highland Capital Partners(Robert Davis)</t>
  </si>
  <si>
    <t>Highland Capital Partners VIII(Highland Capital Partners)</t>
  </si>
  <si>
    <t>123023-44T</t>
  </si>
  <si>
    <t>The company raised $250,000 of seed funding in a deal led by Slater Technology Fund and other undisclosed investors on August 19, 2019.</t>
  </si>
  <si>
    <t>130104-37T</t>
  </si>
  <si>
    <t>The company raised $1.01 million of Series seed funding from undisclosed investors on March 3, 2020, putting the company's pre-money valuation at $4 million.</t>
  </si>
  <si>
    <t>36023-32T</t>
  </si>
  <si>
    <t>The company raised an estimated $2 million of seed funding from Guild Capital on July 24, 2014. Justin Mateen, Brandon Cruz, Craig Ulliott and Rich Mott also participated.</t>
  </si>
  <si>
    <t>Brandon Cruz, Clint Jones, Craig Ulliott, Guild Capital, Justin Mateen, Rich Mott</t>
  </si>
  <si>
    <t>Guild Capital(www.guildcap.com), Justin Mateen(justinmateen.com)</t>
  </si>
  <si>
    <t>Brandon Cruz(Brandon Cruz), Clint Jones(Clint Jones), Craig Ulliott(Craig Ulliott), Guild Capital, Justin Mateen(Justin Mateen), Rich Mott(Rich Mott)</t>
  </si>
  <si>
    <t>84927-25T</t>
  </si>
  <si>
    <t>The company raised $2.8 million through the combination of Seed 1 and Seed I-A funding in a deal led by Florida Funders on June 21, 2017, putting the company's pre-money valuation at $7 million. FAN Fund, JBII and undisclosed investors also participated in the round. The company intends to use the funds to support their rapid growth and expansion into new geographic markets.</t>
  </si>
  <si>
    <t>Bialla Venture Partners, Deepwork Capital, Florida Funders, JBII</t>
  </si>
  <si>
    <t>Bialla Venture Partners(www.bialla.com), Deepwork Capital(www.deepworkcapital.com), Florida Funders(www.floridafunders.com)</t>
  </si>
  <si>
    <t>Bialla Venture Partners, Deepwork Capital(Benjamin Patz), Florida Funders(Tom Wallace), JBII</t>
  </si>
  <si>
    <t>Florida Funders(Tom Wallace)</t>
  </si>
  <si>
    <t>FAN Investors Fund I(Deepwork Capital)</t>
  </si>
  <si>
    <t>Merging Traffic (Lead Manager or Arranger to Company)</t>
  </si>
  <si>
    <t>95510-53T</t>
  </si>
  <si>
    <t>Laundryheap</t>
  </si>
  <si>
    <t>178478-02</t>
  </si>
  <si>
    <t>Provider of laundry and dry cleaning services intended to collect, clean and deliver laundry in 24 hours. The company's services include individual cleaning without the use of chemicals where items are washed at 30°C and dried, enabling customers to be ensured that their items are treated with care.</t>
  </si>
  <si>
    <t>The company raised GBP 850,040 of equity crowdfunding via Seedrs on November 30, 2017, putting the company's pre-money valuation at GBP 14.95 million.</t>
  </si>
  <si>
    <t>clothes cleaning, drying cleaning, drying cleaning services, laundry service, on demand laundry service</t>
  </si>
  <si>
    <t>Deyan Dimitrov</t>
  </si>
  <si>
    <t>89831-35P</t>
  </si>
  <si>
    <t>deyan.dimitrov@laundryheap.com</t>
  </si>
  <si>
    <t>Mr. Deyan Dimitrov is the Founder and serves as Chief Executive Officer at Laundryheap. He has previously worked at Rocket Internet. He co-founded Globally Disruptive Enterprises.</t>
  </si>
  <si>
    <t>BBA (Bachelor of Business Administration), 2010, Finance &amp; Management; Master's, 2011, International Business</t>
  </si>
  <si>
    <t>The company raised GBP 2 million of seed funding from QVentures and Niche Invest on October 9, 2017.</t>
  </si>
  <si>
    <t>Niche Invest, QVentures</t>
  </si>
  <si>
    <t>Niche Invest(www.niche-invest.com), QVentures(www.qventures.de)</t>
  </si>
  <si>
    <t>Niche Invest(Simon Smith), QVentures</t>
  </si>
  <si>
    <t>SW9 6DE</t>
  </si>
  <si>
    <t>www.laundryheap.co.uk</t>
  </si>
  <si>
    <t>38496-70T</t>
  </si>
  <si>
    <t>The company raised $1.9 million of seed funding from Allegro Venture Partners, Binary Capital and LaunchCapital on September 11, 2014. Next Level Ventures, FundersClub, Bodley Group, David Shen Ventures, Reynolds and Company Venture Partners, Gang Wang, Sam Liu, Robert Wuttke, Haroon Mokhtarzada, Alexis Ohanian, Kevin Moore, Surender Punia, Adam Sharp, Paul Holliman, Justin Darcy, Zillionize, Wefunder, Lunch Van Fund and Sam Liu Investments also participated in the round.</t>
  </si>
  <si>
    <t>Adam Sharp, Alexis Ohanian, Allegro Venture Partners, Binary Capital, Bodley Group, David Shen Ventures, FundersClub, Gang Wang, Haroon Mokhtarzada, Justin Darcy, Kevin Moore, LaunchCapital, Lunch Van Fund, Next Level Ventures, Paul Holliman, Reynolds and Company Venture Partners, Robert Wuttke, Sam Liu, Sam Liu Investments, Surender Punia, Wefunder, Zillionize</t>
  </si>
  <si>
    <t>Alexis Ohanian(alexisohanian.com), Allegro Venture Partners(www.allegrovc.com), Binary Capital(www.binarycap.com), Bodley Group(www.bodleygroup.com), David Shen Ventures(www.davidshenventures.com), FundersClub(www.fundersclub.com), Haroon Mokhtarzada(angel.co/haroon), Kevin Moore(www.agileangel.com), LaunchCapital(www.launchcapital.com), Next Level Ventures(www.nextlevelvc.com), Reynolds and Company Venture Partners(www.rcvpartners.com), Sam Liu(www.paleobreadrecipe.com), Wefunder(www.wefunder.com), Zillionize(www.zillionize.com)</t>
  </si>
  <si>
    <t>Adam Sharp(Adam Sharp), Alexis Ohanian(Alexis Ohanian), Allegro Venture Partners, Binary Capital, Bodley Group, David Shen Ventures, FundersClub, Gang Wang(Gang Wang), Haroon Mokhtarzada(Haroon Mokhtarzada), Justin Darcy(Justin Darcy), Kevin Moore(Kevin Moore), LaunchCapital, Lunch Van Fund, Next Level Ventures, Paul Holliman(Paul Holliman), Reynolds and Company Venture Partners, Robert Wuttke(Robert Wuttke), Sam Liu(Sam Liu), Sam Liu Investments, Surender Punia(Surender Punia), Wefunder, Zillionize</t>
  </si>
  <si>
    <t>Accelerate FC Fund VII(FundersClub), Allegro Venture Partners(Allegro Venture Partners), BG Fund I(Bodley Group), Binary Capital Fund I(Binary Capital), Next Level Ventures Fund I(Next Level Ventures)</t>
  </si>
  <si>
    <t>Silicon Legal Strategy (Legal Advisor to Allegro Venture Partners), Wefunder (Lead Manager or Arranger to Company)</t>
  </si>
  <si>
    <t>Wefunder (Lead Manager or Arranger to Company)</t>
  </si>
  <si>
    <t>Silicon Legal Strategy (Legal Advisor to Allegro Venture Partners)</t>
  </si>
  <si>
    <t>104372-11T</t>
  </si>
  <si>
    <t>The company raised $1.4 million through a combination of debt and equity in a deal led by The Syndicate Fund, M25 and Router Ventures on April 12, 2018, putting the company's pre-money valuation at $5 million. Right Side Capital Management, Matchstick Ventures, Firebrand Ventures, Network Ventures and other undisclosed individual investors also participated in the round. The funds will be used to to accelerate market and channel growth on a national scale.</t>
  </si>
  <si>
    <t>Bread &amp; Butter Ventures, Firebrand Ventures, M25, Matchstick Ventures, Network Ventures, Right Side Capital Management, Router Ventures</t>
  </si>
  <si>
    <t>Bread &amp; Butter Ventures(www.breadandbutterventures.com), Firebrand Ventures(www.firebrandvc.com), M25(www.m25vc.com), Matchstick Ventures(www.matchstickventures.com), Network Ventures(www.networkventures.vc), Right Side Capital Management(www.rightsidecapital.com), Router Ventures(www.routerventures.com)</t>
  </si>
  <si>
    <t>Bread &amp; Butter Ventures(Brett Brohl), Firebrand Ventures, M25, Matchstick Ventures, Network Ventures, Right Side Capital Management, Router Ventures</t>
  </si>
  <si>
    <t>Bread &amp; Butter Ventures(Brett Brohl), M25, Router Ventures</t>
  </si>
  <si>
    <t>2016 M25 Group Fund 2(M25), Firebrand Venture(Firebrand Ventures), Router Ventures(Router Ventures), RSCM Fund II(Right Side Capital Management)</t>
  </si>
  <si>
    <t>21860-20T</t>
  </si>
  <si>
    <t>LoveWithFood</t>
  </si>
  <si>
    <t>54793-18</t>
  </si>
  <si>
    <t>Provider of an online food subscription platform designed to provide healthier food to consumers. The company's online food subscription platform offers all-natural, organic or gluten-free snacks with no cancellation fee and free home delivery, enabling users to try out new snacks every month before committing to full-size products, thereby saving time and money.</t>
  </si>
  <si>
    <t>The company was acquired by SnackNation for an undisclosed amount on June 20, 2018. This acquisition will allow SnackNation to provide an even better customer experience through elevated curations to both its office and home members.</t>
  </si>
  <si>
    <t>home delivery, monthly food subscription, monthly subscription, online food delivery, online subscription platform, subscription commerce, subscription service, subscription-based</t>
  </si>
  <si>
    <t>Aihui Ong</t>
  </si>
  <si>
    <t>42133-51P</t>
  </si>
  <si>
    <t>+1 (888) 966-5883</t>
  </si>
  <si>
    <t>aong@edgilife.com</t>
  </si>
  <si>
    <t>Ms. Aihui Ong is the Founder and serves as Chief Executive Officer at LoveWithFood. Previously, she held leadership roles at Accenture and PeopleSoft, running their financial engineering divisions. But her two biggest passions are technology and food. When she saw how inefficient and broken the food industry was, she taught herself Ruby on Rails and launched Love With Food, the perfect marriage of her two passions!</t>
  </si>
  <si>
    <t>National University of Singapore, BS (Bachelor of Science), 1998, Computer Science; University of Warwick, MBA (Master of Business Administration), 2006</t>
  </si>
  <si>
    <t>The company raised $50,000 of seed funding from 500 Startups and MicroVenture Marketplace on October 31, 2011.</t>
  </si>
  <si>
    <t>500 Startups, Christine Tsai, MicroVentures, Paul Singh</t>
  </si>
  <si>
    <t>500 Startups(www.500.co), MicroVentures(www.microventures.com)</t>
  </si>
  <si>
    <t>500 Startups, Christine Tsai(Christine Tsai), MicroVentures, Paul Singh(Paul Singh)</t>
  </si>
  <si>
    <t>500 Startups III(500 Startups)</t>
  </si>
  <si>
    <t>Foster City, CA</t>
  </si>
  <si>
    <t>Foster City</t>
  </si>
  <si>
    <t>94404</t>
  </si>
  <si>
    <t>www.lovewithfood.com</t>
  </si>
  <si>
    <t>21860-29T</t>
  </si>
  <si>
    <t>The company raised $645,000 Seed funding from lead investor Justin Kitch on July 10, 2012, putting the company's pre-money valuation at $1 million. 500 Startups, Teec Angel Fund, Great Oaks VC, Manish Chandra, George Harik, Douglas Feirstein, David Hauser and Jonathan Ebinger also participated.</t>
  </si>
  <si>
    <t>Ben Lin, David Hauser, Georges Harik, Great Oaks Venture Capital, TSVC</t>
  </si>
  <si>
    <t>500 Startups</t>
  </si>
  <si>
    <t>500 Startups(www.500.co), David Hauser(www.davidhauser.com), Great Oaks Venture Capital(www.greatoaksvc.com), TSVC(www.tsvcap.com)</t>
  </si>
  <si>
    <t>500 Startups, Ben Lin(Ben Lin), David Hauser(David Hauser), Georges Harik(Georges Harik), Great Oaks Venture Capital, TSVC</t>
  </si>
  <si>
    <t>500 Startups III(500 Startups), TEEC Angel Fund II(TSVC)</t>
  </si>
  <si>
    <t>Gunderson Dettmer (Legal Advisor to Company), Wilson Sonsini Goodrich &amp; Rosati (Legal Advisor to Company)</t>
  </si>
  <si>
    <t>34565-50T</t>
  </si>
  <si>
    <t>The company raised $1.4 million of Seed 1 funding from Kapor Capital, 500 Startups and Tsingyuan Ventures on June 10, 2014, putting the company's pre-money valuation at $3.5 million. Silicon Valley Growth Syndicate, Iowa City Capital Partners, Ironfire Angel, Scrum Ventures, El Dorado Ventures, Aventura VC and individual investors: Yun-Fang Juan, Chun-hung Lin, Anthony Marlowe, Dave McClure, Clark Landry and Talmadge O'Neill also participated in the round.</t>
  </si>
  <si>
    <t>Anthony Marlowe, Aventura VC, Chun-hung Lin, Clark Landry, David McClure, El Dorado Ventures, Iowa City Capital Partners, Ironfire Ventures, Kapor Capital, Scrum Ventures, Silicon Valley Growth Syndicate, Yun-Fang Juan</t>
  </si>
  <si>
    <t>500 Startups, TSVC</t>
  </si>
  <si>
    <t>500 Startups(www.500.co), Aventura VC(www.aventuravc.com), El Dorado Ventures(www.eldorado.com), Iowa City Capital Partners(www.iowacitycapitalpartners.com), Ironfire Ventures(www.ironfireventures.com), Kapor Capital(www.kaporcapital.com), Scrum Ventures(www.scrum.vc), Silicon Valley Growth Syndicate(www.siliconvalleygrowth.com), TSVC(www.tsvcap.com)</t>
  </si>
  <si>
    <t>500 Startups, Anthony Marlowe(Anthony Marlowe), Aventura VC, Chun-hung Lin(Chun-hung Lin), Clark Landry(Clark Landry), David McClure(David McClure), El Dorado Ventures(Tom Peterson), Iowa City Capital Partners, Ironfire Ventures, Kapor Capital(Freada Kapor Klein), Scrum Ventures(Tak Miyata), Silicon Valley Growth Syndicate, TSVC, Yun-Fang Juan(Yun-Fang Juan)</t>
  </si>
  <si>
    <t>500 Startups III(500 Startups), Scrum Ventures Fund II(Scrum Ventures), TEEC Angel Fund II(TSVC)</t>
  </si>
  <si>
    <t>106875-01T</t>
  </si>
  <si>
    <t>The company raised an estimated $1 million of Seed 2 funding from undisclosed investors on October 28, 2015, putting the company's pre-money valuation at $6.5 million.</t>
  </si>
  <si>
    <t>Better Food Ventures</t>
  </si>
  <si>
    <t>Better Food Ventures(www.betterfoodventures.com)</t>
  </si>
  <si>
    <t>92742-67T</t>
  </si>
  <si>
    <t>Minibar</t>
  </si>
  <si>
    <t>94051-90</t>
  </si>
  <si>
    <t>Operator of a marketplace designed for the shipment and on-demand delivery of the wine, beer, liquor and mixers. The company's marketplace connects consumers with local liquor stores, vineyards and even bartenders, enabling customers to access premium products and personalized experience.</t>
  </si>
  <si>
    <t>The company raised $6.8 million of seed funding in a deal led by Corigin Ventures on August 15, 2017, putting the company's pre-money valuation at $10.00 million. Great Oaks Venture Capital, Female Founders Fund, LaunchCapital, RiverPark Ventures, Western Technology Investment, LeFrak and Winklevoss Capital Management also participated in the round. The deal includes $1.8 million of previously raised convertible debt financing, which fully converted into this round. The company intends to use the capital to accelerate its entry into new regions and new marketplaces and further develop its presence in its existing markets.</t>
  </si>
  <si>
    <t>Beverages</t>
  </si>
  <si>
    <t>Beverages*, Specialty Retail</t>
  </si>
  <si>
    <t>alcohol delivery platform, liquor delivery, liquor marketplace, wine and distilling beverages, wine recommendation</t>
  </si>
  <si>
    <t>Lara Crystal</t>
  </si>
  <si>
    <t>80635-42P</t>
  </si>
  <si>
    <t>+1 (855) 487-0740</t>
  </si>
  <si>
    <t>lara@minibardelivery.com</t>
  </si>
  <si>
    <t>Ms. Lara Crystal is a Co-Founder &amp; serves as Co-Chief Executive Officer at Minibar Delivery.</t>
  </si>
  <si>
    <t>Cornell University, BS (Bachelor of Science), 2003, Applied Economic Management; University of Pennsylvania (Wharton), MBA (Master of Business Administration), 2009</t>
  </si>
  <si>
    <t>Alpaca VC, Female Founders Fund, Great Oaks Venture Capital, LaunchCapital, LeFrak, RiverPark Ventures, Western Technology Investment, Winklevoss Capital Management</t>
  </si>
  <si>
    <t>Alpaca VC(alpaca.vc), Female Founders Fund(www.femalefoundersfund.com), Great Oaks Venture Capital(www.greatoaksvc.com), LaunchCapital(www.launchcapital.com), LeFrak(www.lefrak.com), RiverPark Ventures(www.riverparkvc.com), Western Technology Investment(www.westerntech.com), Winklevoss Capital Management(www.winklevosscapital.com)</t>
  </si>
  <si>
    <t>Alpaca VC(David Goldberg), Female Founders Fund(Anuradha Duggal), Great Oaks Venture Capital(Andrew Boszhardt), LaunchCapital, LeFrak, RiverPark Ventures, Western Technology Investment, Winklevoss Capital Management</t>
  </si>
  <si>
    <t>Alpaca VC(David Goldberg)</t>
  </si>
  <si>
    <t>CPEG Ventures I(Alpaca VC), Female Founders Fund(Female Founders Fund), Great Oaks Venture Fund(Great Oaks Venture Capital), Venture Lending &amp; Leasing VII(Western Technology Investment)</t>
  </si>
  <si>
    <t>Cooley (Legal Advisor to Alpaca VC), Orrick, Herrington &amp; Sutcliffe (Legal Advisor to Company, Peter Fusco JD)</t>
  </si>
  <si>
    <t>Orrick, Herrington &amp; Sutcliffe (Legal Advisor to Company, Peter Fusco JD)</t>
  </si>
  <si>
    <t>Cooley (Legal Advisor to Alpaca VC)</t>
  </si>
  <si>
    <t>www.minibardelivery.com</t>
  </si>
  <si>
    <t>53859-07T</t>
  </si>
  <si>
    <t>Myclean</t>
  </si>
  <si>
    <t>88031-98</t>
  </si>
  <si>
    <t>Provider of home and office cleaning services. The company offers an online platform for residential and commercial cleaning services and allows users to find, schedule and pay cleaners home and office cleaning services.</t>
  </si>
  <si>
    <t>The company raised $270,000 of seed funding from Jordan Saxe, Elliot Zibel, Daniel Chorney and other undisclosed investors on November 17, 2013.</t>
  </si>
  <si>
    <t>Other Services (B2C Non-Financial)*, Software Development Applications</t>
  </si>
  <si>
    <t>cleaning platform, cleaning services, residential cleaning</t>
  </si>
  <si>
    <t>Debt Financed, Pre-venture, Venture Capital</t>
  </si>
  <si>
    <t>Michael Scharf</t>
  </si>
  <si>
    <t>107228-71P</t>
  </si>
  <si>
    <t>+1 (855) 692-5326</t>
  </si>
  <si>
    <t>mscharf@myclean.com</t>
  </si>
  <si>
    <t>Mr. Michael Scharf is a Co-Founder of Myclean and also serves as its Board Member and Chief Executive Officer.</t>
  </si>
  <si>
    <t>Claremont McKenna College, BA (Bachelor of Arts), 2004, Economics</t>
  </si>
  <si>
    <t>Daniel Chorney, Elliot Zibel, Kevin D'Silva</t>
  </si>
  <si>
    <t>10018</t>
  </si>
  <si>
    <t>www.myclean.com</t>
  </si>
  <si>
    <t>35556-76T</t>
  </si>
  <si>
    <t>The company raised $2.75 million of seed funding in a round led by Maveron on July 10, 2014. Madrona Venture Group and Vulcan Capital also participated. The company will use the funding to hire employees and read more markets.</t>
  </si>
  <si>
    <t>Madrona Venture Group, Maveron, Vulcan Capital</t>
  </si>
  <si>
    <t>Madrona Venture Group(www.madrona.com), Maveron(www.maveron.com), Vulcan Capital(capital.vulcan.com)</t>
  </si>
  <si>
    <t>Madrona Venture Group(Scott Jacobson), Maveron(Dan Levitan), Vulcan Capital(Yongbai Choi)</t>
  </si>
  <si>
    <t>Maveron(Dan Levitan)</t>
  </si>
  <si>
    <t>Madrona Venture Fund V(Madrona Venture Group), Maveron Equity Partners V(Maveron)</t>
  </si>
  <si>
    <t>Cooley (Legal Advisor to Company), DLA Piper (Legal Advisor to Maveron, Trenton Dykes JD)</t>
  </si>
  <si>
    <t>DLA Piper (Legal Advisor to Maveron, Trenton Dykes JD)</t>
  </si>
  <si>
    <t>25442-56T</t>
  </si>
  <si>
    <t>The company raised $381,949 of Seed funding from TechStars on October 18, 2012, putting the pre-money valuation at $789,007.</t>
  </si>
  <si>
    <t>Ares Capital, Techstars</t>
  </si>
  <si>
    <t>Ares Capital (NAS: ARCC)(www.arescapitalcorp.com), Techstars(www.techstars.com)</t>
  </si>
  <si>
    <t>Ares Capital (NAS: ARCC), Techstars</t>
  </si>
  <si>
    <t>26849-80T</t>
  </si>
  <si>
    <t>The company raised $6.4 million of seed funding from lead investor ff Venture on January 6, 2014, putting the company's pre-money valuation at $3.6 million. Lerer Ventures , Kite Ventures, Founder Collective, Solon Mack Capital, Right Side Capital Management, Great Oaks Venture Capital and other undisclosed investors also participated. As per the SEC filing, 29 investors participated in the offering.</t>
  </si>
  <si>
    <t>Andrew McCollum, Ben Lin, Dave Morin, ff Venture Capital, Founder Collective, Great Oaks Venture Capital, Kevin O'Leary, Kite Ventures, Lerer Hippeau, Paige Craig, Right Side Capital Management, Solon Mack Capital</t>
  </si>
  <si>
    <t>Dave Morin(www.davemorin.com), ff Venture Capital(www.ffvc.com), Founder Collective(www.foundercollective.com), Great Oaks Venture Capital(www.greatoaksvc.com), Kevin O'Leary(www.kevinoleary.com), Kite Ventures(www.kiteventures.com), Lerer Hippeau(www.lererhippeau.com), Right Side Capital Management(www.rightsidecapital.com), Solon Mack Capital(www.solonmack.com), Techstars(www.techstars.com)</t>
  </si>
  <si>
    <t>Andrew McCollum(Andrew McCollum), Ben Lin(Ben Lin), Dave Morin(Dave Morin), ff Venture Capital(John Frankel), Founder Collective(Micah Rosenbloom), Great Oaks Venture Capital, Kevin O'Leary(Kevin O'Leary), Kite Ventures, Lerer Hippeau, Paige Craig(Paige Craig), Right Side Capital Management, Solon Mack Capital, Techstars</t>
  </si>
  <si>
    <t>ff Venture Capital(John Frankel)</t>
  </si>
  <si>
    <t>ff Silver (II) Venture Capital Fund(ff Venture Capital), Founder Collective II(Founder Collective), Great Oaks Venture Fund(Great Oaks Venture Capital), Lerer Ventures III(Lerer Hippeau), Techstars Ventures 2012(Techstars)</t>
  </si>
  <si>
    <t>Ares Capital (Legal Advisor to Company)</t>
  </si>
  <si>
    <t>30775-33T</t>
  </si>
  <si>
    <t>The company raised an undisclosed amount of seed funding from 500 Startups, Healthbox and Drummond Road Capital on October 29, 2013. Basset Investment Group, Morris Wheeler, Kevin Moore, Semyon Dukach and other undisclosed investors also participated in this round.</t>
  </si>
  <si>
    <t>500 Startups, Basset Investment Group, Drummond Road Capital, Healthbox, Kevin D'Silva, Kevin Moore, Morris Wheeler, Semyon Dukach</t>
  </si>
  <si>
    <t>500 Startups(www.500.co), Basset Investment Group(www.bassetinvestmentgroup.com), Drummond Road Capital(www.drummondroad.com), Healthbox(www.healthbox.com), Kevin Moore(www.agileangel.com), Semyon Dukach(www.semyon.com)</t>
  </si>
  <si>
    <t>500 Startups, Basset Investment Group, Drummond Road Capital, Healthbox, Kevin D'Silva, Kevin Moore(Kevin Moore), Morris Wheeler(Morris Wheeler), Semyon Dukach(Semyon Dukach)</t>
  </si>
  <si>
    <t>500 Startups Fund I(500 Startups), Healthbox Nashville I(Healthbox)</t>
  </si>
  <si>
    <t>35515-36T</t>
  </si>
  <si>
    <t>The company raised $50,000 of Seed funding from Blue Cross Blue Shield of Massachusetts and Sandbox Industries on August 13, 2012.</t>
  </si>
  <si>
    <t>Sandbox Industries</t>
  </si>
  <si>
    <t>Sandbox Industries(www.sandboxindustries.com)</t>
  </si>
  <si>
    <t>Sandbox Advantage Fund(Sandbox Industries)</t>
  </si>
  <si>
    <t>49300-93T</t>
  </si>
  <si>
    <t>The company raised $1.7 million of seed funding from Foundation Capital, Y Combinator, Sherpa Capital and Vayner/RSE on April 29, 2015. Basset Investment Group, 500 Startups, HealthBox, Joanne Wilson and Jared Leto also participated in the round. The company will use the funding for business development.</t>
  </si>
  <si>
    <t>ACME Capital, Foundation Capital, Gotham Gal Ventures, Jared Leto, Max Ventures, Vayner/RSE</t>
  </si>
  <si>
    <t>500 Startups, Basset Investment Group, Healthbox</t>
  </si>
  <si>
    <t>500 Startups(www.500.co), ACME Capital(www.acme.vc), Basset Investment Group(www.bassetinvestmentgroup.com), Foundation Capital(www.foundationcapital.com), Gotham Gal Ventures(www.gothamgal.com), Healthbox(www.healthbox.com), Max Ventures(www.maxventures.vc), Vayner/RSE(www.vaynerrse.com)</t>
  </si>
  <si>
    <t>500 Startups, ACME Capital, Basset Investment Group, Foundation Capital(Rodolfo Gonzalez), Gotham Gal Ventures(Joanne Wilson), Healthbox, Jared Leto(Jared Leto), Max Ventures, Vayner/RSE</t>
  </si>
  <si>
    <t>500 Startups III(500 Startups), Foundation Capital VII(Foundation Capital), Healthbox Nashville I(Healthbox), SherpaVentures Fund(ACME Capital), Vayner RSE(Vayner/RSE)</t>
  </si>
  <si>
    <t>103238-11T</t>
  </si>
  <si>
    <t>The company raised $500,000 of seed funding from Innova Memphis on October 16, 2017. The company intends to use the funds to expand in additional cities and continue to scale up Nashville.</t>
  </si>
  <si>
    <t>Innova Memphis</t>
  </si>
  <si>
    <t>Innova Memphis(www.innovamemphis.com)</t>
  </si>
  <si>
    <t>Innova AG Innovation Fund IV(Innova Memphis)</t>
  </si>
  <si>
    <t>103238-65T</t>
  </si>
  <si>
    <t>The company raised $25,000 of venture funding from Backstage Capital in 2017.</t>
  </si>
  <si>
    <t>112494-61T</t>
  </si>
  <si>
    <t>The company raised $10,000 of seed funding in the form of safe notes from Hatcher Plus on August 24, 2018.</t>
  </si>
  <si>
    <t>Hatcher+</t>
  </si>
  <si>
    <t>Hatcher+(hq.hatcher.com)</t>
  </si>
  <si>
    <t>Hatcher 1(Hatcher+)</t>
  </si>
  <si>
    <t>26335-00T</t>
  </si>
  <si>
    <t>The company raised $6.25 million of seed funding from SV Angel, Acequia Capital and Charles Moldow on June 5, 2013, putting the company's pre-money valuation at $8.25 million. Javier Olivan, Bill Lee, Jeffrey S. Skoll, Geoff Entress, Matt Humphrey, Rudy Gadre, Julien Coustaury, Paul Holliman, Fabrice Grinda and Chamath Palihapitiya also participated in the round.</t>
  </si>
  <si>
    <t>Acequia Capital, Aniruddha Rudy Gadre, Bill Lee, Chamath Palihapitiya, Charles Moldow, Fabrice Grinda, Geoffrey Entress, Javier Olivan, Jeffrey Skoll, Julien Coustaury, Matt Humphrey, Paul Holliman, SV Angel</t>
  </si>
  <si>
    <t>Acequia Capital(acecap.com), Bill Lee(www.backtoreality.com), Fabrice Grinda(www.fabricegrinda.com), SV Angel(www.svangel.com)</t>
  </si>
  <si>
    <t>Acequia Capital, Aniruddha Rudy Gadre, Bill Lee(Bill Lee), Chamath Palihapitiya(Chamath Palihapitiya), Charles Moldow(Charles Moldow), Fabrice Grinda(Fabrice Grinda), Geoffrey Entress(Geoffrey Entress), Javier Olivan, Jeffrey Skoll(Jeffrey Skoll), Julien Coustaury(Julien Coustaury), Matt Humphrey(Matt Humphrey), Paul Holliman(Paul Holliman), SV Angel(Ronald Conway)</t>
  </si>
  <si>
    <t>Acequia Capital I(Acequia Capital), SV Angel IV(SV Angel)</t>
  </si>
  <si>
    <t>21487-96T</t>
  </si>
  <si>
    <t>The company raised $1.75 million of seed funding from Crosslink Capital, SoftTech VC and Matrix Partners on April 15, 2012. AngelPad and 15 individual investors also participated in the round.</t>
  </si>
  <si>
    <t>Andrew McLoughlin, Bill Lee, Crosslink Capital, David Wu, Diego Berdakin, Eric Chin, Jack Abraham, Jawed Karim, Matrix Partners, Naval Ravikant, Paige Craig, Scott Banister, Thomas Korte, Uncork Capital</t>
  </si>
  <si>
    <t>Andrew McLoughlin(www.andymcloughlin.co), AngelPad(www.angelpad.com), Bill Lee(www.backtoreality.com), Crosslink Capital(www.crosslinkcapital.com), David Wu(www.david-wu.com), Matrix Partners(www.matrixpartners.com), Thomas Korte(www.thomaskorte.com), Uncork Capital(www.uncorkcapital.com)</t>
  </si>
  <si>
    <t>Andrew McLoughlin(Andrew McLoughlin), AngelPad(Thomas Korte), Bill Lee(Bill Lee), Crosslink Capital, David Wu(David Wu), Diego Berdakin(Diego Berdakin), Eric Chin(Eric Chin), Jack Abraham(Jack Abraham), Jawed Karim(Jawed Karim), Matrix Partners, Naval Ravikant(Naval Ravikant), Paige Craig(Paige Craig), Scott Banister(Scott Banister), Thomas Korte(Thomas Korte), Uncork Capital(Jean-Francois Clavier)</t>
  </si>
  <si>
    <t>Matrix Partners IX(Matrix Partners), SoftTech VC II(Uncork Capital)</t>
  </si>
  <si>
    <t>120946-24T</t>
  </si>
  <si>
    <t>Brand Foundry Ventures, Central Texas Angel Network, Chicago Ventures, Firebrand Ventures, Right Side Capital Management</t>
  </si>
  <si>
    <t>Brand Foundry Ventures(www.brandfoundryvc.com), Central Texas Angel Network(ctan.com), Chicago Ventures(www.chicagoventures.com), Firebrand Ventures(www.firebrandvc.com), Right Side Capital Management(www.rightsidecapital.com)</t>
  </si>
  <si>
    <t>Chicago Ventures</t>
  </si>
  <si>
    <t>Brand Foundry Ventures Opportunities Fund I(Brand Foundry Ventures), Chicago Ventures Fund II(Chicago Ventures), Firebrand Venture(Firebrand Ventures), Peregrine Select Fund I(Right Side Capital Management)</t>
  </si>
  <si>
    <t>Silicon Legal Strategy (Legal Advisor to Brand Foundry Ventures, Coleman Cannon JD)</t>
  </si>
  <si>
    <t>139187-44T</t>
  </si>
  <si>
    <t>Armory Square Ventures, Wiley Cerilli</t>
  </si>
  <si>
    <t>Armory Square Ventures(www.armorysv.com), Excell Partners(www.excellny.com)</t>
  </si>
  <si>
    <t>Armory Square Ventures, Excell Partners, Wiley Cerilli(Wiley Cerilli)</t>
  </si>
  <si>
    <t>Reitler Kailas &amp; Rosenblatt (Legal Advisor to Armory Square Ventures)</t>
  </si>
  <si>
    <t>51539-50T</t>
  </si>
  <si>
    <t>The company raised $3.5 million of seed funding from Aslanoba Capital, Arena Ventures and ff Venture Capital on June 9, 2015, putting the company's pre-money valuation at $6.51 million. Great Oaks Venture Capital, Accelerator Ventures, Mesa Ventures, Expansion Venture Capital, Alumni Ventures Group, EVC Thirty One Holdings, Frontier Tech Ventures, Base Ventures, Structure Capital, Otter Rock Capital and 19 individual investors also participated. The funding will be used for hiring employees and build his workforce internally.</t>
  </si>
  <si>
    <t>Accelerator Ventures, Arena Ventures, Aslanoba Capital, Base Ventures, EVC Thirty One Holdings, Expansion Venture Capital, ff Venture Capital, Great Oaks Venture Capital, Hasan Aslanoba, J.D. Fagan, Jared Kopf, Jared Luxenberg, Jeff Enquist, Joshua Langsam, Lance White, Lisa Sweeney, Llana Stern, Matt Wilsey, MD Pham, Mesa Ventures, Oliver Nordlinger, Otter Rock Capital, Paul Janzer, Peter Livingston, Richard Wolpert, Rothenberg Ventures, Ryan Melohn, Saad AlSogair, Sorush Abboud, Structure Capital, Will Bressman</t>
  </si>
  <si>
    <t>Accelerator Ventures(www.acceleratorventures.com), Arena Ventures(www.arenavc.com), Aslanoba Capital(www.aslanobacapital.com), Base Ventures(www.base.ventures), Expansion Venture Capital(www.expansionvc.com), ff Venture Capital(www.ffvc.com), Great Oaks Venture Capital(www.greatoaksvc.com), Hasan Aslanoba(vt.webrazzi.com/kisi/hasan-aslanoba), Mesa Ventures(www.mesa.vc), Otter Rock Capital(www.otterrockcapital.com), Rothenberg Ventures(www.themillennial.vc), Saad AlSogair(www.DrSogair.com), Structure Capital(www.structure.vc)</t>
  </si>
  <si>
    <t>Accelerator Ventures, Arena Ventures(Paige Craig), Aslanoba Capital, Base Ventures, EVC Thirty One Holdings, Expansion Venture Capital, ff Venture Capital, Great Oaks Venture Capital, Hasan Aslanoba(Hasan Aslanoba), J.D. Fagan(J.D. Fagan), Jared Kopf(Jared Kopf), Jared Luxenberg(Jared Luxenberg), Jeff Enquist(Jeff Enquist), Joshua Langsam(Joshua Langsam), Lance White(Lance White), Lisa Sweeney(Lisa Sweeney), Llana Stern(Llana Stern), Matt Wilsey(Matt Wilsey), MD Pham(MD Pham), Mesa Ventures, Oliver Nordlinger(Oliver Nordlinger), Otter Rock Capital, Paul Janzer(Paul Janzer), Peter Livingston(Peter Livingston), Richard Wolpert(Richard Wolpert), Rothenberg Ventures, Ryan Melohn(Ryan Melohn), Saad AlSogair(Saad AlSogair), Sorush Abboud(Sorush Abboud), Structure Capital, Will Bressman(Will Bressman)</t>
  </si>
  <si>
    <t>Accelerator Venture Capital II(Accelerator Ventures), ff Rose Innovate NY Fund(ff Venture Capital), Great Oaks Venture Fund(Great Oaks Venture Capital), MESA+(Mesa Ventures), Rothenberg Ventures 2013 Fund(Rothenberg Ventures), Structure Capital(Structure Capital)</t>
  </si>
  <si>
    <t>80610-49T</t>
  </si>
  <si>
    <t>The company raised an undisclosed amount of seed funding from Musha ventures in 2014.</t>
  </si>
  <si>
    <t>Musha Ventures</t>
  </si>
  <si>
    <t>Musha Ventures(www.mushaventures.com)</t>
  </si>
  <si>
    <t>19935-19T</t>
  </si>
  <si>
    <t>The company raised $250,000 of Seed funding form Madrona Venture Group in April 2011.</t>
  </si>
  <si>
    <t>Madrona Venture Group(www.madrona.com)</t>
  </si>
  <si>
    <t>Madrona Venture Fund IV(Madrona Venture Group)</t>
  </si>
  <si>
    <t>90458-11T</t>
  </si>
  <si>
    <t>Sharebite</t>
  </si>
  <si>
    <t>120088-09</t>
  </si>
  <si>
    <t>Developer of a mission-driven food ordering platform geared exclusively towards companies and enterprises. The company's platform has a searchable database enlisting menus and dishes offered by restaurants at a given location and allows employees of corporate clients to place orders at restaurants with their allowance while helps donate a meal to alleviate childhood hunger in local communities, enabling employees to order food without any additional cost and help poor kids as well.</t>
  </si>
  <si>
    <t>The company was approved for a Paycheck Protection Program Loan in the range of $150,000-350,000 from First Republic Bank on April, 28 2020. The application cited 24 jobs to be retained with the financing.</t>
  </si>
  <si>
    <t>Other Commercial Services</t>
  </si>
  <si>
    <t>Business/Productivity Software, Other Commercial Services*</t>
  </si>
  <si>
    <t>cafeteria management platform, corporate food ordering, corporate lunch, corporate lunch service, food delivery application, food delivery platform, food ordering application, food ordering marketplace, food ordering portal, food ordering services, food ordering website, group ordering control, lunch delivery, meals ordering platform, meals sharing platform, office lunch delivery, office lunch program, office lunch service</t>
  </si>
  <si>
    <t>Mohsin Memon</t>
  </si>
  <si>
    <t>166745-35P</t>
  </si>
  <si>
    <t>+1 (800) 527-9005</t>
  </si>
  <si>
    <t>Mr. Mohsin Memon is a Co-Founder and serves as Chief Operating Officer, President &amp; Board Member at Sharebite.</t>
  </si>
  <si>
    <t>The company raised $2 million of seed funding from undisclosed investors on July 10, 2017.</t>
  </si>
  <si>
    <t>www.sharebite.com</t>
  </si>
  <si>
    <t>104424-40T</t>
  </si>
  <si>
    <t>The company raised $900,000 of seed funding in a deal led by Charlotte Angel Fund on April 10, 2018. Firebrand Ventures and Bull Creek Capital also participated in the round. The funds will be used to expand its geographic footprint and to improve the company's technological platform.</t>
  </si>
  <si>
    <t>Bull Creek Capital, Charlotte Angel Fund, Firebrand Ventures</t>
  </si>
  <si>
    <t>Bull Creek Capital(www.bullcreekcapital.com), Charlotte Angel Fund(www.cltangelfund.com), Firebrand Ventures(www.firebrandvc.com)</t>
  </si>
  <si>
    <t>Bull Creek Capital, Charlotte Angel Fund(Greg Brown), Firebrand Ventures</t>
  </si>
  <si>
    <t>Charlotte Angel Fund(Greg Brown)</t>
  </si>
  <si>
    <t>Firebrand Venture(Firebrand Ventures)</t>
  </si>
  <si>
    <t>117622-81T</t>
  </si>
  <si>
    <t>54061-12T</t>
  </si>
  <si>
    <t>Slice (Local Pizza)</t>
  </si>
  <si>
    <t>94402-00</t>
  </si>
  <si>
    <t>Provider of an online pizza ordering platform created to connect people with authentic local pizzerias nationwide. The company's platform empowers local pizzerias with technology, data and marketing to grow their business and compete with big chains, enabling small businesses to thrive against major corporate chains and form the nation's largest marketplace for authentic pizza.</t>
  </si>
  <si>
    <t>The company received $7.42 million of debt financing in the form of a senior secured loan from Western Technology Investment on December 1, 2019.</t>
  </si>
  <si>
    <t>FoodTech, Mobile, Mobility Tech, Restaurant Technology, Supply Chain Tech</t>
  </si>
  <si>
    <t>authentic local pizza, authentic pizza delivery, favorite local pizzeria, local pizza places, mobility tech, pizza ordering platform, supply chain tech</t>
  </si>
  <si>
    <t>Ilir Sela</t>
  </si>
  <si>
    <t>104837-59P</t>
  </si>
  <si>
    <t>+1 (888) 974-9928</t>
  </si>
  <si>
    <t>ilir@slicelife.com</t>
  </si>
  <si>
    <t>Mr. Ilir Sela is the Founder of Slice and serves as its Chief Executive Officer and Board Member. He founded and served as Chief Executive Officer at Nerd Force.</t>
  </si>
  <si>
    <t>City University of New York (CUNY), Degree, 2003</t>
  </si>
  <si>
    <t>The company received $50,000 of seed funding from Primary Venture Partners and undisclosed investors on June 1, 2009.</t>
  </si>
  <si>
    <t>Primary Venture Partners</t>
  </si>
  <si>
    <t>Primary Venture Partners(www.primary.vc)</t>
  </si>
  <si>
    <t>www.slicelife.com</t>
  </si>
  <si>
    <t>110540-35T</t>
  </si>
  <si>
    <t>StoreMe (Storage Mobile Application)</t>
  </si>
  <si>
    <t>231973-57</t>
  </si>
  <si>
    <t>Develope of an online platform intended to provide on-demand bag storage in retail stores. The company's platform helps to store items safely at participating retail stores by monetizing their unused space and gain increased revenue from additional foot traffic, enabling travelers to enjoy a long day in a big city without worrying about their luggage storage.</t>
  </si>
  <si>
    <t>The company closed on $93,500 of a planned $1,200,000 of seed funding via SeedInvest as on August 13, 2018.</t>
  </si>
  <si>
    <t>luggage in retail stores, luggage storage, luggage storage services, on demand luggage storage, temporary luggage stores</t>
  </si>
  <si>
    <t>Peter Korbel</t>
  </si>
  <si>
    <t>191673-19P</t>
  </si>
  <si>
    <t>pkorbel@getstoreme.com</t>
  </si>
  <si>
    <t>Mr. Peter Korbel is a Co-Founder and serves as Board Member and Chief Executive Officer at StoreMe (Storage Mobile Application). Prior to StoreMe, He Co-Founded Blender Workspace, a co-working space in New York City as well as a food truck operation in his earlier years based in Washington DC. He holds a BA from Columbia University and an MBA from George Washington University.</t>
  </si>
  <si>
    <t>Columbia University, BA (Bachelor of Arts); George Washington University, MBA (Master of Business Administration)</t>
  </si>
  <si>
    <t>SeedInvest (Lead Manager or Arranger to Company)</t>
  </si>
  <si>
    <t>www.getstoreme.com</t>
  </si>
  <si>
    <t>60547-69T</t>
  </si>
  <si>
    <t>The company raised $3.6 million of seed funding from Lux Capital, Founder Collective and Formation 8 on January 1, 2015. General Catalyst, Montage Ventures, Maiden Lane, Expansion Venture Capital, Grey Wolf VC, Middleland Capital, Fifth Wall Ventures and Peter Kellner also participated in the round.</t>
  </si>
  <si>
    <t>Expansion Venture Capital, Fifth Wall, Formation 8, Founder Collective, General Catalyst, Grey Wolf VC, Lux Capital Management, Maiden Lane, Middleland Capital, Montage Ventures, Peter Kellner</t>
  </si>
  <si>
    <t>Expansion Venture Capital(www.expansionvc.com), Fifth Wall(www.fifthwall.com), Formation 8(www.formation8.com), Founder Collective(www.foundercollective.com), General Catalyst(www.generalcatalyst.com), Grey Wolf VC(www.greywolf.vc), Lux Capital Management(www.luxcapital.com), Maiden Lane(www.maidenlane.com), Middleland Capital(www.middlelandcap.com), Montage Ventures(www.montageventures.com)</t>
  </si>
  <si>
    <t>Expansion Venture Capital, Fifth Wall, Formation 8, Founder Collective, General Catalyst, Grey Wolf VC, Lux Capital Management, Maiden Lane, Middleland Capital, Montage Ventures, Peter Kellner(Peter Kellner)</t>
  </si>
  <si>
    <t>Formation8 Partners Fund II(Formation 8), Founder Collective II(Founder Collective), GC Stripe Platform Fund(General Catalyst), Lux Ventures IV(Lux Capital Management), Maiden Lane Fund(Maiden Lane)</t>
  </si>
  <si>
    <t>32261-32T</t>
  </si>
  <si>
    <t>Private Equity</t>
  </si>
  <si>
    <t>The company raised $4.89 million of seed funding from Aries Capital Partners and KickStart Seed Fund on November 14, 2013, putting the pre-money valuation at $11 million. The funding was raised in tranches.</t>
  </si>
  <si>
    <t>Aries Capital Partners, Kickstart Seed Fund</t>
  </si>
  <si>
    <t>Aries Capital Partners(www.ariescapitalpartners.com), Kickstart Seed Fund(www.kickstartfund.com)</t>
  </si>
  <si>
    <t>Aries Capital Partners, Kickstart Seed Fund(Gavin Christensen)</t>
  </si>
  <si>
    <t>Kickstart Seed Fund II(Kickstart Seed Fund)</t>
  </si>
  <si>
    <t>50636-62T</t>
  </si>
  <si>
    <t>The Happy Home Company</t>
  </si>
  <si>
    <t>94160-35</t>
  </si>
  <si>
    <t>Provider of home cleaning and management services. The company through its online platform offers home-maintenance management services, including scheduling maintenance and cleaning and sourcing jobs through its network of vetted home-maintenance specialists, enabling house owners to keep their home in great shape.</t>
  </si>
  <si>
    <t>The company went out of business on November 4, 2016 and no longer actively tracked by PitchBook.</t>
  </si>
  <si>
    <t>home care platform, home maintenance, home management, house keep, house keep management, house keep services</t>
  </si>
  <si>
    <t>Doug Ludlow</t>
  </si>
  <si>
    <t>40544-11P</t>
  </si>
  <si>
    <t>doug@workonmainstreet.com</t>
  </si>
  <si>
    <t>Mr. Doug Ludlow is a Co-Founder and serves as Chief Executive Officer at MainStreet Work. He also Co-Founded Happy Home Company and served as its Chief Executive Officer and Board Member. Previously, he served as an Innovation Partner at AOL Ventures and the Chief Executive Officer at Hipster.</t>
  </si>
  <si>
    <t>University of California, Los Angeles (UCLA), BA (Bachelor of Arts), 2005, History &amp; Political Science; University of California, Los Angeles (UCLA), Bachelor's, 2005, History</t>
  </si>
  <si>
    <t>The company raised $2.5 million of Seed funding from Box Group and Freestyle Capital on May 08, 2015, putting the company's pre-money valuation at $6.28 million. David Tisch, Salman Azhar, Johann Moonesinghe, Josh Felser, Slow Ventures, Matt Mazzeo, Chris Sacca, Paul Holliman, Robert Stephens, Partech ventures, Dave Morin, Kevin Colleran, Matt Coffin, FJ Labs and Brian Pokorny also participated.</t>
  </si>
  <si>
    <t>BoxGroup, Brian Pokorny, Christopher Sacca, Dave Morin, David Tisch, FJ Labs, Freestyle Capital, Johann Moonesinghe, Joshua Felser, Kevin Colleran, Matthew Coffin, Partech, Paul Holliman, Robert Stephens, Salman Azhar, Slow Ventures</t>
  </si>
  <si>
    <t>BoxGroup(www.boxgroup.com), Dave Morin(www.davemorin.com), David Tisch(www.davidtisch.com), FJ Labs(www.fjlabs.com), Freestyle Capital(www.freestyle.vc), Partech(www.partechpartners.com), Slow Ventures(www.slow.co)</t>
  </si>
  <si>
    <t>BoxGroup, Brian Pokorny(Brian Pokorny), Christopher Sacca(Christopher Sacca), Dave Morin(Dave Morin), David Tisch(David Tisch), FJ Labs, Freestyle Capital, Johann Moonesinghe(Johann Moonesinghe), Joshua Felser(Joshua Felser), Kevin Colleran(Kevin Colleran), Matthew Coffin(Matthew Coffin), Partech, Paul Holliman(Paul Holliman), Robert Stephens(Robert Stephens), Salman Azhar(Salman Azhar), Slow Ventures</t>
  </si>
  <si>
    <t>Slow Ventures I(Slow Ventures)</t>
  </si>
  <si>
    <t>San Jose, CA</t>
  </si>
  <si>
    <t>San Jose</t>
  </si>
  <si>
    <t>95110</t>
  </si>
  <si>
    <t>www.thehappyhome.co</t>
  </si>
  <si>
    <t>63556-93T</t>
  </si>
  <si>
    <t>The company raised $3.5 million of seed funding from Sazze Partners, SV Angel, UpHonest Capital and Lowercase Capital on December 23, 2015. 12 individual investors also participated in the round.</t>
  </si>
  <si>
    <t>Aaron Levie, Fabrice Grinda, Güimar Sittic, Julien Coustaury, Lowercase Capital, Sazze Partners, SV Angel, UpHonest Capital, Wei Guo</t>
  </si>
  <si>
    <t>Brian Pokorny, Dave Morin, David Tisch, Joshua Felser, Matthew Coffin, Robert Stephens</t>
  </si>
  <si>
    <t>Dave Morin(www.davemorin.com), David Tisch(www.davidtisch.com), Fabrice Grinda(www.fabricegrinda.com), Lowercase Capital(www.lowercasecapital.com), Sazze Partners(www.sazzepartners.com), SV Angel(www.svangel.com), UpHonest Capital(www.uphonestcapital.com)</t>
  </si>
  <si>
    <t>Aaron Levie(Aaron Levie), Brian Pokorny(Brian Pokorny), Dave Morin(Dave Morin), David Tisch(David Tisch), Fabrice Grinda(Fabrice Grinda), Güimar Sittic(Güimar Sittic), Joshua Felser(Joshua Felser), Julien Coustaury(Julien Coustaury), Lowercase Capital, Matthew Coffin(Matthew Coffin), Robert Stephens(Robert Stephens), Sazze Partners(Kiha Lee), SV Angel, UpHonest Capital, Wei Guo(Wei Guo)</t>
  </si>
  <si>
    <t>SV Angel V(SV Angel), Wei Fund(Wei Guo)</t>
  </si>
  <si>
    <t>87957-28T</t>
  </si>
  <si>
    <t>Jefferson Sevilla</t>
  </si>
  <si>
    <t>113641-03P</t>
  </si>
  <si>
    <t>+1 (510) 296-3198</t>
  </si>
  <si>
    <t>jefferson@thetownkitchen.com</t>
  </si>
  <si>
    <t>Mr. Jefferson Sevilla is a Co-Founder and serves as Chief Impact Officer at The Town Kitchen.</t>
  </si>
  <si>
    <t>Degree, 2006</t>
  </si>
  <si>
    <t>The company raised $1.00 million of seed funding in a deal led by Urban Innovation Fund on July 24, 2017, putting the company's pre-money valuation at $2.00 million. Better Ventures, Barclay Street Ventures, David Leventhal, Eric Quick, Rose Culinary Ventures, Slow Money and SheEO also participated in the round.</t>
  </si>
  <si>
    <t>Barclay Street Ventures, Better Ventures, David Leventhal, Eric Quick, Rose Culinary Ventures, SheEO, Slow Money, Urban Innovation Fund</t>
  </si>
  <si>
    <t>Barclay Street Ventures(www.barclaystreetvc.com), Better Ventures(www.better.vc), SheEO(www.sheeo.world), Slow Money(slowmoney.org), Urban Innovation Fund(www.urbaninnovationfund.com)</t>
  </si>
  <si>
    <t>Barclay Street Ventures, Better Ventures, David Leventhal, Eric Quick(Eric Quick), Rose Culinary Ventures, SheEO, Slow Money, Urban Innovation Fund</t>
  </si>
  <si>
    <t>Urban Innovation Fund</t>
  </si>
  <si>
    <t>Urban Innovation Fund I(Urban Innovation Fund)</t>
  </si>
  <si>
    <t>Wilson Sonsini Goodrich &amp; Rosati (Legal Advisor to Urban Innovation Fund)</t>
  </si>
  <si>
    <t>60481-99T</t>
  </si>
  <si>
    <t>Ashwin Cheriyan</t>
  </si>
  <si>
    <t>118961-83P</t>
  </si>
  <si>
    <t>+1 (917) 587-2341</t>
  </si>
  <si>
    <t>ashwin@thistle.co</t>
  </si>
  <si>
    <t>Mr. Ashwin Cheriyan is a Co-Founder and serves as Chief Executive Officer at Thistle. Previously, he served as a Co-Founder at WeGoFair.</t>
  </si>
  <si>
    <t>Brown University, BA (Bachelor of Arts), 2004, Economics; University of Texas School of Law, JD (Doctor of Law), 2008</t>
  </si>
  <si>
    <t>The company raised $1 million of seed funding from 13 individual investors on October 12, 2015.</t>
  </si>
  <si>
    <t>Anant Gupta, Andrew Benton, Arjun Banker, Arul Velan, Ashish Mistry, Justin Rosenstein, Madhu Jannapureddy, Naman Shah, Navin Prasad, Scott Crosby, Shaan Hathiramani</t>
  </si>
  <si>
    <t>Anant Gupta, Andrew Benton, Arjun Banker(Arjun Banker), Arul Velan, Ashish Mistry(Ashish Mistry), Justin Rosenstein(Justin Rosenstein), Madhu Jannapureddy, Naman Shah, Navin Prasad, Scott Crosby, Shaan Hathiramani</t>
  </si>
  <si>
    <t>51957-19T</t>
  </si>
  <si>
    <t>TidyMe</t>
  </si>
  <si>
    <t>115494-76</t>
  </si>
  <si>
    <t>Operator of an online platform intended to connect independent cleaning professionals with customers. The company's platform allows individuals to book and pay for a professional, vetted cleaner online in minutes, enabling users to easily get their homes cleaned.</t>
  </si>
  <si>
    <t>The company was acquired by Oneflare for an undisclosed amount on November 13, 2018.</t>
  </si>
  <si>
    <t>cleaning services, cleaning services firm, consumer services, professional cleaning, professional cleaning agency, professional cleaning services, professional cleaning solutions</t>
  </si>
  <si>
    <t>Stacey Jacobs</t>
  </si>
  <si>
    <t>103509-37P</t>
  </si>
  <si>
    <t>+61 (0)4 7883 1669</t>
  </si>
  <si>
    <t>Ms. Stacey Jacobs founded TidyMe. Previously, she was a Lead Marketing Producer at General Assemb.ly, Freelance Researcher, Writer at Right Angle, Analyst at EDITD, Researcher at Contagious Communications, Brand Manager at Henkel, Event Coordinator at The Way Side Capital and Account Coordinator at Cav Con. Ms. Jacobs received her Bachelor of Business in Advertising &amp; Promotion from University of Technology, Sydney.</t>
  </si>
  <si>
    <t>University of Technology, Sydney, Bachelor's, 2007, Business</t>
  </si>
  <si>
    <t>The company raised AUD 750,000 of seed funding from Adcock Private Equity and AirTree Ventures on May 29, 2015. The funding will be used for developing the in-house technology team and also the operational support staff.</t>
  </si>
  <si>
    <t>Adcock Private Equity, AirTree Ventures</t>
  </si>
  <si>
    <t>Adcock Private Equity(www.adcockprivateequity.com), AirTree Ventures(www.airtree.vc)</t>
  </si>
  <si>
    <t>Adcock Private Equity, AirTree Ventures(Elicia McDonald)</t>
  </si>
  <si>
    <t>Australian Dollars (AUD)</t>
  </si>
  <si>
    <t>Sydney, Australia</t>
  </si>
  <si>
    <t>Sydney</t>
  </si>
  <si>
    <t>New South Wales</t>
  </si>
  <si>
    <t>www.tidyme.com.au</t>
  </si>
  <si>
    <t>113079-07T</t>
  </si>
  <si>
    <t>The company raised $1.85 million of seed funding in a deal led by Ingwe Capital on October 1, 2018, putting the pre-money valuation at $4.5 million. ff Venture Capital, Techstars, Right Side Capital Management, TIA Ventures, and other undisclosed investors also participated in the round. The company plans to use the funds to expand its service into new markets.</t>
  </si>
  <si>
    <t>ff Venture Capital, Ingwe Capital, Right Side Capital Management, TIA Ventures</t>
  </si>
  <si>
    <t>ff Venture Capital(www.ffvc.com), Right Side Capital Management(www.rightsidecapital.com), Techstars(www.techstars.com), TIA Ventures(www.tiaventures.com)</t>
  </si>
  <si>
    <t>ff Venture Capital(John Frankel), Ingwe Capital(Henry Klein), Right Side Capital Management, Techstars, TIA Ventures</t>
  </si>
  <si>
    <t>Ingwe Capital(Henry Klein)</t>
  </si>
  <si>
    <t>ff Graphite (V) Venture Capital Fund(ff Venture Capital), Ingwe Capital Nectar(Ingwe Capital), Techstars Toronto 2018(Techstars)</t>
  </si>
  <si>
    <t>McCarter &amp; English (Legal Advisor to ff Venture Capital, David Sorin JD)</t>
  </si>
  <si>
    <t>Zaryn Dentzel</t>
  </si>
  <si>
    <t xml:space="preserve">Primary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</si>
</sst>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Red]\(#,##0.00\)"/>
    <numFmt numFmtId="166" formatCode="#,##0.00&quot;%&quot;;[Red]\-#,##0.00&quot;%&quot;"/>
    <numFmt numFmtId="167" formatCode="#,##0;[Red]\(#,##0\)"/>
    <numFmt numFmtId="168" formatCode="0000"/>
    <numFmt numFmtId="169" formatCode="#,##0.00\x;[Red]\-#,##0.00\x"/>
  </numFmts>
  <fonts count="240" x14ac:knownFonts="1">
    <font>
      <sz val="11"/>
      <color theme="1"/>
      <name val="Calibri"/>
      <family val="2"/>
      <scheme val="minor"/>
    </font>
    <font>
      <sz val="10"/>
      <name val="Arial"/>
      <family val="2"/>
      <charset val="204"/>
    </font>
    <font>
      <b/>
      <sz val="8"/>
      <color indexed="9"/>
      <name val="Arial"/>
    </font>
    <font>
      <b/>
      <sz val="8"/>
      <color indexed="9"/>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color rgb="FF0000FF"/>
      <name val="Calibri"/>
    </font>
    <font>
      <sz val="8"/>
      <color rgb="FF0000FF"/>
      <name val="Calibri"/>
    </font>
    <font>
      <b/>
      <sz val="14"/>
      <color indexed="8"/>
      <name val="Arial"/>
      <family val="2"/>
    </font>
    <font>
      <i/>
      <sz val="10"/>
      <color indexed="8"/>
      <name val="Arial"/>
      <family val="2"/>
      <charset val="204"/>
    </font>
    <font>
      <i/>
      <sz val="10"/>
      <name val="Arial"/>
      <family val="2"/>
      <charset val="204"/>
    </font>
    <font>
      <i/>
      <sz val="10"/>
      <name val="Arial"/>
      <family val="2"/>
      <charset val="204"/>
    </font>
    <font>
      <i/>
      <sz val="10"/>
      <name val="Arial"/>
      <family val="2"/>
      <charset val="204"/>
    </font>
    <font>
      <i/>
      <sz val="10"/>
      <color theme="3" tint="0.39997558519241921"/>
      <name val="Arial"/>
      <family val="2"/>
      <charset val="204"/>
    </font>
    <font>
      <i/>
      <u/>
      <sz val="10"/>
      <color indexed="12"/>
      <name val="Arial"/>
      <family val="2"/>
      <charset val="204"/>
    </font>
    <font>
      <i/>
      <sz val="10"/>
      <color theme="3" tint="0.39997558519241921"/>
      <name val="Arial"/>
      <family val="2"/>
      <charset val="204"/>
    </font>
    <font>
      <sz val="8"/>
      <name val="Arial"/>
    </font>
  </fonts>
  <fills count="6">
    <fill>
      <patternFill patternType="none"/>
    </fill>
    <fill>
      <patternFill patternType="gray125"/>
    </fill>
    <fill>
      <patternFill patternType="solid">
        <fgColor indexed="9"/>
        <bgColor indexed="64"/>
      </patternFill>
    </fill>
    <fill>
      <patternFill patternType="solid">
        <fgColor rgb="FF4F81BD"/>
      </patternFill>
    </fill>
    <fill>
      <patternFill patternType="solid">
        <fgColor rgb="FFEEF3F8"/>
      </patternFill>
    </fill>
    <fill>
      <patternFill patternType="solid">
        <fgColor rgb="FFFFFFFF"/>
      </patternFill>
    </fill>
  </fills>
  <borders count="4">
    <border>
      <left/>
      <right/>
      <top/>
      <bottom/>
      <diagonal/>
    </border>
    <border>
      <left/>
      <right/>
      <top style="thin">
        <color indexed="8"/>
      </top>
      <bottom/>
      <diagonal/>
    </border>
    <border>
      <left/>
      <right style="thin">
        <color indexed="8"/>
      </right>
      <top style="thin">
        <color indexed="8"/>
      </top>
      <bottom/>
      <diagonal/>
    </border>
    <border>
      <left/>
      <right style="dotted">
        <color rgb="FF969696"/>
      </right>
      <top/>
      <bottom/>
      <diagonal/>
    </border>
  </borders>
  <cellStyleXfs count="2">
    <xf numFmtId="0" fontId="0" fillId="0" borderId="0"/>
    <xf numFmtId="0" fontId="1" fillId="0" borderId="0"/>
  </cellStyleXfs>
  <cellXfs count="240">
    <xf numFmtId="0" fontId="0" fillId="0" borderId="0" xfId="0"/>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4" borderId="3" xfId="0" applyFont="1" applyFill="1" applyBorder="1" applyAlignment="1">
      <alignment vertical="top" indent="1"/>
    </xf>
    <xf numFmtId="0" fontId="6" fillId="4" borderId="3" xfId="0" applyFont="1" applyFill="1" applyBorder="1" applyAlignment="1">
      <alignment vertical="top" indent="1"/>
    </xf>
    <xf numFmtId="0" fontId="7" fillId="4" borderId="3" xfId="0" applyFont="1" applyFill="1" applyBorder="1" applyAlignment="1">
      <alignment vertical="top" indent="1"/>
    </xf>
    <xf numFmtId="0" fontId="8" fillId="4" borderId="3" xfId="0" applyFont="1" applyFill="1" applyBorder="1" applyAlignment="1">
      <alignment vertical="top" indent="1"/>
    </xf>
    <xf numFmtId="0" fontId="9" fillId="4" borderId="3" xfId="0" applyFont="1" applyFill="1" applyBorder="1" applyAlignment="1">
      <alignment vertical="top" indent="1"/>
    </xf>
    <xf numFmtId="0" fontId="10" fillId="4" borderId="3" xfId="0" applyFont="1" applyFill="1" applyBorder="1" applyAlignment="1">
      <alignment vertical="top" indent="1"/>
    </xf>
    <xf numFmtId="0" fontId="11" fillId="4" borderId="3" xfId="0" applyFont="1" applyFill="1" applyBorder="1" applyAlignment="1">
      <alignment vertical="top" indent="1"/>
    </xf>
    <xf numFmtId="0" fontId="12" fillId="4" borderId="3" xfId="0" applyFont="1" applyFill="1" applyBorder="1" applyAlignment="1">
      <alignment vertical="top" indent="1"/>
    </xf>
    <xf numFmtId="0" fontId="13" fillId="4" borderId="3" xfId="0" applyFont="1" applyFill="1" applyBorder="1" applyAlignment="1">
      <alignment vertical="top" indent="1"/>
    </xf>
    <xf numFmtId="0" fontId="14" fillId="4" borderId="3" xfId="0" applyFont="1" applyFill="1" applyBorder="1" applyAlignment="1">
      <alignment vertical="top" indent="1"/>
    </xf>
    <xf numFmtId="0" fontId="15" fillId="4" borderId="3" xfId="0" applyFont="1" applyFill="1" applyBorder="1" applyAlignment="1">
      <alignment vertical="top" indent="1"/>
    </xf>
    <xf numFmtId="0" fontId="16" fillId="4" borderId="3" xfId="0" applyFont="1" applyFill="1" applyBorder="1" applyAlignment="1">
      <alignment vertical="top" indent="1"/>
    </xf>
    <xf numFmtId="0" fontId="17" fillId="4" borderId="3" xfId="0" applyFont="1" applyFill="1" applyBorder="1" applyAlignment="1">
      <alignment vertical="top" indent="1"/>
    </xf>
    <xf numFmtId="0" fontId="18" fillId="4" borderId="3" xfId="0" applyFont="1" applyFill="1" applyBorder="1" applyAlignment="1">
      <alignment vertical="top" indent="1"/>
    </xf>
    <xf numFmtId="0" fontId="19" fillId="4" borderId="3" xfId="0" applyFont="1" applyFill="1" applyBorder="1" applyAlignment="1">
      <alignment vertical="top" indent="1"/>
    </xf>
    <xf numFmtId="0" fontId="20" fillId="4" borderId="3" xfId="0" applyFont="1" applyFill="1" applyBorder="1" applyAlignment="1">
      <alignment vertical="top" indent="1"/>
    </xf>
    <xf numFmtId="0" fontId="21" fillId="4" borderId="3" xfId="0" applyFont="1" applyFill="1" applyBorder="1" applyAlignment="1">
      <alignment vertical="top" indent="1"/>
    </xf>
    <xf numFmtId="0" fontId="22" fillId="4" borderId="3" xfId="0" applyFont="1" applyFill="1" applyBorder="1" applyAlignment="1">
      <alignment vertical="top" indent="1"/>
    </xf>
    <xf numFmtId="0" fontId="23" fillId="4" borderId="3" xfId="0" applyFont="1" applyFill="1" applyBorder="1" applyAlignment="1">
      <alignment vertical="top" indent="1"/>
    </xf>
    <xf numFmtId="0" fontId="24" fillId="4" borderId="3" xfId="0" applyFont="1" applyFill="1" applyBorder="1" applyAlignment="1">
      <alignment vertical="top" indent="1"/>
    </xf>
    <xf numFmtId="0" fontId="25" fillId="4" borderId="3" xfId="0" applyFont="1" applyFill="1" applyBorder="1" applyAlignment="1">
      <alignment horizontal="right" vertical="top" indent="1"/>
    </xf>
    <xf numFmtId="0" fontId="26" fillId="4" borderId="3" xfId="0" applyFont="1" applyFill="1" applyBorder="1" applyAlignment="1">
      <alignment vertical="top" indent="1"/>
    </xf>
    <xf numFmtId="164" fontId="27" fillId="4" borderId="3" xfId="0" applyNumberFormat="1" applyFont="1" applyFill="1" applyBorder="1" applyAlignment="1">
      <alignment horizontal="right" vertical="top" indent="1"/>
    </xf>
    <xf numFmtId="164" fontId="28" fillId="4" borderId="3" xfId="0" applyNumberFormat="1" applyFont="1" applyFill="1" applyBorder="1" applyAlignment="1">
      <alignment horizontal="right" vertical="top" indent="1"/>
    </xf>
    <xf numFmtId="165" fontId="29" fillId="4" borderId="3" xfId="0" applyNumberFormat="1" applyFont="1" applyFill="1" applyBorder="1" applyAlignment="1">
      <alignment horizontal="right" vertical="top" indent="1"/>
    </xf>
    <xf numFmtId="0" fontId="30" fillId="4" borderId="3" xfId="0" applyFont="1" applyFill="1" applyBorder="1" applyAlignment="1">
      <alignment vertical="top" indent="1"/>
    </xf>
    <xf numFmtId="165" fontId="31" fillId="4" borderId="3" xfId="0" applyNumberFormat="1" applyFont="1" applyFill="1" applyBorder="1" applyAlignment="1">
      <alignment horizontal="right" vertical="top" indent="1"/>
    </xf>
    <xf numFmtId="165" fontId="32" fillId="4" borderId="3" xfId="0" applyNumberFormat="1" applyFont="1" applyFill="1" applyBorder="1" applyAlignment="1">
      <alignment horizontal="right" vertical="top" indent="1"/>
    </xf>
    <xf numFmtId="0" fontId="33" fillId="4" borderId="3" xfId="0" applyFont="1" applyFill="1" applyBorder="1" applyAlignment="1">
      <alignment vertical="top" indent="1"/>
    </xf>
    <xf numFmtId="166" fontId="34" fillId="4" borderId="3" xfId="0" applyNumberFormat="1" applyFont="1" applyFill="1" applyBorder="1" applyAlignment="1">
      <alignment horizontal="right" vertical="top" indent="1"/>
    </xf>
    <xf numFmtId="165" fontId="35" fillId="4" borderId="3" xfId="0" applyNumberFormat="1" applyFont="1" applyFill="1" applyBorder="1" applyAlignment="1">
      <alignment horizontal="right" vertical="top" indent="1"/>
    </xf>
    <xf numFmtId="0" fontId="36" fillId="4" borderId="3" xfId="0" applyFont="1" applyFill="1" applyBorder="1" applyAlignment="1">
      <alignment vertical="top" indent="1"/>
    </xf>
    <xf numFmtId="0" fontId="37" fillId="4" borderId="3" xfId="0" applyFont="1" applyFill="1" applyBorder="1" applyAlignment="1">
      <alignment vertical="top" indent="1"/>
    </xf>
    <xf numFmtId="165" fontId="38" fillId="4" borderId="3" xfId="0" applyNumberFormat="1" applyFont="1" applyFill="1" applyBorder="1" applyAlignment="1">
      <alignment horizontal="right" vertical="top" indent="1"/>
    </xf>
    <xf numFmtId="0" fontId="39" fillId="4" borderId="3" xfId="0" applyFont="1" applyFill="1" applyBorder="1" applyAlignment="1">
      <alignment vertical="top" indent="1"/>
    </xf>
    <xf numFmtId="0" fontId="40" fillId="4" borderId="3" xfId="0" applyFont="1" applyFill="1" applyBorder="1" applyAlignment="1">
      <alignment vertical="top" indent="1"/>
    </xf>
    <xf numFmtId="0" fontId="41" fillId="4" borderId="3" xfId="0" applyFont="1" applyFill="1" applyBorder="1" applyAlignment="1">
      <alignment vertical="top" indent="1"/>
    </xf>
    <xf numFmtId="0" fontId="42" fillId="4" borderId="3" xfId="0" applyFont="1" applyFill="1" applyBorder="1" applyAlignment="1">
      <alignment vertical="top" indent="1"/>
    </xf>
    <xf numFmtId="0" fontId="43" fillId="4" borderId="3" xfId="0" applyFont="1" applyFill="1" applyBorder="1" applyAlignment="1">
      <alignment vertical="top" indent="1"/>
    </xf>
    <xf numFmtId="0" fontId="44" fillId="4" borderId="3" xfId="0" applyFont="1" applyFill="1" applyBorder="1" applyAlignment="1">
      <alignment vertical="top" indent="1"/>
    </xf>
    <xf numFmtId="165" fontId="45" fillId="4" borderId="3" xfId="0" applyNumberFormat="1" applyFont="1" applyFill="1" applyBorder="1" applyAlignment="1">
      <alignment horizontal="right" vertical="top" indent="1"/>
    </xf>
    <xf numFmtId="0" fontId="46" fillId="4" borderId="3" xfId="0" applyFont="1" applyFill="1" applyBorder="1" applyAlignment="1">
      <alignment vertical="top" indent="1"/>
    </xf>
    <xf numFmtId="0" fontId="47" fillId="4" borderId="3" xfId="0" applyFont="1" applyFill="1" applyBorder="1" applyAlignment="1">
      <alignment vertical="top" indent="1"/>
    </xf>
    <xf numFmtId="0" fontId="48" fillId="4" borderId="3" xfId="0" applyFont="1" applyFill="1" applyBorder="1" applyAlignment="1">
      <alignment vertical="top" indent="1"/>
    </xf>
    <xf numFmtId="0" fontId="49" fillId="4" borderId="3" xfId="0" applyFont="1" applyFill="1" applyBorder="1" applyAlignment="1">
      <alignment vertical="top" indent="1"/>
    </xf>
    <xf numFmtId="0" fontId="50" fillId="4" borderId="3" xfId="0" applyFont="1" applyFill="1" applyBorder="1" applyAlignment="1">
      <alignment vertical="top" indent="1"/>
    </xf>
    <xf numFmtId="0" fontId="51" fillId="4" borderId="3" xfId="0" applyFont="1" applyFill="1" applyBorder="1" applyAlignment="1">
      <alignment vertical="top" indent="1"/>
    </xf>
    <xf numFmtId="165" fontId="52" fillId="4" borderId="3" xfId="0" applyNumberFormat="1" applyFont="1" applyFill="1" applyBorder="1" applyAlignment="1">
      <alignment horizontal="right" vertical="top" indent="1"/>
    </xf>
    <xf numFmtId="165" fontId="53" fillId="4" borderId="3" xfId="0" applyNumberFormat="1" applyFont="1" applyFill="1" applyBorder="1" applyAlignment="1">
      <alignment horizontal="right" vertical="top" indent="1"/>
    </xf>
    <xf numFmtId="165" fontId="54" fillId="4" borderId="3" xfId="0" applyNumberFormat="1" applyFont="1" applyFill="1" applyBorder="1" applyAlignment="1">
      <alignment horizontal="right" vertical="top" indent="1"/>
    </xf>
    <xf numFmtId="165" fontId="55" fillId="4" borderId="3" xfId="0" applyNumberFormat="1" applyFont="1" applyFill="1" applyBorder="1" applyAlignment="1">
      <alignment horizontal="right" vertical="top" indent="1"/>
    </xf>
    <xf numFmtId="165" fontId="56" fillId="4" borderId="3" xfId="0" applyNumberFormat="1" applyFont="1" applyFill="1" applyBorder="1" applyAlignment="1">
      <alignment horizontal="right" vertical="top" indent="1"/>
    </xf>
    <xf numFmtId="0" fontId="57" fillId="4" borderId="3" xfId="0" applyFont="1" applyFill="1" applyBorder="1" applyAlignment="1">
      <alignment vertical="top" indent="1"/>
    </xf>
    <xf numFmtId="0" fontId="58" fillId="4" borderId="3" xfId="0" applyFont="1" applyFill="1" applyBorder="1" applyAlignment="1">
      <alignment vertical="top" indent="1"/>
    </xf>
    <xf numFmtId="0" fontId="59" fillId="4" borderId="3" xfId="0" applyFont="1" applyFill="1" applyBorder="1" applyAlignment="1">
      <alignment vertical="top" indent="1"/>
    </xf>
    <xf numFmtId="167" fontId="60" fillId="4" borderId="3" xfId="0" applyNumberFormat="1" applyFont="1" applyFill="1" applyBorder="1" applyAlignment="1">
      <alignment horizontal="right" vertical="top" indent="1"/>
    </xf>
    <xf numFmtId="0" fontId="61" fillId="4" borderId="3" xfId="0" applyFont="1" applyFill="1" applyBorder="1" applyAlignment="1">
      <alignment horizontal="right" vertical="top" indent="1"/>
    </xf>
    <xf numFmtId="0" fontId="62" fillId="4" borderId="3" xfId="0" applyFont="1" applyFill="1" applyBorder="1" applyAlignment="1">
      <alignment vertical="top" indent="1"/>
    </xf>
    <xf numFmtId="0" fontId="63" fillId="4" borderId="3" xfId="0" applyFont="1" applyFill="1" applyBorder="1" applyAlignment="1">
      <alignment horizontal="right" vertical="top" indent="1"/>
    </xf>
    <xf numFmtId="0" fontId="64" fillId="4" borderId="3" xfId="0" applyFont="1" applyFill="1" applyBorder="1" applyAlignment="1">
      <alignment vertical="top" indent="1"/>
    </xf>
    <xf numFmtId="0" fontId="65" fillId="4" borderId="3" xfId="0" applyFont="1" applyFill="1" applyBorder="1" applyAlignment="1">
      <alignment horizontal="right" vertical="top" indent="1"/>
    </xf>
    <xf numFmtId="0" fontId="66" fillId="4" borderId="3" xfId="0" applyFont="1" applyFill="1" applyBorder="1" applyAlignment="1">
      <alignment vertical="top" indent="1"/>
    </xf>
    <xf numFmtId="0" fontId="67" fillId="4" borderId="3" xfId="0" applyFont="1" applyFill="1" applyBorder="1" applyAlignment="1">
      <alignment vertical="top" indent="1"/>
    </xf>
    <xf numFmtId="0" fontId="68" fillId="4" borderId="3" xfId="0" applyFont="1" applyFill="1" applyBorder="1" applyAlignment="1">
      <alignment vertical="top" indent="1"/>
    </xf>
    <xf numFmtId="0" fontId="69" fillId="4" borderId="3" xfId="0" applyFont="1" applyFill="1" applyBorder="1" applyAlignment="1">
      <alignment vertical="top" indent="1"/>
    </xf>
    <xf numFmtId="0" fontId="70" fillId="4" borderId="3" xfId="0" applyFont="1" applyFill="1" applyBorder="1" applyAlignment="1">
      <alignment vertical="top" indent="1"/>
    </xf>
    <xf numFmtId="0" fontId="71" fillId="4" borderId="3" xfId="0" applyFont="1" applyFill="1" applyBorder="1" applyAlignment="1">
      <alignment vertical="top" indent="1"/>
    </xf>
    <xf numFmtId="0" fontId="72" fillId="4" borderId="3" xfId="0" applyFont="1" applyFill="1" applyBorder="1" applyAlignment="1">
      <alignment vertical="top" indent="1"/>
    </xf>
    <xf numFmtId="0" fontId="73" fillId="4" borderId="3" xfId="0" applyFont="1" applyFill="1" applyBorder="1" applyAlignment="1">
      <alignment vertical="top" indent="1"/>
    </xf>
    <xf numFmtId="0" fontId="74" fillId="4" borderId="3" xfId="0" applyFont="1" applyFill="1" applyBorder="1" applyAlignment="1">
      <alignment vertical="top" indent="1"/>
    </xf>
    <xf numFmtId="0" fontId="75" fillId="4" borderId="3" xfId="0" applyFont="1" applyFill="1" applyBorder="1" applyAlignment="1">
      <alignment vertical="top" indent="1"/>
    </xf>
    <xf numFmtId="0" fontId="76" fillId="4" borderId="3" xfId="0" applyFont="1" applyFill="1" applyBorder="1" applyAlignment="1">
      <alignment vertical="top" indent="1"/>
    </xf>
    <xf numFmtId="0" fontId="77" fillId="4" borderId="3" xfId="0" applyFont="1" applyFill="1" applyBorder="1" applyAlignment="1">
      <alignment vertical="top" indent="1"/>
    </xf>
    <xf numFmtId="0" fontId="78" fillId="4" borderId="3" xfId="0" applyFont="1" applyFill="1" applyBorder="1" applyAlignment="1">
      <alignment vertical="top" indent="1"/>
    </xf>
    <xf numFmtId="165" fontId="79" fillId="4" borderId="3" xfId="0" applyNumberFormat="1" applyFont="1" applyFill="1" applyBorder="1" applyAlignment="1">
      <alignment horizontal="right" vertical="top" indent="1"/>
    </xf>
    <xf numFmtId="165" fontId="80" fillId="4" borderId="3" xfId="0" applyNumberFormat="1" applyFont="1" applyFill="1" applyBorder="1" applyAlignment="1">
      <alignment horizontal="right" vertical="top" indent="1"/>
    </xf>
    <xf numFmtId="166" fontId="81" fillId="4" borderId="3" xfId="0" applyNumberFormat="1" applyFont="1" applyFill="1" applyBorder="1" applyAlignment="1">
      <alignment horizontal="right" vertical="top" indent="1"/>
    </xf>
    <xf numFmtId="165" fontId="82" fillId="4" borderId="3" xfId="0" applyNumberFormat="1" applyFont="1" applyFill="1" applyBorder="1" applyAlignment="1">
      <alignment horizontal="right" vertical="top" indent="1"/>
    </xf>
    <xf numFmtId="165" fontId="83" fillId="4" borderId="3" xfId="0" applyNumberFormat="1" applyFont="1" applyFill="1" applyBorder="1" applyAlignment="1">
      <alignment horizontal="right" vertical="top" indent="1"/>
    </xf>
    <xf numFmtId="165" fontId="84" fillId="4" borderId="3" xfId="0" applyNumberFormat="1" applyFont="1" applyFill="1" applyBorder="1" applyAlignment="1">
      <alignment horizontal="right" vertical="top" indent="1"/>
    </xf>
    <xf numFmtId="165" fontId="85" fillId="4" borderId="3" xfId="0" applyNumberFormat="1" applyFont="1" applyFill="1" applyBorder="1" applyAlignment="1">
      <alignment horizontal="right" vertical="top" indent="1"/>
    </xf>
    <xf numFmtId="165" fontId="86" fillId="4" borderId="3" xfId="0" applyNumberFormat="1" applyFont="1" applyFill="1" applyBorder="1" applyAlignment="1">
      <alignment horizontal="right" vertical="top" indent="1"/>
    </xf>
    <xf numFmtId="168" fontId="87" fillId="4" borderId="3" xfId="0" applyNumberFormat="1" applyFont="1" applyFill="1" applyBorder="1" applyAlignment="1">
      <alignment horizontal="right" vertical="top" indent="1"/>
    </xf>
    <xf numFmtId="169" fontId="88" fillId="4" borderId="3" xfId="0" applyNumberFormat="1" applyFont="1" applyFill="1" applyBorder="1" applyAlignment="1">
      <alignment horizontal="right" vertical="top" indent="1"/>
    </xf>
    <xf numFmtId="169" fontId="89" fillId="4" borderId="3" xfId="0" applyNumberFormat="1" applyFont="1" applyFill="1" applyBorder="1" applyAlignment="1">
      <alignment horizontal="right" vertical="top" indent="1"/>
    </xf>
    <xf numFmtId="169" fontId="90" fillId="4" borderId="3" xfId="0" applyNumberFormat="1" applyFont="1" applyFill="1" applyBorder="1" applyAlignment="1">
      <alignment horizontal="right" vertical="top" indent="1"/>
    </xf>
    <xf numFmtId="169" fontId="91" fillId="4" borderId="3" xfId="0" applyNumberFormat="1" applyFont="1" applyFill="1" applyBorder="1" applyAlignment="1">
      <alignment horizontal="right" vertical="top" indent="1"/>
    </xf>
    <xf numFmtId="169" fontId="92" fillId="4" borderId="3" xfId="0" applyNumberFormat="1" applyFont="1" applyFill="1" applyBorder="1" applyAlignment="1">
      <alignment horizontal="right" vertical="top" indent="1"/>
    </xf>
    <xf numFmtId="169" fontId="93" fillId="4" borderId="3" xfId="0" applyNumberFormat="1" applyFont="1" applyFill="1" applyBorder="1" applyAlignment="1">
      <alignment horizontal="right" vertical="top" indent="1"/>
    </xf>
    <xf numFmtId="169" fontId="94" fillId="4" borderId="3" xfId="0" applyNumberFormat="1" applyFont="1" applyFill="1" applyBorder="1" applyAlignment="1">
      <alignment horizontal="right" vertical="top" indent="1"/>
    </xf>
    <xf numFmtId="169" fontId="95" fillId="4" borderId="3" xfId="0" applyNumberFormat="1" applyFont="1" applyFill="1" applyBorder="1" applyAlignment="1">
      <alignment horizontal="right" vertical="top" indent="1"/>
    </xf>
    <xf numFmtId="169" fontId="96" fillId="4" borderId="3" xfId="0" applyNumberFormat="1" applyFont="1" applyFill="1" applyBorder="1" applyAlignment="1">
      <alignment horizontal="right" vertical="top" indent="1"/>
    </xf>
    <xf numFmtId="169" fontId="97" fillId="4" borderId="3" xfId="0" applyNumberFormat="1" applyFont="1" applyFill="1" applyBorder="1" applyAlignment="1">
      <alignment horizontal="right" vertical="top" indent="1"/>
    </xf>
    <xf numFmtId="169" fontId="98" fillId="4" borderId="3" xfId="0" applyNumberFormat="1" applyFont="1" applyFill="1" applyBorder="1" applyAlignment="1">
      <alignment horizontal="right" vertical="top" indent="1"/>
    </xf>
    <xf numFmtId="169" fontId="99" fillId="4" borderId="3" xfId="0" applyNumberFormat="1" applyFont="1" applyFill="1" applyBorder="1" applyAlignment="1">
      <alignment horizontal="right" vertical="top" indent="1"/>
    </xf>
    <xf numFmtId="169" fontId="100" fillId="4" borderId="3" xfId="0" applyNumberFormat="1" applyFont="1" applyFill="1" applyBorder="1" applyAlignment="1">
      <alignment horizontal="right" vertical="top" indent="1"/>
    </xf>
    <xf numFmtId="169" fontId="101" fillId="4" borderId="3" xfId="0" applyNumberFormat="1" applyFont="1" applyFill="1" applyBorder="1" applyAlignment="1">
      <alignment horizontal="right" vertical="top" indent="1"/>
    </xf>
    <xf numFmtId="169" fontId="102" fillId="4" borderId="3" xfId="0" applyNumberFormat="1" applyFont="1" applyFill="1" applyBorder="1" applyAlignment="1">
      <alignment horizontal="right" vertical="top" indent="1"/>
    </xf>
    <xf numFmtId="169" fontId="103" fillId="4" borderId="3" xfId="0" applyNumberFormat="1" applyFont="1" applyFill="1" applyBorder="1" applyAlignment="1">
      <alignment horizontal="right" vertical="top" indent="1"/>
    </xf>
    <xf numFmtId="169" fontId="104" fillId="4" borderId="3" xfId="0" applyNumberFormat="1" applyFont="1" applyFill="1" applyBorder="1" applyAlignment="1">
      <alignment horizontal="right" vertical="top" indent="1"/>
    </xf>
    <xf numFmtId="166" fontId="105" fillId="4" borderId="3" xfId="0" applyNumberFormat="1" applyFont="1" applyFill="1" applyBorder="1" applyAlignment="1">
      <alignment horizontal="right" vertical="top" indent="1"/>
    </xf>
    <xf numFmtId="167" fontId="106" fillId="4" borderId="3" xfId="0" applyNumberFormat="1" applyFont="1" applyFill="1" applyBorder="1" applyAlignment="1">
      <alignment horizontal="right" vertical="top" indent="1"/>
    </xf>
    <xf numFmtId="0" fontId="107" fillId="4" borderId="3" xfId="0" applyFont="1" applyFill="1" applyBorder="1" applyAlignment="1">
      <alignment vertical="top" indent="1"/>
    </xf>
    <xf numFmtId="0" fontId="108" fillId="4" borderId="3" xfId="0" applyFont="1" applyFill="1" applyBorder="1" applyAlignment="1">
      <alignment vertical="top" indent="1"/>
    </xf>
    <xf numFmtId="0" fontId="109" fillId="4" borderId="3" xfId="0" applyFont="1" applyFill="1" applyBorder="1" applyAlignment="1">
      <alignment vertical="top" indent="1"/>
    </xf>
    <xf numFmtId="0" fontId="110" fillId="4" borderId="3" xfId="0" applyFont="1" applyFill="1" applyBorder="1" applyAlignment="1">
      <alignment vertical="top" indent="1"/>
    </xf>
    <xf numFmtId="0" fontId="111" fillId="4" borderId="3" xfId="0" applyFont="1" applyFill="1" applyBorder="1" applyAlignment="1">
      <alignment vertical="top" indent="1"/>
    </xf>
    <xf numFmtId="0" fontId="112" fillId="4" borderId="3" xfId="0" applyFont="1" applyFill="1" applyBorder="1" applyAlignment="1">
      <alignment vertical="top" indent="1"/>
    </xf>
    <xf numFmtId="0" fontId="113" fillId="4" borderId="3" xfId="0" applyFont="1" applyFill="1" applyBorder="1" applyAlignment="1">
      <alignment vertical="top" indent="1"/>
    </xf>
    <xf numFmtId="0" fontId="114" fillId="4" borderId="3" xfId="0" applyFont="1" applyFill="1" applyBorder="1" applyAlignment="1">
      <alignment vertical="top" indent="1"/>
    </xf>
    <xf numFmtId="168" fontId="115" fillId="4" borderId="3" xfId="0" applyNumberFormat="1" applyFont="1" applyFill="1" applyBorder="1" applyAlignment="1">
      <alignment horizontal="right" vertical="top" indent="1"/>
    </xf>
    <xf numFmtId="0" fontId="116" fillId="4" borderId="3" xfId="0" applyFont="1" applyFill="1" applyBorder="1" applyAlignment="1">
      <alignment vertical="top" indent="1"/>
    </xf>
    <xf numFmtId="0" fontId="117" fillId="5" borderId="3" xfId="0" applyFont="1" applyFill="1" applyBorder="1" applyAlignment="1">
      <alignment vertical="top" indent="1"/>
    </xf>
    <xf numFmtId="0" fontId="118" fillId="5" borderId="3" xfId="0" applyFont="1" applyFill="1" applyBorder="1" applyAlignment="1">
      <alignment vertical="top" indent="1"/>
    </xf>
    <xf numFmtId="0" fontId="119" fillId="5" borderId="3" xfId="0" applyFont="1" applyFill="1" applyBorder="1" applyAlignment="1">
      <alignment vertical="top" indent="1"/>
    </xf>
    <xf numFmtId="0" fontId="120" fillId="5" borderId="3" xfId="0" applyFont="1" applyFill="1" applyBorder="1" applyAlignment="1">
      <alignment vertical="top" indent="1"/>
    </xf>
    <xf numFmtId="0" fontId="121" fillId="5" borderId="3" xfId="0" applyFont="1" applyFill="1" applyBorder="1" applyAlignment="1">
      <alignment vertical="top" indent="1"/>
    </xf>
    <xf numFmtId="0" fontId="122" fillId="5" borderId="3" xfId="0" applyFont="1" applyFill="1" applyBorder="1" applyAlignment="1">
      <alignment vertical="top" indent="1"/>
    </xf>
    <xf numFmtId="0" fontId="123" fillId="5" borderId="3" xfId="0" applyFont="1" applyFill="1" applyBorder="1" applyAlignment="1">
      <alignment vertical="top" indent="1"/>
    </xf>
    <xf numFmtId="0" fontId="124" fillId="5" borderId="3" xfId="0" applyFont="1" applyFill="1" applyBorder="1" applyAlignment="1">
      <alignment vertical="top" indent="1"/>
    </xf>
    <xf numFmtId="0" fontId="125" fillId="5" borderId="3" xfId="0" applyFont="1" applyFill="1" applyBorder="1" applyAlignment="1">
      <alignment vertical="top" indent="1"/>
    </xf>
    <xf numFmtId="0" fontId="126" fillId="5" borderId="3" xfId="0" applyFont="1" applyFill="1" applyBorder="1" applyAlignment="1">
      <alignment vertical="top" indent="1"/>
    </xf>
    <xf numFmtId="0" fontId="127" fillId="5" borderId="3" xfId="0" applyFont="1" applyFill="1" applyBorder="1" applyAlignment="1">
      <alignment vertical="top" indent="1"/>
    </xf>
    <xf numFmtId="0" fontId="128" fillId="5" borderId="3" xfId="0" applyFont="1" applyFill="1" applyBorder="1" applyAlignment="1">
      <alignment vertical="top" indent="1"/>
    </xf>
    <xf numFmtId="0" fontId="129" fillId="5" borderId="3" xfId="0" applyFont="1" applyFill="1" applyBorder="1" applyAlignment="1">
      <alignment vertical="top" indent="1"/>
    </xf>
    <xf numFmtId="0" fontId="130" fillId="5" borderId="3" xfId="0" applyFont="1" applyFill="1" applyBorder="1" applyAlignment="1">
      <alignment vertical="top" indent="1"/>
    </xf>
    <xf numFmtId="0" fontId="131" fillId="5" borderId="3" xfId="0" applyFont="1" applyFill="1" applyBorder="1" applyAlignment="1">
      <alignment vertical="top" indent="1"/>
    </xf>
    <xf numFmtId="0" fontId="132" fillId="5" borderId="3" xfId="0" applyFont="1" applyFill="1" applyBorder="1" applyAlignment="1">
      <alignment vertical="top" indent="1"/>
    </xf>
    <xf numFmtId="0" fontId="133" fillId="5" borderId="3" xfId="0" applyFont="1" applyFill="1" applyBorder="1" applyAlignment="1">
      <alignment vertical="top" indent="1"/>
    </xf>
    <xf numFmtId="0" fontId="134" fillId="5" borderId="3" xfId="0" applyFont="1" applyFill="1" applyBorder="1" applyAlignment="1">
      <alignment vertical="top" indent="1"/>
    </xf>
    <xf numFmtId="0" fontId="135" fillId="5" borderId="3" xfId="0" applyFont="1" applyFill="1" applyBorder="1" applyAlignment="1">
      <alignment vertical="top" indent="1"/>
    </xf>
    <xf numFmtId="0" fontId="136" fillId="5" borderId="3" xfId="0" applyFont="1" applyFill="1" applyBorder="1" applyAlignment="1">
      <alignment vertical="top" indent="1"/>
    </xf>
    <xf numFmtId="0" fontId="137" fillId="5" borderId="3" xfId="0" applyFont="1" applyFill="1" applyBorder="1" applyAlignment="1">
      <alignment horizontal="right" vertical="top" indent="1"/>
    </xf>
    <xf numFmtId="0" fontId="138" fillId="5" borderId="3" xfId="0" applyFont="1" applyFill="1" applyBorder="1" applyAlignment="1">
      <alignment vertical="top" indent="1"/>
    </xf>
    <xf numFmtId="164" fontId="139" fillId="5" borderId="3" xfId="0" applyNumberFormat="1" applyFont="1" applyFill="1" applyBorder="1" applyAlignment="1">
      <alignment horizontal="right" vertical="top" indent="1"/>
    </xf>
    <xf numFmtId="164" fontId="140" fillId="5" borderId="3" xfId="0" applyNumberFormat="1" applyFont="1" applyFill="1" applyBorder="1" applyAlignment="1">
      <alignment horizontal="right" vertical="top" indent="1"/>
    </xf>
    <xf numFmtId="165" fontId="141" fillId="5" borderId="3" xfId="0" applyNumberFormat="1" applyFont="1" applyFill="1" applyBorder="1" applyAlignment="1">
      <alignment horizontal="right" vertical="top" indent="1"/>
    </xf>
    <xf numFmtId="0" fontId="142" fillId="5" borderId="3" xfId="0" applyFont="1" applyFill="1" applyBorder="1" applyAlignment="1">
      <alignment vertical="top" indent="1"/>
    </xf>
    <xf numFmtId="165" fontId="143" fillId="5" borderId="3" xfId="0" applyNumberFormat="1" applyFont="1" applyFill="1" applyBorder="1" applyAlignment="1">
      <alignment horizontal="right" vertical="top" indent="1"/>
    </xf>
    <xf numFmtId="165" fontId="144" fillId="5" borderId="3" xfId="0" applyNumberFormat="1" applyFont="1" applyFill="1" applyBorder="1" applyAlignment="1">
      <alignment horizontal="right" vertical="top" indent="1"/>
    </xf>
    <xf numFmtId="0" fontId="145" fillId="5" borderId="3" xfId="0" applyFont="1" applyFill="1" applyBorder="1" applyAlignment="1">
      <alignment vertical="top" indent="1"/>
    </xf>
    <xf numFmtId="166" fontId="146" fillId="5" borderId="3" xfId="0" applyNumberFormat="1" applyFont="1" applyFill="1" applyBorder="1" applyAlignment="1">
      <alignment horizontal="right" vertical="top" indent="1"/>
    </xf>
    <xf numFmtId="165" fontId="147" fillId="5" borderId="3" xfId="0" applyNumberFormat="1" applyFont="1" applyFill="1" applyBorder="1" applyAlignment="1">
      <alignment horizontal="right" vertical="top" indent="1"/>
    </xf>
    <xf numFmtId="0" fontId="148" fillId="5" borderId="3" xfId="0" applyFont="1" applyFill="1" applyBorder="1" applyAlignment="1">
      <alignment vertical="top" indent="1"/>
    </xf>
    <xf numFmtId="0" fontId="149" fillId="5" borderId="3" xfId="0" applyFont="1" applyFill="1" applyBorder="1" applyAlignment="1">
      <alignment vertical="top" indent="1"/>
    </xf>
    <xf numFmtId="165" fontId="150" fillId="5" borderId="3" xfId="0" applyNumberFormat="1" applyFont="1" applyFill="1" applyBorder="1" applyAlignment="1">
      <alignment horizontal="right" vertical="top" indent="1"/>
    </xf>
    <xf numFmtId="0" fontId="151" fillId="5" borderId="3" xfId="0" applyFont="1" applyFill="1" applyBorder="1" applyAlignment="1">
      <alignment vertical="top" indent="1"/>
    </xf>
    <xf numFmtId="0" fontId="152" fillId="5" borderId="3" xfId="0" applyFont="1" applyFill="1" applyBorder="1" applyAlignment="1">
      <alignment vertical="top" indent="1"/>
    </xf>
    <xf numFmtId="0" fontId="153" fillId="5" borderId="3" xfId="0" applyFont="1" applyFill="1" applyBorder="1" applyAlignment="1">
      <alignment vertical="top" indent="1"/>
    </xf>
    <xf numFmtId="0" fontId="154" fillId="5" borderId="3" xfId="0" applyFont="1" applyFill="1" applyBorder="1" applyAlignment="1">
      <alignment vertical="top" indent="1"/>
    </xf>
    <xf numFmtId="0" fontId="155" fillId="5" borderId="3" xfId="0" applyFont="1" applyFill="1" applyBorder="1" applyAlignment="1">
      <alignment vertical="top" indent="1"/>
    </xf>
    <xf numFmtId="0" fontId="156" fillId="5" borderId="3" xfId="0" applyFont="1" applyFill="1" applyBorder="1" applyAlignment="1">
      <alignment vertical="top" indent="1"/>
    </xf>
    <xf numFmtId="165" fontId="157" fillId="5" borderId="3" xfId="0" applyNumberFormat="1" applyFont="1" applyFill="1" applyBorder="1" applyAlignment="1">
      <alignment horizontal="right" vertical="top" indent="1"/>
    </xf>
    <xf numFmtId="0" fontId="158" fillId="5" borderId="3" xfId="0" applyFont="1" applyFill="1" applyBorder="1" applyAlignment="1">
      <alignment vertical="top" indent="1"/>
    </xf>
    <xf numFmtId="0" fontId="159" fillId="5" borderId="3" xfId="0" applyFont="1" applyFill="1" applyBorder="1" applyAlignment="1">
      <alignment vertical="top" indent="1"/>
    </xf>
    <xf numFmtId="0" fontId="160" fillId="5" borderId="3" xfId="0" applyFont="1" applyFill="1" applyBorder="1" applyAlignment="1">
      <alignment vertical="top" indent="1"/>
    </xf>
    <xf numFmtId="0" fontId="161" fillId="5" borderId="3" xfId="0" applyFont="1" applyFill="1" applyBorder="1" applyAlignment="1">
      <alignment vertical="top" indent="1"/>
    </xf>
    <xf numFmtId="0" fontId="162" fillId="5" borderId="3" xfId="0" applyFont="1" applyFill="1" applyBorder="1" applyAlignment="1">
      <alignment vertical="top" indent="1"/>
    </xf>
    <xf numFmtId="0" fontId="163" fillId="5" borderId="3" xfId="0" applyFont="1" applyFill="1" applyBorder="1" applyAlignment="1">
      <alignment vertical="top" indent="1"/>
    </xf>
    <xf numFmtId="165" fontId="164" fillId="5" borderId="3" xfId="0" applyNumberFormat="1" applyFont="1" applyFill="1" applyBorder="1" applyAlignment="1">
      <alignment horizontal="right" vertical="top" indent="1"/>
    </xf>
    <xf numFmtId="165" fontId="165" fillId="5" borderId="3" xfId="0" applyNumberFormat="1" applyFont="1" applyFill="1" applyBorder="1" applyAlignment="1">
      <alignment horizontal="right" vertical="top" indent="1"/>
    </xf>
    <xf numFmtId="165" fontId="166" fillId="5" borderId="3" xfId="0" applyNumberFormat="1" applyFont="1" applyFill="1" applyBorder="1" applyAlignment="1">
      <alignment horizontal="right" vertical="top" indent="1"/>
    </xf>
    <xf numFmtId="165" fontId="167" fillId="5" borderId="3" xfId="0" applyNumberFormat="1" applyFont="1" applyFill="1" applyBorder="1" applyAlignment="1">
      <alignment horizontal="right" vertical="top" indent="1"/>
    </xf>
    <xf numFmtId="165" fontId="168" fillId="5" borderId="3" xfId="0" applyNumberFormat="1" applyFont="1" applyFill="1" applyBorder="1" applyAlignment="1">
      <alignment horizontal="right" vertical="top" indent="1"/>
    </xf>
    <xf numFmtId="0" fontId="169" fillId="5" borderId="3" xfId="0" applyFont="1" applyFill="1" applyBorder="1" applyAlignment="1">
      <alignment vertical="top" indent="1"/>
    </xf>
    <xf numFmtId="0" fontId="170" fillId="5" borderId="3" xfId="0" applyFont="1" applyFill="1" applyBorder="1" applyAlignment="1">
      <alignment vertical="top" indent="1"/>
    </xf>
    <xf numFmtId="0" fontId="171" fillId="5" borderId="3" xfId="0" applyFont="1" applyFill="1" applyBorder="1" applyAlignment="1">
      <alignment vertical="top" indent="1"/>
    </xf>
    <xf numFmtId="167" fontId="172" fillId="5" borderId="3" xfId="0" applyNumberFormat="1" applyFont="1" applyFill="1" applyBorder="1" applyAlignment="1">
      <alignment horizontal="right" vertical="top" indent="1"/>
    </xf>
    <xf numFmtId="0" fontId="173" fillId="5" borderId="3" xfId="0" applyFont="1" applyFill="1" applyBorder="1" applyAlignment="1">
      <alignment horizontal="right" vertical="top" indent="1"/>
    </xf>
    <xf numFmtId="0" fontId="174" fillId="5" borderId="3" xfId="0" applyFont="1" applyFill="1" applyBorder="1" applyAlignment="1">
      <alignment vertical="top" indent="1"/>
    </xf>
    <xf numFmtId="0" fontId="175" fillId="5" borderId="3" xfId="0" applyFont="1" applyFill="1" applyBorder="1" applyAlignment="1">
      <alignment horizontal="right" vertical="top" indent="1"/>
    </xf>
    <xf numFmtId="0" fontId="176" fillId="5" borderId="3" xfId="0" applyFont="1" applyFill="1" applyBorder="1" applyAlignment="1">
      <alignment vertical="top" indent="1"/>
    </xf>
    <xf numFmtId="0" fontId="177" fillId="5" borderId="3" xfId="0" applyFont="1" applyFill="1" applyBorder="1" applyAlignment="1">
      <alignment horizontal="right" vertical="top" indent="1"/>
    </xf>
    <xf numFmtId="0" fontId="178" fillId="5" borderId="3" xfId="0" applyFont="1" applyFill="1" applyBorder="1" applyAlignment="1">
      <alignment vertical="top" indent="1"/>
    </xf>
    <xf numFmtId="0" fontId="179" fillId="5" borderId="3" xfId="0" applyFont="1" applyFill="1" applyBorder="1" applyAlignment="1">
      <alignment vertical="top" indent="1"/>
    </xf>
    <xf numFmtId="0" fontId="180" fillId="5" borderId="3" xfId="0" applyFont="1" applyFill="1" applyBorder="1" applyAlignment="1">
      <alignment vertical="top" indent="1"/>
    </xf>
    <xf numFmtId="0" fontId="181" fillId="5" borderId="3" xfId="0" applyFont="1" applyFill="1" applyBorder="1" applyAlignment="1">
      <alignment vertical="top" indent="1"/>
    </xf>
    <xf numFmtId="0" fontId="182" fillId="5" borderId="3" xfId="0" applyFont="1" applyFill="1" applyBorder="1" applyAlignment="1">
      <alignment vertical="top" indent="1"/>
    </xf>
    <xf numFmtId="0" fontId="183" fillId="5" borderId="3" xfId="0" applyFont="1" applyFill="1" applyBorder="1" applyAlignment="1">
      <alignment vertical="top" indent="1"/>
    </xf>
    <xf numFmtId="0" fontId="184" fillId="5" borderId="3" xfId="0" applyFont="1" applyFill="1" applyBorder="1" applyAlignment="1">
      <alignment vertical="top" indent="1"/>
    </xf>
    <xf numFmtId="0" fontId="185" fillId="5" borderId="3" xfId="0" applyFont="1" applyFill="1" applyBorder="1" applyAlignment="1">
      <alignment vertical="top" indent="1"/>
    </xf>
    <xf numFmtId="0" fontId="186" fillId="5" borderId="3" xfId="0" applyFont="1" applyFill="1" applyBorder="1" applyAlignment="1">
      <alignment vertical="top" indent="1"/>
    </xf>
    <xf numFmtId="0" fontId="187" fillId="5" borderId="3" xfId="0" applyFont="1" applyFill="1" applyBorder="1" applyAlignment="1">
      <alignment vertical="top" indent="1"/>
    </xf>
    <xf numFmtId="0" fontId="188" fillId="5" borderId="3" xfId="0" applyFont="1" applyFill="1" applyBorder="1" applyAlignment="1">
      <alignment vertical="top" indent="1"/>
    </xf>
    <xf numFmtId="0" fontId="189" fillId="5" borderId="3" xfId="0" applyFont="1" applyFill="1" applyBorder="1" applyAlignment="1">
      <alignment vertical="top" indent="1"/>
    </xf>
    <xf numFmtId="0" fontId="190" fillId="5" borderId="3" xfId="0" applyFont="1" applyFill="1" applyBorder="1" applyAlignment="1">
      <alignment vertical="top" indent="1"/>
    </xf>
    <xf numFmtId="165" fontId="191" fillId="5" borderId="3" xfId="0" applyNumberFormat="1" applyFont="1" applyFill="1" applyBorder="1" applyAlignment="1">
      <alignment horizontal="right" vertical="top" indent="1"/>
    </xf>
    <xf numFmtId="165" fontId="192" fillId="5" borderId="3" xfId="0" applyNumberFormat="1" applyFont="1" applyFill="1" applyBorder="1" applyAlignment="1">
      <alignment horizontal="right" vertical="top" indent="1"/>
    </xf>
    <xf numFmtId="166" fontId="193" fillId="5" borderId="3" xfId="0" applyNumberFormat="1" applyFont="1" applyFill="1" applyBorder="1" applyAlignment="1">
      <alignment horizontal="right" vertical="top" indent="1"/>
    </xf>
    <xf numFmtId="165" fontId="194" fillId="5" borderId="3" xfId="0" applyNumberFormat="1" applyFont="1" applyFill="1" applyBorder="1" applyAlignment="1">
      <alignment horizontal="right" vertical="top" indent="1"/>
    </xf>
    <xf numFmtId="165" fontId="195" fillId="5" borderId="3" xfId="0" applyNumberFormat="1" applyFont="1" applyFill="1" applyBorder="1" applyAlignment="1">
      <alignment horizontal="right" vertical="top" indent="1"/>
    </xf>
    <xf numFmtId="165" fontId="196" fillId="5" borderId="3" xfId="0" applyNumberFormat="1" applyFont="1" applyFill="1" applyBorder="1" applyAlignment="1">
      <alignment horizontal="right" vertical="top" indent="1"/>
    </xf>
    <xf numFmtId="165" fontId="197" fillId="5" borderId="3" xfId="0" applyNumberFormat="1" applyFont="1" applyFill="1" applyBorder="1" applyAlignment="1">
      <alignment horizontal="right" vertical="top" indent="1"/>
    </xf>
    <xf numFmtId="165" fontId="198" fillId="5" borderId="3" xfId="0" applyNumberFormat="1" applyFont="1" applyFill="1" applyBorder="1" applyAlignment="1">
      <alignment horizontal="right" vertical="top" indent="1"/>
    </xf>
    <xf numFmtId="168" fontId="199" fillId="5" borderId="3" xfId="0" applyNumberFormat="1" applyFont="1" applyFill="1" applyBorder="1" applyAlignment="1">
      <alignment horizontal="right" vertical="top" indent="1"/>
    </xf>
    <xf numFmtId="169" fontId="200" fillId="5" borderId="3" xfId="0" applyNumberFormat="1" applyFont="1" applyFill="1" applyBorder="1" applyAlignment="1">
      <alignment horizontal="right" vertical="top" indent="1"/>
    </xf>
    <xf numFmtId="169" fontId="201" fillId="5" borderId="3" xfId="0" applyNumberFormat="1" applyFont="1" applyFill="1" applyBorder="1" applyAlignment="1">
      <alignment horizontal="right" vertical="top" indent="1"/>
    </xf>
    <xf numFmtId="169" fontId="202" fillId="5" borderId="3" xfId="0" applyNumberFormat="1" applyFont="1" applyFill="1" applyBorder="1" applyAlignment="1">
      <alignment horizontal="right" vertical="top" indent="1"/>
    </xf>
    <xf numFmtId="169" fontId="203" fillId="5" borderId="3" xfId="0" applyNumberFormat="1" applyFont="1" applyFill="1" applyBorder="1" applyAlignment="1">
      <alignment horizontal="right" vertical="top" indent="1"/>
    </xf>
    <xf numFmtId="169" fontId="204" fillId="5" borderId="3" xfId="0" applyNumberFormat="1" applyFont="1" applyFill="1" applyBorder="1" applyAlignment="1">
      <alignment horizontal="right" vertical="top" indent="1"/>
    </xf>
    <xf numFmtId="169" fontId="205" fillId="5" borderId="3" xfId="0" applyNumberFormat="1" applyFont="1" applyFill="1" applyBorder="1" applyAlignment="1">
      <alignment horizontal="right" vertical="top" indent="1"/>
    </xf>
    <xf numFmtId="169" fontId="206" fillId="5" borderId="3" xfId="0" applyNumberFormat="1" applyFont="1" applyFill="1" applyBorder="1" applyAlignment="1">
      <alignment horizontal="right" vertical="top" indent="1"/>
    </xf>
    <xf numFmtId="169" fontId="207" fillId="5" borderId="3" xfId="0" applyNumberFormat="1" applyFont="1" applyFill="1" applyBorder="1" applyAlignment="1">
      <alignment horizontal="right" vertical="top" indent="1"/>
    </xf>
    <xf numFmtId="169" fontId="208" fillId="5" borderId="3" xfId="0" applyNumberFormat="1" applyFont="1" applyFill="1" applyBorder="1" applyAlignment="1">
      <alignment horizontal="right" vertical="top" indent="1"/>
    </xf>
    <xf numFmtId="169" fontId="209" fillId="5" borderId="3" xfId="0" applyNumberFormat="1" applyFont="1" applyFill="1" applyBorder="1" applyAlignment="1">
      <alignment horizontal="right" vertical="top" indent="1"/>
    </xf>
    <xf numFmtId="169" fontId="210" fillId="5" borderId="3" xfId="0" applyNumberFormat="1" applyFont="1" applyFill="1" applyBorder="1" applyAlignment="1">
      <alignment horizontal="right" vertical="top" indent="1"/>
    </xf>
    <xf numFmtId="169" fontId="211" fillId="5" borderId="3" xfId="0" applyNumberFormat="1" applyFont="1" applyFill="1" applyBorder="1" applyAlignment="1">
      <alignment horizontal="right" vertical="top" indent="1"/>
    </xf>
    <xf numFmtId="169" fontId="212" fillId="5" borderId="3" xfId="0" applyNumberFormat="1" applyFont="1" applyFill="1" applyBorder="1" applyAlignment="1">
      <alignment horizontal="right" vertical="top" indent="1"/>
    </xf>
    <xf numFmtId="169" fontId="213" fillId="5" borderId="3" xfId="0" applyNumberFormat="1" applyFont="1" applyFill="1" applyBorder="1" applyAlignment="1">
      <alignment horizontal="right" vertical="top" indent="1"/>
    </xf>
    <xf numFmtId="169" fontId="214" fillId="5" borderId="3" xfId="0" applyNumberFormat="1" applyFont="1" applyFill="1" applyBorder="1" applyAlignment="1">
      <alignment horizontal="right" vertical="top" indent="1"/>
    </xf>
    <xf numFmtId="169" fontId="215" fillId="5" borderId="3" xfId="0" applyNumberFormat="1" applyFont="1" applyFill="1" applyBorder="1" applyAlignment="1">
      <alignment horizontal="right" vertical="top" indent="1"/>
    </xf>
    <xf numFmtId="169" fontId="216" fillId="5" borderId="3" xfId="0" applyNumberFormat="1" applyFont="1" applyFill="1" applyBorder="1" applyAlignment="1">
      <alignment horizontal="right" vertical="top" indent="1"/>
    </xf>
    <xf numFmtId="166" fontId="217" fillId="5" borderId="3" xfId="0" applyNumberFormat="1" applyFont="1" applyFill="1" applyBorder="1" applyAlignment="1">
      <alignment horizontal="right" vertical="top" indent="1"/>
    </xf>
    <xf numFmtId="167" fontId="218" fillId="5" borderId="3" xfId="0" applyNumberFormat="1" applyFont="1" applyFill="1" applyBorder="1" applyAlignment="1">
      <alignment horizontal="right" vertical="top" indent="1"/>
    </xf>
    <xf numFmtId="0" fontId="219" fillId="5" borderId="3" xfId="0" applyFont="1" applyFill="1" applyBorder="1" applyAlignment="1">
      <alignment vertical="top" indent="1"/>
    </xf>
    <xf numFmtId="0" fontId="220" fillId="5" borderId="3" xfId="0" applyFont="1" applyFill="1" applyBorder="1" applyAlignment="1">
      <alignment vertical="top" indent="1"/>
    </xf>
    <xf numFmtId="0" fontId="221" fillId="5" borderId="3" xfId="0" applyFont="1" applyFill="1" applyBorder="1" applyAlignment="1">
      <alignment vertical="top" indent="1"/>
    </xf>
    <xf numFmtId="0" fontId="222" fillId="5" borderId="3" xfId="0" applyFont="1" applyFill="1" applyBorder="1" applyAlignment="1">
      <alignment vertical="top" indent="1"/>
    </xf>
    <xf numFmtId="0" fontId="223" fillId="5" borderId="3" xfId="0" applyFont="1" applyFill="1" applyBorder="1" applyAlignment="1">
      <alignment vertical="top" indent="1"/>
    </xf>
    <xf numFmtId="0" fontId="224" fillId="5" borderId="3" xfId="0" applyFont="1" applyFill="1" applyBorder="1" applyAlignment="1">
      <alignment vertical="top" indent="1"/>
    </xf>
    <xf numFmtId="0" fontId="225" fillId="5" borderId="3" xfId="0" applyFont="1" applyFill="1" applyBorder="1" applyAlignment="1">
      <alignment vertical="top" indent="1"/>
    </xf>
    <xf numFmtId="0" fontId="226" fillId="5" borderId="3" xfId="0" applyFont="1" applyFill="1" applyBorder="1" applyAlignment="1">
      <alignment vertical="top" indent="1"/>
    </xf>
    <xf numFmtId="168" fontId="227" fillId="5" borderId="3" xfId="0" applyNumberFormat="1" applyFont="1" applyFill="1" applyBorder="1" applyAlignment="1">
      <alignment horizontal="right" vertical="top" indent="1"/>
    </xf>
    <xf numFmtId="0" fontId="228" fillId="5" borderId="3" xfId="0" applyFont="1" applyFill="1" applyBorder="1" applyAlignment="1">
      <alignment vertical="top" indent="1"/>
    </xf>
    <xf numFmtId="0" fontId="229" fillId="4" borderId="3" xfId="0" applyFont="1" applyFill="1" applyBorder="1" applyAlignment="1">
      <alignment horizontal="left" vertical="top" indent="1"/>
    </xf>
    <xf numFmtId="0" fontId="230" fillId="5" borderId="3" xfId="0" applyFont="1" applyFill="1" applyBorder="1" applyAlignment="1">
      <alignment horizontal="left" vertical="top" indent="1"/>
    </xf>
    <xf numFmtId="0" fontId="231" fillId="2" borderId="0" xfId="0" applyNumberFormat="1" applyFont="1" applyFill="1" applyBorder="1"/>
    <xf numFmtId="0" fontId="232" fillId="2" borderId="0" xfId="0" applyNumberFormat="1" applyFont="1" applyFill="1" applyBorder="1"/>
    <xf numFmtId="0" fontId="233" fillId="2" borderId="0" xfId="0" applyNumberFormat="1" applyFont="1" applyFill="1" applyBorder="1"/>
    <xf numFmtId="0" fontId="234" fillId="2" borderId="0" xfId="0" applyNumberFormat="1" applyFont="1" applyFill="1" applyBorder="1"/>
    <xf numFmtId="0" fontId="235" fillId="2" borderId="0" xfId="0" applyNumberFormat="1" applyFont="1" applyFill="1" applyBorder="1"/>
    <xf numFmtId="0" fontId="236" fillId="2" borderId="0" xfId="0" applyNumberFormat="1" applyFont="1" applyFill="1" applyBorder="1" applyAlignment="1" applyProtection="1"/>
    <xf numFmtId="0" fontId="237" fillId="2" borderId="0" xfId="1" applyNumberFormat="1" applyFont="1" applyFill="1" applyBorder="1" applyAlignment="1" applyProtection="1"/>
    <xf numFmtId="0" fontId="238" fillId="2" borderId="0" xfId="0" applyNumberFormat="1" applyFont="1" applyFill="1" applyBorder="1" applyAlignment="1" applyProtection="1"/>
    <xf numFmtId="0" fontId="239" fillId="0" borderId="0" xfId="0" applyFont="1" applyAlignment="1">
      <alignment wrapText="1"/>
    </xf>
    <xf numFmtId="0" fontId="4" fillId="4" borderId="3" xfId="0" applyFont="1" applyFill="1" applyBorder="1" applyAlignment="1">
      <alignment vertical="top" indent="1"/>
    </xf>
    <xf numFmtId="0" fontId="4" fillId="5" borderId="3" xfId="0" applyFont="1" applyFill="1" applyBorder="1" applyAlignment="1">
      <alignment vertical="top" indent="1"/>
    </xf>
  </cellXfs>
  <cellStyles count="2">
    <cellStyle name="Normal" xfId="0" builtinId="0"/>
    <cellStyle name="Normal 2" xfId="1" xr:uid="{00000000-0005-0000-0000-00000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lientservices@pitchbook.com" TargetMode="External"/><Relationship Id="rId2" Type="http://schemas.openxmlformats.org/officeDocument/2006/relationships/hyperlink" Target="mailto:clientservices@pitchbook.com" TargetMode="External"/><Relationship Id="rId1" Type="http://schemas.openxmlformats.org/officeDocument/2006/relationships/hyperlink" Target="https://pitchbook.com/subscription-agre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284"/>
  <sheetViews>
    <sheetView showGridLines="0" tabSelected="1" topLeftCell="I1" workbookViewId="0">
      <selection activeCell="D98" sqref="D98"/>
    </sheetView>
  </sheetViews>
  <sheetFormatPr baseColWidth="10" defaultColWidth="8.83203125" defaultRowHeight="15" x14ac:dyDescent="0.2"/>
  <cols>
    <col min="1" max="1" width="10.83203125" customWidth="1"/>
    <col min="2" max="2" width="54.5" customWidth="1"/>
    <col min="3" max="3" width="16.1640625" customWidth="1" collapsed="1"/>
    <col min="4" max="4" width="39" customWidth="1" collapsed="1"/>
    <col min="5" max="5" width="37.5" customWidth="1"/>
    <col min="6" max="7" width="30.6640625" customWidth="1"/>
    <col min="8" max="8" width="29.1640625" customWidth="1"/>
    <col min="9" max="9" width="33.1640625" customWidth="1"/>
    <col min="10" max="10" width="28.5" customWidth="1"/>
    <col min="11" max="11" width="28.83203125" customWidth="1"/>
    <col min="12" max="13" width="27.6640625" customWidth="1"/>
    <col min="14" max="14" width="26" customWidth="1"/>
    <col min="15" max="15" width="23.83203125" customWidth="1"/>
    <col min="16" max="16" width="14.5" customWidth="1"/>
    <col min="17" max="17" width="15.83203125" customWidth="1"/>
    <col min="18" max="18" width="26.83203125" customWidth="1"/>
    <col min="19" max="19" width="39" customWidth="1"/>
    <col min="20" max="20" width="37.5" customWidth="1"/>
    <col min="21" max="22" width="14.5" customWidth="1"/>
    <col min="23" max="23" width="19.1640625" customWidth="1"/>
    <col min="24" max="24" width="16.83203125" customWidth="1"/>
    <col min="25" max="25" width="14.5" customWidth="1"/>
    <col min="26" max="26" width="19.6640625" customWidth="1"/>
    <col min="27" max="27" width="24.1640625" customWidth="1"/>
    <col min="28" max="28" width="18.33203125" customWidth="1"/>
    <col min="29" max="29" width="24.5" customWidth="1"/>
    <col min="30" max="30" width="15.5" customWidth="1"/>
    <col min="31" max="31" width="18.33203125" customWidth="1"/>
    <col min="32" max="32" width="14.5" customWidth="1"/>
    <col min="33" max="33" width="26.83203125" customWidth="1"/>
    <col min="34" max="34" width="19" customWidth="1"/>
    <col min="35" max="35" width="10.83203125" customWidth="1"/>
    <col min="36" max="36" width="17.83203125" customWidth="1"/>
    <col min="37" max="38" width="17.33203125" customWidth="1"/>
    <col min="39" max="39" width="15.83203125" customWidth="1"/>
    <col min="40" max="40" width="33.1640625" customWidth="1"/>
    <col min="41" max="41" width="24.33203125" customWidth="1"/>
    <col min="42" max="42" width="14.5" customWidth="1"/>
    <col min="43" max="43" width="25.33203125" customWidth="1"/>
    <col min="44" max="44" width="26.6640625" customWidth="1"/>
    <col min="45" max="45" width="19.1640625" customWidth="1"/>
    <col min="46" max="47" width="16" customWidth="1"/>
    <col min="48" max="50" width="19" customWidth="1"/>
    <col min="51" max="51" width="24.5" customWidth="1"/>
    <col min="52" max="52" width="22" customWidth="1"/>
    <col min="53" max="53" width="15.6640625" customWidth="1"/>
    <col min="54" max="54" width="19.33203125" customWidth="1"/>
    <col min="55" max="55" width="21.6640625" customWidth="1"/>
    <col min="56" max="56" width="18" customWidth="1"/>
    <col min="57" max="57" width="15.5" customWidth="1"/>
    <col min="58" max="58" width="26" customWidth="1"/>
    <col min="59" max="59" width="20" customWidth="1"/>
    <col min="60" max="60" width="28.83203125" customWidth="1"/>
    <col min="61" max="61" width="24.5" customWidth="1"/>
    <col min="62" max="62" width="26" customWidth="1"/>
    <col min="63" max="63" width="32.5" customWidth="1"/>
    <col min="64" max="64" width="26" customWidth="1"/>
    <col min="65" max="65" width="26.33203125" customWidth="1"/>
    <col min="66" max="67" width="26" customWidth="1"/>
    <col min="68" max="68" width="32.1640625" customWidth="1"/>
    <col min="69" max="69" width="36.83203125" customWidth="1"/>
    <col min="70" max="70" width="26" customWidth="1"/>
    <col min="71" max="71" width="30" customWidth="1"/>
    <col min="72" max="72" width="43.6640625" customWidth="1"/>
    <col min="73" max="73" width="30.1640625" customWidth="1"/>
    <col min="74" max="74" width="33.1640625" customWidth="1"/>
    <col min="75" max="76" width="16.6640625" customWidth="1"/>
    <col min="77" max="77" width="33.33203125" customWidth="1"/>
    <col min="78" max="78" width="18" customWidth="1"/>
    <col min="79" max="79" width="17.83203125" customWidth="1"/>
    <col min="80" max="81" width="14.5" customWidth="1"/>
    <col min="82" max="82" width="23.83203125" customWidth="1"/>
    <col min="83" max="83" width="14.83203125" customWidth="1"/>
    <col min="84" max="84" width="21.1640625" customWidth="1"/>
    <col min="85" max="85" width="18.6640625" customWidth="1"/>
    <col min="86" max="86" width="25" customWidth="1"/>
    <col min="87" max="87" width="22.33203125" customWidth="1"/>
    <col min="88" max="88" width="23.6640625" customWidth="1"/>
    <col min="89" max="89" width="20.6640625" customWidth="1"/>
    <col min="90" max="90" width="18" customWidth="1"/>
    <col min="91" max="91" width="24.5" customWidth="1"/>
    <col min="92" max="92" width="21.83203125" customWidth="1"/>
    <col min="93" max="93" width="23.1640625" customWidth="1"/>
    <col min="94" max="95" width="18" customWidth="1"/>
    <col min="96" max="96" width="22" customWidth="1"/>
    <col min="97" max="97" width="19.5" customWidth="1"/>
    <col min="98" max="98" width="25.83203125" customWidth="1"/>
    <col min="99" max="99" width="23.33203125" customWidth="1"/>
    <col min="100" max="100" width="24.5" customWidth="1"/>
    <col min="101" max="101" width="20.6640625" customWidth="1"/>
    <col min="102" max="102" width="22.33203125" customWidth="1"/>
    <col min="103" max="105" width="23.1640625" customWidth="1"/>
    <col min="106" max="106" width="26.83203125" customWidth="1"/>
    <col min="107" max="107" width="20.1640625" customWidth="1"/>
    <col min="108" max="108" width="27.33203125" customWidth="1"/>
    <col min="109" max="109" width="23.1640625" customWidth="1"/>
    <col min="110" max="110" width="21.33203125" customWidth="1"/>
    <col min="111" max="111" width="20" customWidth="1"/>
    <col min="112" max="112" width="21.6640625" customWidth="1"/>
    <col min="113" max="113" width="19.83203125" customWidth="1"/>
  </cols>
  <sheetData>
    <row r="1" spans="1:113"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2" t="s">
        <v>111</v>
      </c>
    </row>
    <row r="2" spans="1:113" x14ac:dyDescent="0.2">
      <c r="A2" s="3" t="s">
        <v>121</v>
      </c>
      <c r="B2" s="4" t="s">
        <v>122</v>
      </c>
      <c r="C2" s="5" t="s">
        <v>123</v>
      </c>
      <c r="D2" s="6" t="s">
        <v>124</v>
      </c>
      <c r="E2" s="7" t="s">
        <v>125</v>
      </c>
      <c r="F2" s="8" t="s">
        <v>126</v>
      </c>
      <c r="G2" s="9" t="s">
        <v>127</v>
      </c>
      <c r="H2" s="10" t="s">
        <v>128</v>
      </c>
      <c r="I2" s="11" t="s">
        <v>129</v>
      </c>
      <c r="J2" s="12" t="s">
        <v>130</v>
      </c>
      <c r="K2" s="238" t="s">
        <v>131</v>
      </c>
      <c r="L2" s="14" t="s">
        <v>132</v>
      </c>
      <c r="M2" s="15" t="s">
        <v>133</v>
      </c>
      <c r="N2" s="16" t="s">
        <v>134</v>
      </c>
      <c r="O2" s="17" t="s">
        <v>135</v>
      </c>
      <c r="P2" s="18" t="s">
        <v>136</v>
      </c>
      <c r="Q2" s="19" t="s">
        <v>137</v>
      </c>
      <c r="R2" s="20" t="s">
        <v>138</v>
      </c>
      <c r="S2" s="21" t="s">
        <v>139</v>
      </c>
      <c r="T2" s="22" t="s">
        <v>140</v>
      </c>
      <c r="U2" s="23">
        <v>2</v>
      </c>
      <c r="V2" s="24" t="s">
        <v>121</v>
      </c>
      <c r="W2" s="25" t="s">
        <v>141</v>
      </c>
      <c r="X2" s="26">
        <v>42933</v>
      </c>
      <c r="Y2" s="27" t="s">
        <v>141</v>
      </c>
      <c r="Z2" s="28" t="s">
        <v>141</v>
      </c>
      <c r="AA2" s="29" t="s">
        <v>141</v>
      </c>
      <c r="AB2" s="30" t="s">
        <v>141</v>
      </c>
      <c r="AC2" s="31" t="s">
        <v>141</v>
      </c>
      <c r="AD2" s="32" t="s">
        <v>141</v>
      </c>
      <c r="AE2" s="33">
        <v>0.4</v>
      </c>
      <c r="AF2" s="34" t="s">
        <v>141</v>
      </c>
      <c r="AG2" s="35" t="s">
        <v>141</v>
      </c>
      <c r="AH2" s="36" t="s">
        <v>141</v>
      </c>
      <c r="AI2" s="37" t="s">
        <v>141</v>
      </c>
      <c r="AJ2" s="38" t="s">
        <v>142</v>
      </c>
      <c r="AK2" s="39" t="s">
        <v>141</v>
      </c>
      <c r="AL2" s="40" t="s">
        <v>141</v>
      </c>
      <c r="AM2" s="41" t="s">
        <v>143</v>
      </c>
      <c r="AN2" s="42" t="s">
        <v>144</v>
      </c>
      <c r="AO2" s="43" t="s">
        <v>141</v>
      </c>
      <c r="AP2" s="44" t="s">
        <v>145</v>
      </c>
      <c r="AQ2" s="45" t="s">
        <v>141</v>
      </c>
      <c r="AR2" s="46" t="s">
        <v>141</v>
      </c>
      <c r="AS2" s="47" t="s">
        <v>141</v>
      </c>
      <c r="AT2" s="48" t="s">
        <v>141</v>
      </c>
      <c r="AU2" s="49" t="s">
        <v>141</v>
      </c>
      <c r="AV2" s="50" t="s">
        <v>141</v>
      </c>
      <c r="AW2" s="51" t="s">
        <v>141</v>
      </c>
      <c r="AX2" s="52" t="s">
        <v>141</v>
      </c>
      <c r="AY2" s="53" t="s">
        <v>141</v>
      </c>
      <c r="AZ2" s="54" t="s">
        <v>141</v>
      </c>
      <c r="BA2" s="55" t="s">
        <v>146</v>
      </c>
      <c r="BB2" s="56" t="s">
        <v>133</v>
      </c>
      <c r="BC2" s="57" t="s">
        <v>132</v>
      </c>
      <c r="BD2" s="58">
        <v>35</v>
      </c>
      <c r="BE2" s="59">
        <v>1</v>
      </c>
      <c r="BF2" s="60" t="s">
        <v>147</v>
      </c>
      <c r="BG2" s="61">
        <v>1</v>
      </c>
      <c r="BH2" s="62" t="s">
        <v>141</v>
      </c>
      <c r="BI2" s="63" t="s">
        <v>141</v>
      </c>
      <c r="BJ2" s="64" t="s">
        <v>141</v>
      </c>
      <c r="BK2" s="65" t="s">
        <v>148</v>
      </c>
      <c r="BL2" s="66" t="s">
        <v>147</v>
      </c>
      <c r="BM2" s="67" t="s">
        <v>147</v>
      </c>
      <c r="BN2" s="68" t="s">
        <v>149</v>
      </c>
      <c r="BO2" s="69" t="s">
        <v>141</v>
      </c>
      <c r="BP2" s="70" t="s">
        <v>141</v>
      </c>
      <c r="BQ2" s="71" t="s">
        <v>141</v>
      </c>
      <c r="BR2" s="72" t="s">
        <v>141</v>
      </c>
      <c r="BS2" s="73" t="s">
        <v>141</v>
      </c>
      <c r="BT2" s="74" t="s">
        <v>141</v>
      </c>
      <c r="BU2" s="75" t="s">
        <v>141</v>
      </c>
      <c r="BV2" s="76" t="s">
        <v>141</v>
      </c>
      <c r="BW2" s="77" t="s">
        <v>141</v>
      </c>
      <c r="BX2" s="78">
        <v>1.5</v>
      </c>
      <c r="BY2" s="79">
        <v>328.57</v>
      </c>
      <c r="BZ2" s="80" t="s">
        <v>141</v>
      </c>
      <c r="CA2" s="81" t="s">
        <v>141</v>
      </c>
      <c r="CB2" s="82" t="s">
        <v>141</v>
      </c>
      <c r="CC2" s="83" t="s">
        <v>141</v>
      </c>
      <c r="CD2" s="84" t="s">
        <v>141</v>
      </c>
      <c r="CE2" s="85">
        <v>2017</v>
      </c>
      <c r="CF2" s="86" t="s">
        <v>141</v>
      </c>
      <c r="CG2" s="87" t="s">
        <v>141</v>
      </c>
      <c r="CH2" s="88" t="s">
        <v>141</v>
      </c>
      <c r="CI2" s="89" t="s">
        <v>141</v>
      </c>
      <c r="CJ2" s="90" t="s">
        <v>141</v>
      </c>
      <c r="CK2" s="91" t="s">
        <v>141</v>
      </c>
      <c r="CL2" s="92" t="s">
        <v>141</v>
      </c>
      <c r="CM2" s="93" t="s">
        <v>141</v>
      </c>
      <c r="CN2" s="94" t="s">
        <v>141</v>
      </c>
      <c r="CO2" s="95" t="s">
        <v>141</v>
      </c>
      <c r="CP2" s="96" t="s">
        <v>141</v>
      </c>
      <c r="CQ2" s="97" t="s">
        <v>141</v>
      </c>
      <c r="CR2" s="98" t="s">
        <v>141</v>
      </c>
      <c r="CS2" s="99" t="s">
        <v>141</v>
      </c>
      <c r="CT2" s="100" t="s">
        <v>141</v>
      </c>
      <c r="CU2" s="101" t="s">
        <v>141</v>
      </c>
      <c r="CV2" s="102" t="s">
        <v>141</v>
      </c>
      <c r="CW2" s="103" t="s">
        <v>141</v>
      </c>
      <c r="CX2" s="104">
        <v>31</v>
      </c>
      <c r="CY2" s="105" t="s">
        <v>150</v>
      </c>
      <c r="CZ2" s="106" t="s">
        <v>151</v>
      </c>
      <c r="DA2" s="107" t="s">
        <v>152</v>
      </c>
      <c r="DB2" s="108" t="s">
        <v>153</v>
      </c>
      <c r="DC2" s="109" t="s">
        <v>154</v>
      </c>
      <c r="DD2" s="110" t="s">
        <v>155</v>
      </c>
      <c r="DE2" s="111" t="s">
        <v>156</v>
      </c>
      <c r="DF2" s="112" t="s">
        <v>157</v>
      </c>
      <c r="DG2" s="113">
        <v>2015</v>
      </c>
      <c r="DH2" s="114" t="s">
        <v>158</v>
      </c>
      <c r="DI2" s="227" t="str">
        <f>HYPERLINK("https://my.pitchbook.com?c=102160-90T", "View company online")</f>
        <v>View company online</v>
      </c>
    </row>
    <row r="3" spans="1:113" x14ac:dyDescent="0.2">
      <c r="A3" s="115" t="s">
        <v>159</v>
      </c>
      <c r="B3" s="116" t="s">
        <v>160</v>
      </c>
      <c r="C3" s="117" t="s">
        <v>161</v>
      </c>
      <c r="D3" s="118" t="s">
        <v>162</v>
      </c>
      <c r="E3" s="119" t="s">
        <v>163</v>
      </c>
      <c r="F3" s="120" t="s">
        <v>164</v>
      </c>
      <c r="G3" s="121" t="s">
        <v>165</v>
      </c>
      <c r="H3" s="122" t="s">
        <v>166</v>
      </c>
      <c r="I3" s="123" t="s">
        <v>167</v>
      </c>
      <c r="J3" s="124" t="s">
        <v>168</v>
      </c>
      <c r="K3" s="239" t="s">
        <v>169</v>
      </c>
      <c r="L3" s="126" t="s">
        <v>132</v>
      </c>
      <c r="M3" s="127" t="s">
        <v>133</v>
      </c>
      <c r="N3" s="128" t="s">
        <v>170</v>
      </c>
      <c r="O3" s="129" t="s">
        <v>171</v>
      </c>
      <c r="P3" s="130" t="s">
        <v>172</v>
      </c>
      <c r="Q3" s="131" t="s">
        <v>173</v>
      </c>
      <c r="R3" s="132" t="s">
        <v>174</v>
      </c>
      <c r="S3" s="133" t="s">
        <v>175</v>
      </c>
      <c r="T3" s="134" t="s">
        <v>176</v>
      </c>
      <c r="U3" s="135">
        <v>2</v>
      </c>
      <c r="V3" s="136" t="s">
        <v>159</v>
      </c>
      <c r="W3" s="137" t="s">
        <v>141</v>
      </c>
      <c r="X3" s="138">
        <v>43542</v>
      </c>
      <c r="Y3" s="139">
        <v>0.13</v>
      </c>
      <c r="Z3" s="140" t="s">
        <v>177</v>
      </c>
      <c r="AA3" s="141" t="s">
        <v>141</v>
      </c>
      <c r="AB3" s="142" t="s">
        <v>141</v>
      </c>
      <c r="AC3" s="143" t="s">
        <v>141</v>
      </c>
      <c r="AD3" s="144">
        <v>7</v>
      </c>
      <c r="AE3" s="145" t="s">
        <v>141</v>
      </c>
      <c r="AF3" s="146" t="s">
        <v>141</v>
      </c>
      <c r="AG3" s="147" t="s">
        <v>141</v>
      </c>
      <c r="AH3" s="148" t="s">
        <v>141</v>
      </c>
      <c r="AI3" s="149" t="s">
        <v>141</v>
      </c>
      <c r="AJ3" s="150" t="s">
        <v>142</v>
      </c>
      <c r="AK3" s="151" t="s">
        <v>141</v>
      </c>
      <c r="AL3" s="152" t="s">
        <v>141</v>
      </c>
      <c r="AM3" s="153" t="s">
        <v>143</v>
      </c>
      <c r="AN3" s="154" t="s">
        <v>163</v>
      </c>
      <c r="AO3" s="155" t="s">
        <v>141</v>
      </c>
      <c r="AP3" s="156" t="s">
        <v>145</v>
      </c>
      <c r="AQ3" s="157" t="s">
        <v>141</v>
      </c>
      <c r="AR3" s="158" t="s">
        <v>141</v>
      </c>
      <c r="AS3" s="159" t="s">
        <v>141</v>
      </c>
      <c r="AT3" s="160" t="s">
        <v>141</v>
      </c>
      <c r="AU3" s="161" t="s">
        <v>141</v>
      </c>
      <c r="AV3" s="162" t="s">
        <v>141</v>
      </c>
      <c r="AW3" s="163" t="s">
        <v>141</v>
      </c>
      <c r="AX3" s="164" t="s">
        <v>141</v>
      </c>
      <c r="AY3" s="165" t="s">
        <v>141</v>
      </c>
      <c r="AZ3" s="166" t="s">
        <v>141</v>
      </c>
      <c r="BA3" s="167" t="s">
        <v>146</v>
      </c>
      <c r="BB3" s="168" t="s">
        <v>133</v>
      </c>
      <c r="BC3" s="169" t="s">
        <v>132</v>
      </c>
      <c r="BD3" s="170" t="s">
        <v>141</v>
      </c>
      <c r="BE3" s="171">
        <v>1</v>
      </c>
      <c r="BF3" s="172" t="s">
        <v>178</v>
      </c>
      <c r="BG3" s="173">
        <v>1</v>
      </c>
      <c r="BH3" s="174" t="s">
        <v>141</v>
      </c>
      <c r="BI3" s="175" t="s">
        <v>141</v>
      </c>
      <c r="BJ3" s="176" t="s">
        <v>141</v>
      </c>
      <c r="BK3" s="177" t="s">
        <v>179</v>
      </c>
      <c r="BL3" s="178" t="s">
        <v>178</v>
      </c>
      <c r="BM3" s="179" t="s">
        <v>178</v>
      </c>
      <c r="BN3" s="180" t="s">
        <v>141</v>
      </c>
      <c r="BO3" s="181" t="s">
        <v>141</v>
      </c>
      <c r="BP3" s="182" t="s">
        <v>141</v>
      </c>
      <c r="BQ3" s="183" t="s">
        <v>141</v>
      </c>
      <c r="BR3" s="184" t="s">
        <v>141</v>
      </c>
      <c r="BS3" s="185" t="s">
        <v>141</v>
      </c>
      <c r="BT3" s="186" t="s">
        <v>141</v>
      </c>
      <c r="BU3" s="187" t="s">
        <v>141</v>
      </c>
      <c r="BV3" s="188" t="s">
        <v>141</v>
      </c>
      <c r="BW3" s="189" t="s">
        <v>141</v>
      </c>
      <c r="BX3" s="190" t="s">
        <v>141</v>
      </c>
      <c r="BY3" s="191" t="s">
        <v>141</v>
      </c>
      <c r="BZ3" s="192" t="s">
        <v>141</v>
      </c>
      <c r="CA3" s="193" t="s">
        <v>141</v>
      </c>
      <c r="CB3" s="194" t="s">
        <v>141</v>
      </c>
      <c r="CC3" s="195" t="s">
        <v>141</v>
      </c>
      <c r="CD3" s="196" t="s">
        <v>141</v>
      </c>
      <c r="CE3" s="197" t="s">
        <v>141</v>
      </c>
      <c r="CF3" s="198" t="s">
        <v>141</v>
      </c>
      <c r="CG3" s="199" t="s">
        <v>141</v>
      </c>
      <c r="CH3" s="200" t="s">
        <v>141</v>
      </c>
      <c r="CI3" s="201" t="s">
        <v>141</v>
      </c>
      <c r="CJ3" s="202" t="s">
        <v>141</v>
      </c>
      <c r="CK3" s="203" t="s">
        <v>141</v>
      </c>
      <c r="CL3" s="204" t="s">
        <v>141</v>
      </c>
      <c r="CM3" s="205" t="s">
        <v>141</v>
      </c>
      <c r="CN3" s="206" t="s">
        <v>141</v>
      </c>
      <c r="CO3" s="207" t="s">
        <v>141</v>
      </c>
      <c r="CP3" s="208" t="s">
        <v>141</v>
      </c>
      <c r="CQ3" s="209" t="s">
        <v>141</v>
      </c>
      <c r="CR3" s="210" t="s">
        <v>141</v>
      </c>
      <c r="CS3" s="211" t="s">
        <v>141</v>
      </c>
      <c r="CT3" s="212" t="s">
        <v>141</v>
      </c>
      <c r="CU3" s="213" t="s">
        <v>141</v>
      </c>
      <c r="CV3" s="214" t="s">
        <v>141</v>
      </c>
      <c r="CW3" s="215" t="s">
        <v>141</v>
      </c>
      <c r="CX3" s="216" t="s">
        <v>141</v>
      </c>
      <c r="CY3" s="217" t="s">
        <v>150</v>
      </c>
      <c r="CZ3" s="218" t="s">
        <v>180</v>
      </c>
      <c r="DA3" s="219" t="s">
        <v>152</v>
      </c>
      <c r="DB3" s="220" t="s">
        <v>153</v>
      </c>
      <c r="DC3" s="221" t="s">
        <v>181</v>
      </c>
      <c r="DD3" s="222" t="s">
        <v>182</v>
      </c>
      <c r="DE3" s="223" t="s">
        <v>183</v>
      </c>
      <c r="DF3" s="224" t="s">
        <v>157</v>
      </c>
      <c r="DG3" s="225">
        <v>2017</v>
      </c>
      <c r="DH3" s="226" t="s">
        <v>184</v>
      </c>
      <c r="DI3" s="228" t="str">
        <f>HYPERLINK("https://my.pitchbook.com?c=140281-93T", "View company online")</f>
        <v>View company online</v>
      </c>
    </row>
    <row r="4" spans="1:113" x14ac:dyDescent="0.2">
      <c r="A4" s="3" t="s">
        <v>185</v>
      </c>
      <c r="B4" s="4" t="s">
        <v>186</v>
      </c>
      <c r="C4" s="5" t="s">
        <v>187</v>
      </c>
      <c r="D4" s="6" t="s">
        <v>188</v>
      </c>
      <c r="E4" s="7" t="s">
        <v>189</v>
      </c>
      <c r="F4" s="8" t="s">
        <v>164</v>
      </c>
      <c r="G4" s="9" t="s">
        <v>165</v>
      </c>
      <c r="H4" s="10" t="s">
        <v>190</v>
      </c>
      <c r="I4" s="11" t="s">
        <v>191</v>
      </c>
      <c r="J4" s="12" t="s">
        <v>168</v>
      </c>
      <c r="K4" s="13" t="s">
        <v>192</v>
      </c>
      <c r="L4" s="14" t="s">
        <v>193</v>
      </c>
      <c r="M4" s="15" t="s">
        <v>133</v>
      </c>
      <c r="N4" s="16" t="s">
        <v>170</v>
      </c>
      <c r="O4" s="17" t="s">
        <v>194</v>
      </c>
      <c r="P4" s="18" t="s">
        <v>195</v>
      </c>
      <c r="Q4" s="19" t="s">
        <v>141</v>
      </c>
      <c r="R4" s="20" t="s">
        <v>196</v>
      </c>
      <c r="S4" s="21" t="s">
        <v>197</v>
      </c>
      <c r="T4" s="22" t="s">
        <v>141</v>
      </c>
      <c r="U4" s="23">
        <v>1</v>
      </c>
      <c r="V4" s="24" t="s">
        <v>185</v>
      </c>
      <c r="W4" s="25" t="s">
        <v>141</v>
      </c>
      <c r="X4" s="26">
        <v>43101</v>
      </c>
      <c r="Y4" s="27" t="s">
        <v>141</v>
      </c>
      <c r="Z4" s="28" t="s">
        <v>141</v>
      </c>
      <c r="AA4" s="29" t="s">
        <v>141</v>
      </c>
      <c r="AB4" s="30" t="s">
        <v>141</v>
      </c>
      <c r="AC4" s="31" t="s">
        <v>141</v>
      </c>
      <c r="AD4" s="32" t="s">
        <v>141</v>
      </c>
      <c r="AE4" s="33" t="s">
        <v>141</v>
      </c>
      <c r="AF4" s="34" t="s">
        <v>141</v>
      </c>
      <c r="AG4" s="35" t="s">
        <v>141</v>
      </c>
      <c r="AH4" s="36" t="s">
        <v>141</v>
      </c>
      <c r="AI4" s="37" t="s">
        <v>141</v>
      </c>
      <c r="AJ4" s="38" t="s">
        <v>142</v>
      </c>
      <c r="AK4" s="39" t="s">
        <v>141</v>
      </c>
      <c r="AL4" s="40" t="s">
        <v>141</v>
      </c>
      <c r="AM4" s="41" t="s">
        <v>143</v>
      </c>
      <c r="AN4" s="42" t="s">
        <v>189</v>
      </c>
      <c r="AO4" s="43" t="s">
        <v>141</v>
      </c>
      <c r="AP4" s="44" t="s">
        <v>145</v>
      </c>
      <c r="AQ4" s="45" t="s">
        <v>141</v>
      </c>
      <c r="AR4" s="46" t="s">
        <v>141</v>
      </c>
      <c r="AS4" s="47" t="s">
        <v>141</v>
      </c>
      <c r="AT4" s="48" t="s">
        <v>141</v>
      </c>
      <c r="AU4" s="49" t="s">
        <v>141</v>
      </c>
      <c r="AV4" s="50" t="s">
        <v>141</v>
      </c>
      <c r="AW4" s="51" t="s">
        <v>141</v>
      </c>
      <c r="AX4" s="52" t="s">
        <v>141</v>
      </c>
      <c r="AY4" s="53" t="s">
        <v>141</v>
      </c>
      <c r="AZ4" s="54" t="s">
        <v>141</v>
      </c>
      <c r="BA4" s="55" t="s">
        <v>146</v>
      </c>
      <c r="BB4" s="56" t="s">
        <v>133</v>
      </c>
      <c r="BC4" s="57" t="s">
        <v>193</v>
      </c>
      <c r="BD4" s="58" t="s">
        <v>141</v>
      </c>
      <c r="BE4" s="59">
        <v>1</v>
      </c>
      <c r="BF4" s="60" t="s">
        <v>198</v>
      </c>
      <c r="BG4" s="61">
        <v>1</v>
      </c>
      <c r="BH4" s="62" t="s">
        <v>141</v>
      </c>
      <c r="BI4" s="63" t="s">
        <v>141</v>
      </c>
      <c r="BJ4" s="64" t="s">
        <v>141</v>
      </c>
      <c r="BK4" s="65" t="s">
        <v>199</v>
      </c>
      <c r="BL4" s="66" t="s">
        <v>198</v>
      </c>
      <c r="BM4" s="67" t="s">
        <v>198</v>
      </c>
      <c r="BN4" s="68" t="s">
        <v>141</v>
      </c>
      <c r="BO4" s="69" t="s">
        <v>141</v>
      </c>
      <c r="BP4" s="70" t="s">
        <v>141</v>
      </c>
      <c r="BQ4" s="71" t="s">
        <v>141</v>
      </c>
      <c r="BR4" s="72" t="s">
        <v>141</v>
      </c>
      <c r="BS4" s="73" t="s">
        <v>141</v>
      </c>
      <c r="BT4" s="74" t="s">
        <v>141</v>
      </c>
      <c r="BU4" s="75" t="s">
        <v>141</v>
      </c>
      <c r="BV4" s="76" t="s">
        <v>141</v>
      </c>
      <c r="BW4" s="77" t="s">
        <v>141</v>
      </c>
      <c r="BX4" s="78" t="s">
        <v>141</v>
      </c>
      <c r="BY4" s="79" t="s">
        <v>141</v>
      </c>
      <c r="BZ4" s="80" t="s">
        <v>141</v>
      </c>
      <c r="CA4" s="81" t="s">
        <v>141</v>
      </c>
      <c r="CB4" s="82" t="s">
        <v>141</v>
      </c>
      <c r="CC4" s="83" t="s">
        <v>141</v>
      </c>
      <c r="CD4" s="84" t="s">
        <v>141</v>
      </c>
      <c r="CE4" s="85" t="s">
        <v>141</v>
      </c>
      <c r="CF4" s="86" t="s">
        <v>141</v>
      </c>
      <c r="CG4" s="87" t="s">
        <v>141</v>
      </c>
      <c r="CH4" s="88" t="s">
        <v>141</v>
      </c>
      <c r="CI4" s="89" t="s">
        <v>141</v>
      </c>
      <c r="CJ4" s="90" t="s">
        <v>141</v>
      </c>
      <c r="CK4" s="91" t="s">
        <v>141</v>
      </c>
      <c r="CL4" s="92" t="s">
        <v>141</v>
      </c>
      <c r="CM4" s="93" t="s">
        <v>141</v>
      </c>
      <c r="CN4" s="94" t="s">
        <v>141</v>
      </c>
      <c r="CO4" s="95" t="s">
        <v>141</v>
      </c>
      <c r="CP4" s="96" t="s">
        <v>141</v>
      </c>
      <c r="CQ4" s="97" t="s">
        <v>141</v>
      </c>
      <c r="CR4" s="98" t="s">
        <v>141</v>
      </c>
      <c r="CS4" s="99" t="s">
        <v>141</v>
      </c>
      <c r="CT4" s="100" t="s">
        <v>141</v>
      </c>
      <c r="CU4" s="101" t="s">
        <v>141</v>
      </c>
      <c r="CV4" s="102" t="s">
        <v>141</v>
      </c>
      <c r="CW4" s="103" t="s">
        <v>141</v>
      </c>
      <c r="CX4" s="104" t="s">
        <v>141</v>
      </c>
      <c r="CY4" s="105" t="s">
        <v>150</v>
      </c>
      <c r="CZ4" s="106" t="s">
        <v>200</v>
      </c>
      <c r="DA4" s="107" t="s">
        <v>152</v>
      </c>
      <c r="DB4" s="108" t="s">
        <v>153</v>
      </c>
      <c r="DC4" s="109" t="s">
        <v>201</v>
      </c>
      <c r="DD4" s="110" t="s">
        <v>201</v>
      </c>
      <c r="DE4" s="111" t="s">
        <v>141</v>
      </c>
      <c r="DF4" s="112" t="s">
        <v>157</v>
      </c>
      <c r="DG4" s="113" t="s">
        <v>141</v>
      </c>
      <c r="DH4" s="114" t="s">
        <v>202</v>
      </c>
      <c r="DI4" s="227" t="str">
        <f>HYPERLINK("https://my.pitchbook.com?c=130583-26T", "View company online")</f>
        <v>View company online</v>
      </c>
    </row>
    <row r="5" spans="1:113" x14ac:dyDescent="0.2">
      <c r="A5" s="115" t="s">
        <v>203</v>
      </c>
      <c r="B5" s="116" t="s">
        <v>204</v>
      </c>
      <c r="C5" s="117" t="s">
        <v>205</v>
      </c>
      <c r="D5" s="118" t="s">
        <v>206</v>
      </c>
      <c r="E5" s="119" t="s">
        <v>207</v>
      </c>
      <c r="F5" s="120" t="s">
        <v>126</v>
      </c>
      <c r="G5" s="121" t="s">
        <v>208</v>
      </c>
      <c r="H5" s="122" t="s">
        <v>209</v>
      </c>
      <c r="I5" s="123" t="s">
        <v>210</v>
      </c>
      <c r="J5" s="124" t="s">
        <v>211</v>
      </c>
      <c r="K5" s="125" t="s">
        <v>212</v>
      </c>
      <c r="L5" s="126" t="s">
        <v>132</v>
      </c>
      <c r="M5" s="127" t="s">
        <v>133</v>
      </c>
      <c r="N5" s="128" t="s">
        <v>170</v>
      </c>
      <c r="O5" s="129" t="s">
        <v>213</v>
      </c>
      <c r="P5" s="130" t="s">
        <v>214</v>
      </c>
      <c r="Q5" s="131" t="s">
        <v>141</v>
      </c>
      <c r="R5" s="132" t="s">
        <v>141</v>
      </c>
      <c r="S5" s="133" t="s">
        <v>215</v>
      </c>
      <c r="T5" s="134" t="s">
        <v>216</v>
      </c>
      <c r="U5" s="135">
        <v>1</v>
      </c>
      <c r="V5" s="136" t="s">
        <v>203</v>
      </c>
      <c r="W5" s="137">
        <v>41344</v>
      </c>
      <c r="X5" s="138">
        <v>41382</v>
      </c>
      <c r="Y5" s="139">
        <v>0.05</v>
      </c>
      <c r="Z5" s="140" t="s">
        <v>177</v>
      </c>
      <c r="AA5" s="141" t="s">
        <v>141</v>
      </c>
      <c r="AB5" s="142" t="s">
        <v>141</v>
      </c>
      <c r="AC5" s="143" t="s">
        <v>141</v>
      </c>
      <c r="AD5" s="144" t="s">
        <v>141</v>
      </c>
      <c r="AE5" s="145">
        <v>0.05</v>
      </c>
      <c r="AF5" s="146" t="s">
        <v>141</v>
      </c>
      <c r="AG5" s="147" t="s">
        <v>141</v>
      </c>
      <c r="AH5" s="148" t="s">
        <v>141</v>
      </c>
      <c r="AI5" s="149" t="s">
        <v>141</v>
      </c>
      <c r="AJ5" s="150" t="s">
        <v>142</v>
      </c>
      <c r="AK5" s="151" t="s">
        <v>141</v>
      </c>
      <c r="AL5" s="152" t="s">
        <v>141</v>
      </c>
      <c r="AM5" s="153" t="s">
        <v>170</v>
      </c>
      <c r="AN5" s="154" t="s">
        <v>217</v>
      </c>
      <c r="AO5" s="155">
        <v>0.05</v>
      </c>
      <c r="AP5" s="156" t="s">
        <v>145</v>
      </c>
      <c r="AQ5" s="157" t="s">
        <v>141</v>
      </c>
      <c r="AR5" s="158" t="s">
        <v>141</v>
      </c>
      <c r="AS5" s="159" t="s">
        <v>141</v>
      </c>
      <c r="AT5" s="160" t="s">
        <v>141</v>
      </c>
      <c r="AU5" s="161" t="s">
        <v>141</v>
      </c>
      <c r="AV5" s="162" t="s">
        <v>141</v>
      </c>
      <c r="AW5" s="163" t="s">
        <v>141</v>
      </c>
      <c r="AX5" s="164" t="s">
        <v>141</v>
      </c>
      <c r="AY5" s="165" t="s">
        <v>141</v>
      </c>
      <c r="AZ5" s="166" t="s">
        <v>141</v>
      </c>
      <c r="BA5" s="167" t="s">
        <v>146</v>
      </c>
      <c r="BB5" s="168" t="s">
        <v>133</v>
      </c>
      <c r="BC5" s="169" t="s">
        <v>132</v>
      </c>
      <c r="BD5" s="170" t="s">
        <v>141</v>
      </c>
      <c r="BE5" s="171">
        <v>1</v>
      </c>
      <c r="BF5" s="172" t="s">
        <v>218</v>
      </c>
      <c r="BG5" s="173">
        <v>1</v>
      </c>
      <c r="BH5" s="174" t="s">
        <v>141</v>
      </c>
      <c r="BI5" s="175" t="s">
        <v>141</v>
      </c>
      <c r="BJ5" s="176" t="s">
        <v>141</v>
      </c>
      <c r="BK5" s="177" t="s">
        <v>219</v>
      </c>
      <c r="BL5" s="178" t="s">
        <v>220</v>
      </c>
      <c r="BM5" s="179" t="s">
        <v>220</v>
      </c>
      <c r="BN5" s="180" t="s">
        <v>141</v>
      </c>
      <c r="BO5" s="181" t="s">
        <v>141</v>
      </c>
      <c r="BP5" s="182" t="s">
        <v>141</v>
      </c>
      <c r="BQ5" s="183" t="s">
        <v>141</v>
      </c>
      <c r="BR5" s="184" t="s">
        <v>221</v>
      </c>
      <c r="BS5" s="185" t="s">
        <v>221</v>
      </c>
      <c r="BT5" s="186" t="s">
        <v>141</v>
      </c>
      <c r="BU5" s="187" t="s">
        <v>141</v>
      </c>
      <c r="BV5" s="188" t="s">
        <v>141</v>
      </c>
      <c r="BW5" s="189" t="s">
        <v>141</v>
      </c>
      <c r="BX5" s="190" t="s">
        <v>141</v>
      </c>
      <c r="BY5" s="191" t="s">
        <v>141</v>
      </c>
      <c r="BZ5" s="192" t="s">
        <v>141</v>
      </c>
      <c r="CA5" s="193" t="s">
        <v>141</v>
      </c>
      <c r="CB5" s="194" t="s">
        <v>141</v>
      </c>
      <c r="CC5" s="195" t="s">
        <v>141</v>
      </c>
      <c r="CD5" s="196" t="s">
        <v>141</v>
      </c>
      <c r="CE5" s="197" t="s">
        <v>141</v>
      </c>
      <c r="CF5" s="198" t="s">
        <v>141</v>
      </c>
      <c r="CG5" s="199" t="s">
        <v>141</v>
      </c>
      <c r="CH5" s="200" t="s">
        <v>141</v>
      </c>
      <c r="CI5" s="201" t="s">
        <v>141</v>
      </c>
      <c r="CJ5" s="202" t="s">
        <v>141</v>
      </c>
      <c r="CK5" s="203" t="s">
        <v>141</v>
      </c>
      <c r="CL5" s="204" t="s">
        <v>141</v>
      </c>
      <c r="CM5" s="205" t="s">
        <v>141</v>
      </c>
      <c r="CN5" s="206" t="s">
        <v>141</v>
      </c>
      <c r="CO5" s="207" t="s">
        <v>141</v>
      </c>
      <c r="CP5" s="208" t="s">
        <v>141</v>
      </c>
      <c r="CQ5" s="209" t="s">
        <v>141</v>
      </c>
      <c r="CR5" s="210" t="s">
        <v>141</v>
      </c>
      <c r="CS5" s="211" t="s">
        <v>141</v>
      </c>
      <c r="CT5" s="212" t="s">
        <v>141</v>
      </c>
      <c r="CU5" s="213" t="s">
        <v>141</v>
      </c>
      <c r="CV5" s="214" t="s">
        <v>141</v>
      </c>
      <c r="CW5" s="215" t="s">
        <v>141</v>
      </c>
      <c r="CX5" s="216">
        <v>4</v>
      </c>
      <c r="CY5" s="217" t="s">
        <v>150</v>
      </c>
      <c r="CZ5" s="218" t="s">
        <v>200</v>
      </c>
      <c r="DA5" s="219" t="s">
        <v>152</v>
      </c>
      <c r="DB5" s="220" t="s">
        <v>153</v>
      </c>
      <c r="DC5" s="221" t="s">
        <v>201</v>
      </c>
      <c r="DD5" s="222" t="s">
        <v>201</v>
      </c>
      <c r="DE5" s="223" t="s">
        <v>222</v>
      </c>
      <c r="DF5" s="224" t="s">
        <v>157</v>
      </c>
      <c r="DG5" s="225">
        <v>2012</v>
      </c>
      <c r="DH5" s="226" t="s">
        <v>223</v>
      </c>
      <c r="DI5" s="228" t="str">
        <f>HYPERLINK("https://my.pitchbook.com?c=37010-26T", "View company online")</f>
        <v>View company online</v>
      </c>
    </row>
    <row r="6" spans="1:113" x14ac:dyDescent="0.2">
      <c r="A6" s="3" t="s">
        <v>224</v>
      </c>
      <c r="B6" s="4" t="s">
        <v>225</v>
      </c>
      <c r="C6" s="5" t="s">
        <v>226</v>
      </c>
      <c r="D6" s="6" t="s">
        <v>227</v>
      </c>
      <c r="E6" s="7" t="s">
        <v>228</v>
      </c>
      <c r="F6" s="8" t="s">
        <v>164</v>
      </c>
      <c r="G6" s="9" t="s">
        <v>165</v>
      </c>
      <c r="H6" s="10" t="s">
        <v>190</v>
      </c>
      <c r="I6" s="11" t="s">
        <v>229</v>
      </c>
      <c r="J6" s="12" t="s">
        <v>130</v>
      </c>
      <c r="K6" s="13" t="s">
        <v>230</v>
      </c>
      <c r="L6" s="14" t="s">
        <v>193</v>
      </c>
      <c r="M6" s="15" t="s">
        <v>133</v>
      </c>
      <c r="N6" s="16" t="s">
        <v>231</v>
      </c>
      <c r="O6" s="17" t="s">
        <v>232</v>
      </c>
      <c r="P6" s="18" t="s">
        <v>233</v>
      </c>
      <c r="Q6" s="19" t="s">
        <v>234</v>
      </c>
      <c r="R6" s="20" t="s">
        <v>141</v>
      </c>
      <c r="S6" s="21" t="s">
        <v>235</v>
      </c>
      <c r="T6" s="22" t="s">
        <v>236</v>
      </c>
      <c r="U6" s="23">
        <v>1</v>
      </c>
      <c r="V6" s="24" t="s">
        <v>224</v>
      </c>
      <c r="W6" s="25" t="s">
        <v>141</v>
      </c>
      <c r="X6" s="26">
        <v>42194</v>
      </c>
      <c r="Y6" s="27" t="s">
        <v>141</v>
      </c>
      <c r="Z6" s="28" t="s">
        <v>141</v>
      </c>
      <c r="AA6" s="29" t="s">
        <v>141</v>
      </c>
      <c r="AB6" s="30" t="s">
        <v>141</v>
      </c>
      <c r="AC6" s="31" t="s">
        <v>141</v>
      </c>
      <c r="AD6" s="32">
        <v>2</v>
      </c>
      <c r="AE6" s="33" t="s">
        <v>141</v>
      </c>
      <c r="AF6" s="34" t="s">
        <v>141</v>
      </c>
      <c r="AG6" s="35" t="s">
        <v>141</v>
      </c>
      <c r="AH6" s="36" t="s">
        <v>141</v>
      </c>
      <c r="AI6" s="37" t="s">
        <v>141</v>
      </c>
      <c r="AJ6" s="38" t="s">
        <v>142</v>
      </c>
      <c r="AK6" s="39" t="s">
        <v>141</v>
      </c>
      <c r="AL6" s="40" t="s">
        <v>141</v>
      </c>
      <c r="AM6" s="41" t="s">
        <v>143</v>
      </c>
      <c r="AN6" s="42" t="s">
        <v>237</v>
      </c>
      <c r="AO6" s="43" t="s">
        <v>141</v>
      </c>
      <c r="AP6" s="44" t="s">
        <v>145</v>
      </c>
      <c r="AQ6" s="45" t="s">
        <v>141</v>
      </c>
      <c r="AR6" s="46" t="s">
        <v>141</v>
      </c>
      <c r="AS6" s="47" t="s">
        <v>141</v>
      </c>
      <c r="AT6" s="48" t="s">
        <v>141</v>
      </c>
      <c r="AU6" s="49" t="s">
        <v>141</v>
      </c>
      <c r="AV6" s="50" t="s">
        <v>141</v>
      </c>
      <c r="AW6" s="51" t="s">
        <v>141</v>
      </c>
      <c r="AX6" s="52" t="s">
        <v>141</v>
      </c>
      <c r="AY6" s="53" t="s">
        <v>141</v>
      </c>
      <c r="AZ6" s="54" t="s">
        <v>141</v>
      </c>
      <c r="BA6" s="55" t="s">
        <v>146</v>
      </c>
      <c r="BB6" s="56" t="s">
        <v>133</v>
      </c>
      <c r="BC6" s="57" t="s">
        <v>193</v>
      </c>
      <c r="BD6" s="58">
        <v>11</v>
      </c>
      <c r="BE6" s="59">
        <v>1</v>
      </c>
      <c r="BF6" s="60" t="s">
        <v>238</v>
      </c>
      <c r="BG6" s="61">
        <v>1</v>
      </c>
      <c r="BH6" s="62" t="s">
        <v>141</v>
      </c>
      <c r="BI6" s="63" t="s">
        <v>141</v>
      </c>
      <c r="BJ6" s="64" t="s">
        <v>141</v>
      </c>
      <c r="BK6" s="65" t="s">
        <v>239</v>
      </c>
      <c r="BL6" s="66" t="s">
        <v>238</v>
      </c>
      <c r="BM6" s="67" t="s">
        <v>238</v>
      </c>
      <c r="BN6" s="68" t="s">
        <v>141</v>
      </c>
      <c r="BO6" s="69" t="s">
        <v>141</v>
      </c>
      <c r="BP6" s="70" t="s">
        <v>141</v>
      </c>
      <c r="BQ6" s="71" t="s">
        <v>141</v>
      </c>
      <c r="BR6" s="72" t="s">
        <v>141</v>
      </c>
      <c r="BS6" s="73" t="s">
        <v>141</v>
      </c>
      <c r="BT6" s="74" t="s">
        <v>141</v>
      </c>
      <c r="BU6" s="75" t="s">
        <v>141</v>
      </c>
      <c r="BV6" s="76" t="s">
        <v>141</v>
      </c>
      <c r="BW6" s="77" t="s">
        <v>141</v>
      </c>
      <c r="BX6" s="78" t="s">
        <v>141</v>
      </c>
      <c r="BY6" s="79" t="s">
        <v>141</v>
      </c>
      <c r="BZ6" s="80" t="s">
        <v>141</v>
      </c>
      <c r="CA6" s="81" t="s">
        <v>141</v>
      </c>
      <c r="CB6" s="82" t="s">
        <v>141</v>
      </c>
      <c r="CC6" s="83" t="s">
        <v>141</v>
      </c>
      <c r="CD6" s="84" t="s">
        <v>141</v>
      </c>
      <c r="CE6" s="85" t="s">
        <v>141</v>
      </c>
      <c r="CF6" s="86" t="s">
        <v>141</v>
      </c>
      <c r="CG6" s="87" t="s">
        <v>141</v>
      </c>
      <c r="CH6" s="88" t="s">
        <v>141</v>
      </c>
      <c r="CI6" s="89" t="s">
        <v>141</v>
      </c>
      <c r="CJ6" s="90" t="s">
        <v>141</v>
      </c>
      <c r="CK6" s="91" t="s">
        <v>141</v>
      </c>
      <c r="CL6" s="92" t="s">
        <v>141</v>
      </c>
      <c r="CM6" s="93" t="s">
        <v>141</v>
      </c>
      <c r="CN6" s="94" t="s">
        <v>141</v>
      </c>
      <c r="CO6" s="95" t="s">
        <v>141</v>
      </c>
      <c r="CP6" s="96" t="s">
        <v>141</v>
      </c>
      <c r="CQ6" s="97" t="s">
        <v>141</v>
      </c>
      <c r="CR6" s="98" t="s">
        <v>141</v>
      </c>
      <c r="CS6" s="99" t="s">
        <v>141</v>
      </c>
      <c r="CT6" s="100" t="s">
        <v>141</v>
      </c>
      <c r="CU6" s="101" t="s">
        <v>141</v>
      </c>
      <c r="CV6" s="102" t="s">
        <v>141</v>
      </c>
      <c r="CW6" s="103" t="s">
        <v>141</v>
      </c>
      <c r="CX6" s="104">
        <v>11</v>
      </c>
      <c r="CY6" s="105" t="s">
        <v>150</v>
      </c>
      <c r="CZ6" s="106" t="s">
        <v>240</v>
      </c>
      <c r="DA6" s="107" t="s">
        <v>152</v>
      </c>
      <c r="DB6" s="108" t="s">
        <v>153</v>
      </c>
      <c r="DC6" s="109" t="s">
        <v>241</v>
      </c>
      <c r="DD6" s="110" t="s">
        <v>242</v>
      </c>
      <c r="DE6" s="111" t="s">
        <v>141</v>
      </c>
      <c r="DF6" s="112" t="s">
        <v>157</v>
      </c>
      <c r="DG6" s="113">
        <v>2014</v>
      </c>
      <c r="DH6" s="114" t="s">
        <v>243</v>
      </c>
      <c r="DI6" s="227" t="str">
        <f>HYPERLINK("https://my.pitchbook.com?c=98889-76T", "View company online")</f>
        <v>View company online</v>
      </c>
    </row>
    <row r="7" spans="1:113" x14ac:dyDescent="0.2">
      <c r="A7" s="115" t="s">
        <v>244</v>
      </c>
      <c r="B7" s="116" t="s">
        <v>225</v>
      </c>
      <c r="C7" s="117" t="s">
        <v>226</v>
      </c>
      <c r="D7" s="118" t="s">
        <v>227</v>
      </c>
      <c r="E7" s="119" t="s">
        <v>228</v>
      </c>
      <c r="F7" s="239" t="s">
        <v>164</v>
      </c>
      <c r="G7" s="121" t="s">
        <v>165</v>
      </c>
      <c r="H7" s="122" t="s">
        <v>190</v>
      </c>
      <c r="I7" s="123" t="s">
        <v>229</v>
      </c>
      <c r="J7" s="124" t="s">
        <v>130</v>
      </c>
      <c r="K7" s="125" t="s">
        <v>230</v>
      </c>
      <c r="L7" s="126" t="s">
        <v>193</v>
      </c>
      <c r="M7" s="127" t="s">
        <v>133</v>
      </c>
      <c r="N7" s="128" t="s">
        <v>231</v>
      </c>
      <c r="O7" s="129" t="s">
        <v>232</v>
      </c>
      <c r="P7" s="130" t="s">
        <v>233</v>
      </c>
      <c r="Q7" s="131" t="s">
        <v>234</v>
      </c>
      <c r="R7" s="132" t="s">
        <v>141</v>
      </c>
      <c r="S7" s="133" t="s">
        <v>235</v>
      </c>
      <c r="T7" s="134" t="s">
        <v>236</v>
      </c>
      <c r="U7" s="135">
        <v>3</v>
      </c>
      <c r="V7" s="136" t="s">
        <v>244</v>
      </c>
      <c r="W7" s="137" t="s">
        <v>141</v>
      </c>
      <c r="X7" s="138">
        <v>42391</v>
      </c>
      <c r="Y7" s="139" t="s">
        <v>141</v>
      </c>
      <c r="Z7" s="140" t="s">
        <v>141</v>
      </c>
      <c r="AA7" s="141" t="s">
        <v>141</v>
      </c>
      <c r="AB7" s="142" t="s">
        <v>141</v>
      </c>
      <c r="AC7" s="143" t="s">
        <v>141</v>
      </c>
      <c r="AD7" s="144" t="s">
        <v>141</v>
      </c>
      <c r="AE7" s="145">
        <v>1.3</v>
      </c>
      <c r="AF7" s="146" t="s">
        <v>141</v>
      </c>
      <c r="AG7" s="147" t="s">
        <v>141</v>
      </c>
      <c r="AH7" s="148" t="s">
        <v>141</v>
      </c>
      <c r="AI7" s="149" t="s">
        <v>141</v>
      </c>
      <c r="AJ7" s="150" t="s">
        <v>142</v>
      </c>
      <c r="AK7" s="151" t="s">
        <v>141</v>
      </c>
      <c r="AL7" s="152" t="s">
        <v>141</v>
      </c>
      <c r="AM7" s="153" t="s">
        <v>143</v>
      </c>
      <c r="AN7" s="154" t="s">
        <v>228</v>
      </c>
      <c r="AO7" s="155" t="s">
        <v>141</v>
      </c>
      <c r="AP7" s="156" t="s">
        <v>145</v>
      </c>
      <c r="AQ7" s="157" t="s">
        <v>141</v>
      </c>
      <c r="AR7" s="158" t="s">
        <v>141</v>
      </c>
      <c r="AS7" s="159" t="s">
        <v>141</v>
      </c>
      <c r="AT7" s="160" t="s">
        <v>141</v>
      </c>
      <c r="AU7" s="161" t="s">
        <v>141</v>
      </c>
      <c r="AV7" s="162" t="s">
        <v>141</v>
      </c>
      <c r="AW7" s="163" t="s">
        <v>141</v>
      </c>
      <c r="AX7" s="164" t="s">
        <v>141</v>
      </c>
      <c r="AY7" s="165" t="s">
        <v>141</v>
      </c>
      <c r="AZ7" s="166" t="s">
        <v>141</v>
      </c>
      <c r="BA7" s="167" t="s">
        <v>146</v>
      </c>
      <c r="BB7" s="168" t="s">
        <v>133</v>
      </c>
      <c r="BC7" s="169" t="s">
        <v>193</v>
      </c>
      <c r="BD7" s="170">
        <v>11</v>
      </c>
      <c r="BE7" s="171">
        <v>1</v>
      </c>
      <c r="BF7" s="172" t="s">
        <v>245</v>
      </c>
      <c r="BG7" s="173">
        <v>1</v>
      </c>
      <c r="BH7" s="174" t="s">
        <v>141</v>
      </c>
      <c r="BI7" s="175" t="s">
        <v>141</v>
      </c>
      <c r="BJ7" s="176" t="s">
        <v>141</v>
      </c>
      <c r="BK7" s="177" t="s">
        <v>246</v>
      </c>
      <c r="BL7" s="178" t="s">
        <v>245</v>
      </c>
      <c r="BM7" s="179" t="s">
        <v>245</v>
      </c>
      <c r="BN7" s="180" t="s">
        <v>141</v>
      </c>
      <c r="BO7" s="181" t="s">
        <v>141</v>
      </c>
      <c r="BP7" s="182" t="s">
        <v>141</v>
      </c>
      <c r="BQ7" s="183" t="s">
        <v>141</v>
      </c>
      <c r="BR7" s="184" t="s">
        <v>141</v>
      </c>
      <c r="BS7" s="185" t="s">
        <v>141</v>
      </c>
      <c r="BT7" s="186" t="s">
        <v>141</v>
      </c>
      <c r="BU7" s="187" t="s">
        <v>141</v>
      </c>
      <c r="BV7" s="188" t="s">
        <v>141</v>
      </c>
      <c r="BW7" s="189" t="s">
        <v>141</v>
      </c>
      <c r="BX7" s="190" t="s">
        <v>141</v>
      </c>
      <c r="BY7" s="191" t="s">
        <v>141</v>
      </c>
      <c r="BZ7" s="192" t="s">
        <v>141</v>
      </c>
      <c r="CA7" s="193" t="s">
        <v>141</v>
      </c>
      <c r="CB7" s="194" t="s">
        <v>141</v>
      </c>
      <c r="CC7" s="195" t="s">
        <v>141</v>
      </c>
      <c r="CD7" s="196" t="s">
        <v>141</v>
      </c>
      <c r="CE7" s="197" t="s">
        <v>141</v>
      </c>
      <c r="CF7" s="198" t="s">
        <v>141</v>
      </c>
      <c r="CG7" s="199" t="s">
        <v>141</v>
      </c>
      <c r="CH7" s="200" t="s">
        <v>141</v>
      </c>
      <c r="CI7" s="201" t="s">
        <v>141</v>
      </c>
      <c r="CJ7" s="202" t="s">
        <v>141</v>
      </c>
      <c r="CK7" s="203" t="s">
        <v>141</v>
      </c>
      <c r="CL7" s="204" t="s">
        <v>141</v>
      </c>
      <c r="CM7" s="205" t="s">
        <v>141</v>
      </c>
      <c r="CN7" s="206" t="s">
        <v>141</v>
      </c>
      <c r="CO7" s="207" t="s">
        <v>141</v>
      </c>
      <c r="CP7" s="208" t="s">
        <v>141</v>
      </c>
      <c r="CQ7" s="209" t="s">
        <v>141</v>
      </c>
      <c r="CR7" s="210" t="s">
        <v>141</v>
      </c>
      <c r="CS7" s="211" t="s">
        <v>141</v>
      </c>
      <c r="CT7" s="212" t="s">
        <v>141</v>
      </c>
      <c r="CU7" s="213" t="s">
        <v>141</v>
      </c>
      <c r="CV7" s="214" t="s">
        <v>141</v>
      </c>
      <c r="CW7" s="215" t="s">
        <v>141</v>
      </c>
      <c r="CX7" s="216">
        <v>11</v>
      </c>
      <c r="CY7" s="217" t="s">
        <v>150</v>
      </c>
      <c r="CZ7" s="218" t="s">
        <v>240</v>
      </c>
      <c r="DA7" s="219" t="s">
        <v>152</v>
      </c>
      <c r="DB7" s="220" t="s">
        <v>153</v>
      </c>
      <c r="DC7" s="221" t="s">
        <v>241</v>
      </c>
      <c r="DD7" s="222" t="s">
        <v>242</v>
      </c>
      <c r="DE7" s="223" t="s">
        <v>141</v>
      </c>
      <c r="DF7" s="224" t="s">
        <v>157</v>
      </c>
      <c r="DG7" s="225">
        <v>2014</v>
      </c>
      <c r="DH7" s="226" t="s">
        <v>243</v>
      </c>
      <c r="DI7" s="228" t="str">
        <f>HYPERLINK("https://my.pitchbook.com?c=98889-94T", "View company online")</f>
        <v>View company online</v>
      </c>
    </row>
    <row r="8" spans="1:113" x14ac:dyDescent="0.2">
      <c r="A8" s="3" t="s">
        <v>247</v>
      </c>
      <c r="B8" s="4" t="s">
        <v>248</v>
      </c>
      <c r="C8" s="5" t="s">
        <v>249</v>
      </c>
      <c r="D8" s="6" t="s">
        <v>250</v>
      </c>
      <c r="E8" s="7" t="s">
        <v>251</v>
      </c>
      <c r="F8" s="8" t="s">
        <v>126</v>
      </c>
      <c r="G8" s="9" t="s">
        <v>252</v>
      </c>
      <c r="H8" s="10" t="s">
        <v>253</v>
      </c>
      <c r="I8" s="11" t="s">
        <v>254</v>
      </c>
      <c r="J8" s="12" t="s">
        <v>255</v>
      </c>
      <c r="K8" s="13" t="s">
        <v>256</v>
      </c>
      <c r="L8" s="14" t="s">
        <v>132</v>
      </c>
      <c r="M8" s="15" t="s">
        <v>133</v>
      </c>
      <c r="N8" s="16" t="s">
        <v>170</v>
      </c>
      <c r="O8" s="17" t="s">
        <v>257</v>
      </c>
      <c r="P8" s="18" t="s">
        <v>258</v>
      </c>
      <c r="Q8" s="19" t="s">
        <v>141</v>
      </c>
      <c r="R8" s="20" t="s">
        <v>259</v>
      </c>
      <c r="S8" s="21" t="s">
        <v>260</v>
      </c>
      <c r="T8" s="22" t="s">
        <v>261</v>
      </c>
      <c r="U8" s="23">
        <v>1</v>
      </c>
      <c r="V8" s="24" t="s">
        <v>247</v>
      </c>
      <c r="W8" s="25" t="s">
        <v>141</v>
      </c>
      <c r="X8" s="26">
        <v>41347</v>
      </c>
      <c r="Y8" s="27">
        <v>0.1</v>
      </c>
      <c r="Z8" s="28" t="s">
        <v>177</v>
      </c>
      <c r="AA8" s="29" t="s">
        <v>141</v>
      </c>
      <c r="AB8" s="30" t="s">
        <v>141</v>
      </c>
      <c r="AC8" s="31" t="s">
        <v>141</v>
      </c>
      <c r="AD8" s="32" t="s">
        <v>141</v>
      </c>
      <c r="AE8" s="33">
        <v>0.1</v>
      </c>
      <c r="AF8" s="34" t="s">
        <v>141</v>
      </c>
      <c r="AG8" s="35" t="s">
        <v>141</v>
      </c>
      <c r="AH8" s="36" t="s">
        <v>141</v>
      </c>
      <c r="AI8" s="37" t="s">
        <v>141</v>
      </c>
      <c r="AJ8" s="38" t="s">
        <v>142</v>
      </c>
      <c r="AK8" s="39" t="s">
        <v>141</v>
      </c>
      <c r="AL8" s="40" t="s">
        <v>141</v>
      </c>
      <c r="AM8" s="41" t="s">
        <v>143</v>
      </c>
      <c r="AN8" s="42" t="s">
        <v>262</v>
      </c>
      <c r="AO8" s="43">
        <v>0.1</v>
      </c>
      <c r="AP8" s="44" t="s">
        <v>145</v>
      </c>
      <c r="AQ8" s="45" t="s">
        <v>141</v>
      </c>
      <c r="AR8" s="46" t="s">
        <v>141</v>
      </c>
      <c r="AS8" s="47" t="s">
        <v>141</v>
      </c>
      <c r="AT8" s="48" t="s">
        <v>141</v>
      </c>
      <c r="AU8" s="49" t="s">
        <v>141</v>
      </c>
      <c r="AV8" s="50" t="s">
        <v>141</v>
      </c>
      <c r="AW8" s="51" t="s">
        <v>141</v>
      </c>
      <c r="AX8" s="52" t="s">
        <v>141</v>
      </c>
      <c r="AY8" s="53" t="s">
        <v>141</v>
      </c>
      <c r="AZ8" s="54" t="s">
        <v>141</v>
      </c>
      <c r="BA8" s="55" t="s">
        <v>146</v>
      </c>
      <c r="BB8" s="56" t="s">
        <v>263</v>
      </c>
      <c r="BC8" s="57" t="s">
        <v>193</v>
      </c>
      <c r="BD8" s="58" t="s">
        <v>141</v>
      </c>
      <c r="BE8" s="59">
        <v>1</v>
      </c>
      <c r="BF8" s="60" t="s">
        <v>178</v>
      </c>
      <c r="BG8" s="61">
        <v>1</v>
      </c>
      <c r="BH8" s="62" t="s">
        <v>141</v>
      </c>
      <c r="BI8" s="63" t="s">
        <v>141</v>
      </c>
      <c r="BJ8" s="64" t="s">
        <v>141</v>
      </c>
      <c r="BK8" s="65" t="s">
        <v>179</v>
      </c>
      <c r="BL8" s="66" t="s">
        <v>178</v>
      </c>
      <c r="BM8" s="67" t="s">
        <v>178</v>
      </c>
      <c r="BN8" s="68" t="s">
        <v>264</v>
      </c>
      <c r="BO8" s="69" t="s">
        <v>141</v>
      </c>
      <c r="BP8" s="70" t="s">
        <v>141</v>
      </c>
      <c r="BQ8" s="71" t="s">
        <v>141</v>
      </c>
      <c r="BR8" s="72" t="s">
        <v>141</v>
      </c>
      <c r="BS8" s="73" t="s">
        <v>141</v>
      </c>
      <c r="BT8" s="74" t="s">
        <v>141</v>
      </c>
      <c r="BU8" s="75" t="s">
        <v>141</v>
      </c>
      <c r="BV8" s="76" t="s">
        <v>141</v>
      </c>
      <c r="BW8" s="77" t="s">
        <v>141</v>
      </c>
      <c r="BX8" s="78" t="s">
        <v>141</v>
      </c>
      <c r="BY8" s="79" t="s">
        <v>141</v>
      </c>
      <c r="BZ8" s="80" t="s">
        <v>141</v>
      </c>
      <c r="CA8" s="81" t="s">
        <v>141</v>
      </c>
      <c r="CB8" s="82" t="s">
        <v>141</v>
      </c>
      <c r="CC8" s="83" t="s">
        <v>141</v>
      </c>
      <c r="CD8" s="84" t="s">
        <v>141</v>
      </c>
      <c r="CE8" s="85" t="s">
        <v>141</v>
      </c>
      <c r="CF8" s="86" t="s">
        <v>141</v>
      </c>
      <c r="CG8" s="87" t="s">
        <v>141</v>
      </c>
      <c r="CH8" s="88" t="s">
        <v>141</v>
      </c>
      <c r="CI8" s="89" t="s">
        <v>141</v>
      </c>
      <c r="CJ8" s="90" t="s">
        <v>141</v>
      </c>
      <c r="CK8" s="91" t="s">
        <v>141</v>
      </c>
      <c r="CL8" s="92" t="s">
        <v>141</v>
      </c>
      <c r="CM8" s="93" t="s">
        <v>141</v>
      </c>
      <c r="CN8" s="94" t="s">
        <v>141</v>
      </c>
      <c r="CO8" s="95" t="s">
        <v>141</v>
      </c>
      <c r="CP8" s="96" t="s">
        <v>141</v>
      </c>
      <c r="CQ8" s="97" t="s">
        <v>141</v>
      </c>
      <c r="CR8" s="98" t="s">
        <v>141</v>
      </c>
      <c r="CS8" s="99" t="s">
        <v>141</v>
      </c>
      <c r="CT8" s="100" t="s">
        <v>141</v>
      </c>
      <c r="CU8" s="101" t="s">
        <v>141</v>
      </c>
      <c r="CV8" s="102" t="s">
        <v>141</v>
      </c>
      <c r="CW8" s="103" t="s">
        <v>141</v>
      </c>
      <c r="CX8" s="104">
        <v>45</v>
      </c>
      <c r="CY8" s="105" t="s">
        <v>150</v>
      </c>
      <c r="CZ8" s="106" t="s">
        <v>180</v>
      </c>
      <c r="DA8" s="107" t="s">
        <v>152</v>
      </c>
      <c r="DB8" s="108" t="s">
        <v>153</v>
      </c>
      <c r="DC8" s="109" t="s">
        <v>181</v>
      </c>
      <c r="DD8" s="110" t="s">
        <v>182</v>
      </c>
      <c r="DE8" s="111" t="s">
        <v>265</v>
      </c>
      <c r="DF8" s="112" t="s">
        <v>157</v>
      </c>
      <c r="DG8" s="113">
        <v>2013</v>
      </c>
      <c r="DH8" s="114" t="s">
        <v>266</v>
      </c>
      <c r="DI8" s="227" t="str">
        <f>HYPERLINK("https://my.pitchbook.com?c=24984-19T", "View company online")</f>
        <v>View company online</v>
      </c>
    </row>
    <row r="9" spans="1:113" x14ac:dyDescent="0.2">
      <c r="A9" s="115" t="s">
        <v>267</v>
      </c>
      <c r="B9" s="116" t="s">
        <v>268</v>
      </c>
      <c r="C9" s="117" t="s">
        <v>269</v>
      </c>
      <c r="D9" s="118" t="s">
        <v>270</v>
      </c>
      <c r="E9" s="119" t="s">
        <v>271</v>
      </c>
      <c r="F9" s="120" t="s">
        <v>126</v>
      </c>
      <c r="G9" s="121" t="s">
        <v>127</v>
      </c>
      <c r="H9" s="122" t="s">
        <v>128</v>
      </c>
      <c r="I9" s="123" t="s">
        <v>272</v>
      </c>
      <c r="J9" s="124" t="s">
        <v>273</v>
      </c>
      <c r="K9" s="125" t="s">
        <v>274</v>
      </c>
      <c r="L9" s="126" t="s">
        <v>132</v>
      </c>
      <c r="M9" s="127" t="s">
        <v>133</v>
      </c>
      <c r="N9" s="128" t="s">
        <v>170</v>
      </c>
      <c r="O9" s="129" t="s">
        <v>275</v>
      </c>
      <c r="P9" s="130" t="s">
        <v>276</v>
      </c>
      <c r="Q9" s="131" t="s">
        <v>277</v>
      </c>
      <c r="R9" s="132" t="s">
        <v>278</v>
      </c>
      <c r="S9" s="133" t="s">
        <v>279</v>
      </c>
      <c r="T9" s="134" t="s">
        <v>280</v>
      </c>
      <c r="U9" s="135">
        <v>3</v>
      </c>
      <c r="V9" s="136" t="s">
        <v>267</v>
      </c>
      <c r="W9" s="137" t="s">
        <v>141</v>
      </c>
      <c r="X9" s="138">
        <v>41791</v>
      </c>
      <c r="Y9" s="139">
        <v>0.12</v>
      </c>
      <c r="Z9" s="140" t="s">
        <v>177</v>
      </c>
      <c r="AA9" s="141" t="s">
        <v>141</v>
      </c>
      <c r="AB9" s="142" t="s">
        <v>141</v>
      </c>
      <c r="AC9" s="143" t="s">
        <v>141</v>
      </c>
      <c r="AD9" s="144">
        <v>6</v>
      </c>
      <c r="AE9" s="145">
        <v>0.12</v>
      </c>
      <c r="AF9" s="146" t="s">
        <v>141</v>
      </c>
      <c r="AG9" s="147" t="s">
        <v>141</v>
      </c>
      <c r="AH9" s="148" t="s">
        <v>141</v>
      </c>
      <c r="AI9" s="149" t="s">
        <v>141</v>
      </c>
      <c r="AJ9" s="150" t="s">
        <v>142</v>
      </c>
      <c r="AK9" s="151" t="s">
        <v>141</v>
      </c>
      <c r="AL9" s="152" t="s">
        <v>141</v>
      </c>
      <c r="AM9" s="153" t="s">
        <v>143</v>
      </c>
      <c r="AN9" s="154" t="s">
        <v>271</v>
      </c>
      <c r="AO9" s="155">
        <v>0.02</v>
      </c>
      <c r="AP9" s="156" t="s">
        <v>145</v>
      </c>
      <c r="AQ9" s="157" t="s">
        <v>141</v>
      </c>
      <c r="AR9" s="158" t="s">
        <v>141</v>
      </c>
      <c r="AS9" s="159" t="s">
        <v>281</v>
      </c>
      <c r="AT9" s="160" t="s">
        <v>141</v>
      </c>
      <c r="AU9" s="161" t="s">
        <v>141</v>
      </c>
      <c r="AV9" s="162">
        <v>0.1</v>
      </c>
      <c r="AW9" s="163" t="s">
        <v>141</v>
      </c>
      <c r="AX9" s="164" t="s">
        <v>141</v>
      </c>
      <c r="AY9" s="165">
        <v>0.1</v>
      </c>
      <c r="AZ9" s="166" t="s">
        <v>141</v>
      </c>
      <c r="BA9" s="167" t="s">
        <v>146</v>
      </c>
      <c r="BB9" s="168" t="s">
        <v>133</v>
      </c>
      <c r="BC9" s="169" t="s">
        <v>132</v>
      </c>
      <c r="BD9" s="170">
        <v>6</v>
      </c>
      <c r="BE9" s="171">
        <v>2</v>
      </c>
      <c r="BF9" s="172" t="s">
        <v>282</v>
      </c>
      <c r="BG9" s="173">
        <v>2</v>
      </c>
      <c r="BH9" s="174" t="s">
        <v>141</v>
      </c>
      <c r="BI9" s="175" t="s">
        <v>141</v>
      </c>
      <c r="BJ9" s="176" t="s">
        <v>141</v>
      </c>
      <c r="BK9" s="177" t="s">
        <v>148</v>
      </c>
      <c r="BL9" s="178" t="s">
        <v>282</v>
      </c>
      <c r="BM9" s="179" t="s">
        <v>141</v>
      </c>
      <c r="BN9" s="180" t="s">
        <v>141</v>
      </c>
      <c r="BO9" s="181" t="s">
        <v>141</v>
      </c>
      <c r="BP9" s="182" t="s">
        <v>141</v>
      </c>
      <c r="BQ9" s="183" t="s">
        <v>141</v>
      </c>
      <c r="BR9" s="184" t="s">
        <v>141</v>
      </c>
      <c r="BS9" s="185" t="s">
        <v>141</v>
      </c>
      <c r="BT9" s="186" t="s">
        <v>141</v>
      </c>
      <c r="BU9" s="187" t="s">
        <v>141</v>
      </c>
      <c r="BV9" s="188" t="s">
        <v>141</v>
      </c>
      <c r="BW9" s="189" t="s">
        <v>141</v>
      </c>
      <c r="BX9" s="190" t="s">
        <v>141</v>
      </c>
      <c r="BY9" s="191" t="s">
        <v>141</v>
      </c>
      <c r="BZ9" s="192" t="s">
        <v>141</v>
      </c>
      <c r="CA9" s="193" t="s">
        <v>141</v>
      </c>
      <c r="CB9" s="194" t="s">
        <v>141</v>
      </c>
      <c r="CC9" s="195" t="s">
        <v>141</v>
      </c>
      <c r="CD9" s="196" t="s">
        <v>141</v>
      </c>
      <c r="CE9" s="197" t="s">
        <v>141</v>
      </c>
      <c r="CF9" s="198" t="s">
        <v>141</v>
      </c>
      <c r="CG9" s="199" t="s">
        <v>141</v>
      </c>
      <c r="CH9" s="200" t="s">
        <v>141</v>
      </c>
      <c r="CI9" s="201" t="s">
        <v>141</v>
      </c>
      <c r="CJ9" s="202" t="s">
        <v>141</v>
      </c>
      <c r="CK9" s="203" t="s">
        <v>141</v>
      </c>
      <c r="CL9" s="204" t="s">
        <v>141</v>
      </c>
      <c r="CM9" s="205" t="s">
        <v>141</v>
      </c>
      <c r="CN9" s="206" t="s">
        <v>141</v>
      </c>
      <c r="CO9" s="207" t="s">
        <v>141</v>
      </c>
      <c r="CP9" s="208" t="s">
        <v>141</v>
      </c>
      <c r="CQ9" s="209">
        <v>5.56</v>
      </c>
      <c r="CR9" s="210" t="s">
        <v>141</v>
      </c>
      <c r="CS9" s="211" t="s">
        <v>141</v>
      </c>
      <c r="CT9" s="212" t="s">
        <v>141</v>
      </c>
      <c r="CU9" s="213" t="s">
        <v>141</v>
      </c>
      <c r="CV9" s="214" t="s">
        <v>141</v>
      </c>
      <c r="CW9" s="215" t="s">
        <v>141</v>
      </c>
      <c r="CX9" s="216">
        <v>6</v>
      </c>
      <c r="CY9" s="217" t="s">
        <v>150</v>
      </c>
      <c r="CZ9" s="218" t="s">
        <v>240</v>
      </c>
      <c r="DA9" s="219" t="s">
        <v>152</v>
      </c>
      <c r="DB9" s="220" t="s">
        <v>153</v>
      </c>
      <c r="DC9" s="221" t="s">
        <v>241</v>
      </c>
      <c r="DD9" s="222" t="s">
        <v>242</v>
      </c>
      <c r="DE9" s="223" t="s">
        <v>283</v>
      </c>
      <c r="DF9" s="224" t="s">
        <v>157</v>
      </c>
      <c r="DG9" s="225">
        <v>2012</v>
      </c>
      <c r="DH9" s="226" t="s">
        <v>284</v>
      </c>
      <c r="DI9" s="228" t="str">
        <f>HYPERLINK("https://my.pitchbook.com?c=34578-19T", "View company online")</f>
        <v>View company online</v>
      </c>
    </row>
    <row r="10" spans="1:113" x14ac:dyDescent="0.2">
      <c r="A10" s="3" t="s">
        <v>285</v>
      </c>
      <c r="B10" s="4" t="s">
        <v>268</v>
      </c>
      <c r="C10" s="5" t="s">
        <v>269</v>
      </c>
      <c r="D10" s="6" t="s">
        <v>270</v>
      </c>
      <c r="E10" s="7" t="s">
        <v>271</v>
      </c>
      <c r="F10" s="8" t="s">
        <v>126</v>
      </c>
      <c r="G10" s="9" t="s">
        <v>127</v>
      </c>
      <c r="H10" s="10" t="s">
        <v>128</v>
      </c>
      <c r="I10" s="11" t="s">
        <v>272</v>
      </c>
      <c r="J10" s="12" t="s">
        <v>273</v>
      </c>
      <c r="K10" s="13" t="s">
        <v>274</v>
      </c>
      <c r="L10" s="14" t="s">
        <v>132</v>
      </c>
      <c r="M10" s="15" t="s">
        <v>133</v>
      </c>
      <c r="N10" s="16" t="s">
        <v>170</v>
      </c>
      <c r="O10" s="17" t="s">
        <v>286</v>
      </c>
      <c r="P10" s="18" t="s">
        <v>287</v>
      </c>
      <c r="Q10" s="19" t="s">
        <v>277</v>
      </c>
      <c r="R10" s="20" t="s">
        <v>288</v>
      </c>
      <c r="S10" s="21" t="s">
        <v>289</v>
      </c>
      <c r="T10" s="22" t="s">
        <v>290</v>
      </c>
      <c r="U10" s="23">
        <v>1</v>
      </c>
      <c r="V10" s="24" t="s">
        <v>285</v>
      </c>
      <c r="W10" s="25" t="s">
        <v>141</v>
      </c>
      <c r="X10" s="26">
        <v>41275</v>
      </c>
      <c r="Y10" s="27" t="s">
        <v>141</v>
      </c>
      <c r="Z10" s="28" t="s">
        <v>141</v>
      </c>
      <c r="AA10" s="29" t="s">
        <v>141</v>
      </c>
      <c r="AB10" s="30" t="s">
        <v>141</v>
      </c>
      <c r="AC10" s="31" t="s">
        <v>141</v>
      </c>
      <c r="AD10" s="32" t="s">
        <v>141</v>
      </c>
      <c r="AE10" s="33" t="s">
        <v>141</v>
      </c>
      <c r="AF10" s="34" t="s">
        <v>141</v>
      </c>
      <c r="AG10" s="35" t="s">
        <v>141</v>
      </c>
      <c r="AH10" s="36" t="s">
        <v>141</v>
      </c>
      <c r="AI10" s="37" t="s">
        <v>141</v>
      </c>
      <c r="AJ10" s="38" t="s">
        <v>142</v>
      </c>
      <c r="AK10" s="39" t="s">
        <v>141</v>
      </c>
      <c r="AL10" s="40" t="s">
        <v>141</v>
      </c>
      <c r="AM10" s="41" t="s">
        <v>143</v>
      </c>
      <c r="AN10" s="42" t="s">
        <v>291</v>
      </c>
      <c r="AO10" s="43" t="s">
        <v>141</v>
      </c>
      <c r="AP10" s="44" t="s">
        <v>145</v>
      </c>
      <c r="AQ10" s="45" t="s">
        <v>141</v>
      </c>
      <c r="AR10" s="46" t="s">
        <v>141</v>
      </c>
      <c r="AS10" s="47" t="s">
        <v>141</v>
      </c>
      <c r="AT10" s="48" t="s">
        <v>141</v>
      </c>
      <c r="AU10" s="49" t="s">
        <v>141</v>
      </c>
      <c r="AV10" s="50" t="s">
        <v>141</v>
      </c>
      <c r="AW10" s="51" t="s">
        <v>141</v>
      </c>
      <c r="AX10" s="52" t="s">
        <v>141</v>
      </c>
      <c r="AY10" s="53" t="s">
        <v>141</v>
      </c>
      <c r="AZ10" s="54" t="s">
        <v>141</v>
      </c>
      <c r="BA10" s="55" t="s">
        <v>146</v>
      </c>
      <c r="BB10" s="56" t="s">
        <v>263</v>
      </c>
      <c r="BC10" s="57" t="s">
        <v>193</v>
      </c>
      <c r="BD10" s="58" t="s">
        <v>141</v>
      </c>
      <c r="BE10" s="59">
        <v>1</v>
      </c>
      <c r="BF10" s="60" t="s">
        <v>292</v>
      </c>
      <c r="BG10" s="61">
        <v>1</v>
      </c>
      <c r="BH10" s="62" t="s">
        <v>141</v>
      </c>
      <c r="BI10" s="63" t="s">
        <v>141</v>
      </c>
      <c r="BJ10" s="64" t="s">
        <v>141</v>
      </c>
      <c r="BK10" s="65" t="s">
        <v>293</v>
      </c>
      <c r="BL10" s="66" t="s">
        <v>292</v>
      </c>
      <c r="BM10" s="67" t="s">
        <v>292</v>
      </c>
      <c r="BN10" s="68" t="s">
        <v>141</v>
      </c>
      <c r="BO10" s="69" t="s">
        <v>141</v>
      </c>
      <c r="BP10" s="70" t="s">
        <v>141</v>
      </c>
      <c r="BQ10" s="71" t="s">
        <v>141</v>
      </c>
      <c r="BR10" s="72" t="s">
        <v>141</v>
      </c>
      <c r="BS10" s="73" t="s">
        <v>141</v>
      </c>
      <c r="BT10" s="74" t="s">
        <v>141</v>
      </c>
      <c r="BU10" s="75" t="s">
        <v>141</v>
      </c>
      <c r="BV10" s="76" t="s">
        <v>141</v>
      </c>
      <c r="BW10" s="77" t="s">
        <v>141</v>
      </c>
      <c r="BX10" s="78" t="s">
        <v>141</v>
      </c>
      <c r="BY10" s="79" t="s">
        <v>141</v>
      </c>
      <c r="BZ10" s="80" t="s">
        <v>141</v>
      </c>
      <c r="CA10" s="81" t="s">
        <v>141</v>
      </c>
      <c r="CB10" s="82" t="s">
        <v>141</v>
      </c>
      <c r="CC10" s="83" t="s">
        <v>141</v>
      </c>
      <c r="CD10" s="84" t="s">
        <v>141</v>
      </c>
      <c r="CE10" s="85" t="s">
        <v>141</v>
      </c>
      <c r="CF10" s="86" t="s">
        <v>141</v>
      </c>
      <c r="CG10" s="87" t="s">
        <v>141</v>
      </c>
      <c r="CH10" s="88" t="s">
        <v>141</v>
      </c>
      <c r="CI10" s="89" t="s">
        <v>141</v>
      </c>
      <c r="CJ10" s="90" t="s">
        <v>141</v>
      </c>
      <c r="CK10" s="91" t="s">
        <v>141</v>
      </c>
      <c r="CL10" s="92" t="s">
        <v>141</v>
      </c>
      <c r="CM10" s="93" t="s">
        <v>141</v>
      </c>
      <c r="CN10" s="94" t="s">
        <v>141</v>
      </c>
      <c r="CO10" s="95" t="s">
        <v>141</v>
      </c>
      <c r="CP10" s="96" t="s">
        <v>141</v>
      </c>
      <c r="CQ10" s="97" t="s">
        <v>141</v>
      </c>
      <c r="CR10" s="98" t="s">
        <v>141</v>
      </c>
      <c r="CS10" s="99" t="s">
        <v>141</v>
      </c>
      <c r="CT10" s="100" t="s">
        <v>141</v>
      </c>
      <c r="CU10" s="101" t="s">
        <v>141</v>
      </c>
      <c r="CV10" s="102" t="s">
        <v>141</v>
      </c>
      <c r="CW10" s="103" t="s">
        <v>141</v>
      </c>
      <c r="CX10" s="104">
        <v>6</v>
      </c>
      <c r="CY10" s="105" t="s">
        <v>150</v>
      </c>
      <c r="CZ10" s="106" t="s">
        <v>240</v>
      </c>
      <c r="DA10" s="107" t="s">
        <v>152</v>
      </c>
      <c r="DB10" s="108" t="s">
        <v>153</v>
      </c>
      <c r="DC10" s="109" t="s">
        <v>241</v>
      </c>
      <c r="DD10" s="110" t="s">
        <v>242</v>
      </c>
      <c r="DE10" s="111" t="s">
        <v>283</v>
      </c>
      <c r="DF10" s="112" t="s">
        <v>157</v>
      </c>
      <c r="DG10" s="113">
        <v>2012</v>
      </c>
      <c r="DH10" s="114" t="s">
        <v>284</v>
      </c>
      <c r="DI10" s="227" t="str">
        <f>HYPERLINK("https://my.pitchbook.com?c=65315-08T", "View company online")</f>
        <v>View company online</v>
      </c>
    </row>
    <row r="11" spans="1:113" x14ac:dyDescent="0.2">
      <c r="A11" s="115" t="s">
        <v>294</v>
      </c>
      <c r="B11" s="116" t="s">
        <v>295</v>
      </c>
      <c r="C11" s="117" t="s">
        <v>296</v>
      </c>
      <c r="D11" s="118" t="s">
        <v>297</v>
      </c>
      <c r="E11" s="119" t="s">
        <v>298</v>
      </c>
      <c r="F11" s="120" t="s">
        <v>126</v>
      </c>
      <c r="G11" s="121" t="s">
        <v>127</v>
      </c>
      <c r="H11" s="122" t="s">
        <v>128</v>
      </c>
      <c r="I11" s="123" t="s">
        <v>129</v>
      </c>
      <c r="J11" s="124" t="s">
        <v>141</v>
      </c>
      <c r="K11" s="125" t="s">
        <v>299</v>
      </c>
      <c r="L11" s="126" t="s">
        <v>193</v>
      </c>
      <c r="M11" s="127" t="s">
        <v>133</v>
      </c>
      <c r="N11" s="128" t="s">
        <v>231</v>
      </c>
      <c r="O11" s="129" t="s">
        <v>300</v>
      </c>
      <c r="P11" s="130" t="s">
        <v>301</v>
      </c>
      <c r="Q11" s="131" t="s">
        <v>302</v>
      </c>
      <c r="R11" s="132" t="s">
        <v>303</v>
      </c>
      <c r="S11" s="133" t="s">
        <v>304</v>
      </c>
      <c r="T11" s="134" t="s">
        <v>305</v>
      </c>
      <c r="U11" s="135">
        <v>1</v>
      </c>
      <c r="V11" s="136" t="s">
        <v>294</v>
      </c>
      <c r="W11" s="137" t="s">
        <v>141</v>
      </c>
      <c r="X11" s="138">
        <v>43466</v>
      </c>
      <c r="Y11" s="139">
        <v>0.14000000000000001</v>
      </c>
      <c r="Z11" s="140" t="s">
        <v>177</v>
      </c>
      <c r="AA11" s="141" t="s">
        <v>141</v>
      </c>
      <c r="AB11" s="142" t="s">
        <v>141</v>
      </c>
      <c r="AC11" s="143" t="s">
        <v>141</v>
      </c>
      <c r="AD11" s="144" t="s">
        <v>141</v>
      </c>
      <c r="AE11" s="145" t="s">
        <v>141</v>
      </c>
      <c r="AF11" s="146" t="s">
        <v>141</v>
      </c>
      <c r="AG11" s="147" t="s">
        <v>141</v>
      </c>
      <c r="AH11" s="148" t="s">
        <v>141</v>
      </c>
      <c r="AI11" s="149" t="s">
        <v>141</v>
      </c>
      <c r="AJ11" s="150" t="s">
        <v>142</v>
      </c>
      <c r="AK11" s="151" t="s">
        <v>141</v>
      </c>
      <c r="AL11" s="152" t="s">
        <v>141</v>
      </c>
      <c r="AM11" s="153" t="s">
        <v>143</v>
      </c>
      <c r="AN11" s="154" t="s">
        <v>298</v>
      </c>
      <c r="AO11" s="155" t="s">
        <v>141</v>
      </c>
      <c r="AP11" s="156" t="s">
        <v>145</v>
      </c>
      <c r="AQ11" s="157" t="s">
        <v>141</v>
      </c>
      <c r="AR11" s="158" t="s">
        <v>141</v>
      </c>
      <c r="AS11" s="159" t="s">
        <v>141</v>
      </c>
      <c r="AT11" s="160" t="s">
        <v>141</v>
      </c>
      <c r="AU11" s="161" t="s">
        <v>141</v>
      </c>
      <c r="AV11" s="162" t="s">
        <v>141</v>
      </c>
      <c r="AW11" s="163" t="s">
        <v>141</v>
      </c>
      <c r="AX11" s="164" t="s">
        <v>141</v>
      </c>
      <c r="AY11" s="165" t="s">
        <v>141</v>
      </c>
      <c r="AZ11" s="166" t="s">
        <v>141</v>
      </c>
      <c r="BA11" s="167" t="s">
        <v>146</v>
      </c>
      <c r="BB11" s="168" t="s">
        <v>133</v>
      </c>
      <c r="BC11" s="169" t="s">
        <v>193</v>
      </c>
      <c r="BD11" s="170" t="s">
        <v>141</v>
      </c>
      <c r="BE11" s="171">
        <v>1</v>
      </c>
      <c r="BF11" s="172" t="s">
        <v>306</v>
      </c>
      <c r="BG11" s="173">
        <v>1</v>
      </c>
      <c r="BH11" s="174" t="s">
        <v>141</v>
      </c>
      <c r="BI11" s="175" t="s">
        <v>141</v>
      </c>
      <c r="BJ11" s="176" t="s">
        <v>141</v>
      </c>
      <c r="BK11" s="177" t="s">
        <v>307</v>
      </c>
      <c r="BL11" s="178" t="s">
        <v>306</v>
      </c>
      <c r="BM11" s="179" t="s">
        <v>306</v>
      </c>
      <c r="BN11" s="180" t="s">
        <v>141</v>
      </c>
      <c r="BO11" s="181" t="s">
        <v>141</v>
      </c>
      <c r="BP11" s="182" t="s">
        <v>141</v>
      </c>
      <c r="BQ11" s="183" t="s">
        <v>141</v>
      </c>
      <c r="BR11" s="184" t="s">
        <v>141</v>
      </c>
      <c r="BS11" s="185" t="s">
        <v>141</v>
      </c>
      <c r="BT11" s="186" t="s">
        <v>141</v>
      </c>
      <c r="BU11" s="187" t="s">
        <v>141</v>
      </c>
      <c r="BV11" s="188" t="s">
        <v>141</v>
      </c>
      <c r="BW11" s="189" t="s">
        <v>141</v>
      </c>
      <c r="BX11" s="190" t="s">
        <v>141</v>
      </c>
      <c r="BY11" s="191" t="s">
        <v>141</v>
      </c>
      <c r="BZ11" s="192" t="s">
        <v>141</v>
      </c>
      <c r="CA11" s="193" t="s">
        <v>141</v>
      </c>
      <c r="CB11" s="194" t="s">
        <v>141</v>
      </c>
      <c r="CC11" s="195" t="s">
        <v>141</v>
      </c>
      <c r="CD11" s="196" t="s">
        <v>141</v>
      </c>
      <c r="CE11" s="197" t="s">
        <v>141</v>
      </c>
      <c r="CF11" s="198" t="s">
        <v>141</v>
      </c>
      <c r="CG11" s="199" t="s">
        <v>141</v>
      </c>
      <c r="CH11" s="200" t="s">
        <v>141</v>
      </c>
      <c r="CI11" s="201" t="s">
        <v>141</v>
      </c>
      <c r="CJ11" s="202" t="s">
        <v>141</v>
      </c>
      <c r="CK11" s="203" t="s">
        <v>141</v>
      </c>
      <c r="CL11" s="204" t="s">
        <v>141</v>
      </c>
      <c r="CM11" s="205" t="s">
        <v>141</v>
      </c>
      <c r="CN11" s="206" t="s">
        <v>141</v>
      </c>
      <c r="CO11" s="207" t="s">
        <v>141</v>
      </c>
      <c r="CP11" s="208" t="s">
        <v>141</v>
      </c>
      <c r="CQ11" s="209" t="s">
        <v>141</v>
      </c>
      <c r="CR11" s="210" t="s">
        <v>141</v>
      </c>
      <c r="CS11" s="211" t="s">
        <v>141</v>
      </c>
      <c r="CT11" s="212" t="s">
        <v>141</v>
      </c>
      <c r="CU11" s="213" t="s">
        <v>141</v>
      </c>
      <c r="CV11" s="214" t="s">
        <v>141</v>
      </c>
      <c r="CW11" s="215" t="s">
        <v>141</v>
      </c>
      <c r="CX11" s="216" t="s">
        <v>141</v>
      </c>
      <c r="CY11" s="217" t="s">
        <v>150</v>
      </c>
      <c r="CZ11" s="218" t="s">
        <v>308</v>
      </c>
      <c r="DA11" s="219" t="s">
        <v>152</v>
      </c>
      <c r="DB11" s="220" t="s">
        <v>153</v>
      </c>
      <c r="DC11" s="221" t="s">
        <v>309</v>
      </c>
      <c r="DD11" s="222" t="s">
        <v>310</v>
      </c>
      <c r="DE11" s="223" t="s">
        <v>311</v>
      </c>
      <c r="DF11" s="224" t="s">
        <v>157</v>
      </c>
      <c r="DG11" s="225">
        <v>2018</v>
      </c>
      <c r="DH11" s="226" t="s">
        <v>312</v>
      </c>
      <c r="DI11" s="228" t="str">
        <f>HYPERLINK("https://my.pitchbook.com?c=122278-42T", "View company online")</f>
        <v>View company online</v>
      </c>
    </row>
    <row r="12" spans="1:113" x14ac:dyDescent="0.2">
      <c r="A12" s="3" t="s">
        <v>313</v>
      </c>
      <c r="B12" s="4" t="s">
        <v>314</v>
      </c>
      <c r="C12" s="5" t="s">
        <v>315</v>
      </c>
      <c r="D12" s="6" t="s">
        <v>316</v>
      </c>
      <c r="E12" s="7" t="s">
        <v>317</v>
      </c>
      <c r="F12" s="8" t="s">
        <v>126</v>
      </c>
      <c r="G12" s="9" t="s">
        <v>127</v>
      </c>
      <c r="H12" s="10" t="s">
        <v>128</v>
      </c>
      <c r="I12" s="11" t="s">
        <v>318</v>
      </c>
      <c r="J12" s="12" t="s">
        <v>141</v>
      </c>
      <c r="K12" s="13" t="s">
        <v>319</v>
      </c>
      <c r="L12" s="14" t="s">
        <v>193</v>
      </c>
      <c r="M12" s="15" t="s">
        <v>133</v>
      </c>
      <c r="N12" s="16" t="s">
        <v>231</v>
      </c>
      <c r="O12" s="17" t="s">
        <v>320</v>
      </c>
      <c r="P12" s="18" t="s">
        <v>321</v>
      </c>
      <c r="Q12" s="19" t="s">
        <v>322</v>
      </c>
      <c r="R12" s="20" t="s">
        <v>141</v>
      </c>
      <c r="S12" s="21" t="s">
        <v>323</v>
      </c>
      <c r="T12" s="22" t="s">
        <v>141</v>
      </c>
      <c r="U12" s="23">
        <v>1</v>
      </c>
      <c r="V12" s="24" t="s">
        <v>313</v>
      </c>
      <c r="W12" s="25" t="s">
        <v>141</v>
      </c>
      <c r="X12" s="26">
        <v>43165</v>
      </c>
      <c r="Y12" s="27" t="s">
        <v>141</v>
      </c>
      <c r="Z12" s="28" t="s">
        <v>141</v>
      </c>
      <c r="AA12" s="29" t="s">
        <v>141</v>
      </c>
      <c r="AB12" s="30" t="s">
        <v>141</v>
      </c>
      <c r="AC12" s="31" t="s">
        <v>141</v>
      </c>
      <c r="AD12" s="32" t="s">
        <v>141</v>
      </c>
      <c r="AE12" s="33" t="s">
        <v>141</v>
      </c>
      <c r="AF12" s="34" t="s">
        <v>141</v>
      </c>
      <c r="AG12" s="35" t="s">
        <v>141</v>
      </c>
      <c r="AH12" s="36" t="s">
        <v>141</v>
      </c>
      <c r="AI12" s="37" t="s">
        <v>141</v>
      </c>
      <c r="AJ12" s="38" t="s">
        <v>142</v>
      </c>
      <c r="AK12" s="39" t="s">
        <v>141</v>
      </c>
      <c r="AL12" s="40" t="s">
        <v>141</v>
      </c>
      <c r="AM12" s="41" t="s">
        <v>143</v>
      </c>
      <c r="AN12" s="42" t="s">
        <v>324</v>
      </c>
      <c r="AO12" s="43" t="s">
        <v>141</v>
      </c>
      <c r="AP12" s="44" t="s">
        <v>145</v>
      </c>
      <c r="AQ12" s="45" t="s">
        <v>141</v>
      </c>
      <c r="AR12" s="46" t="s">
        <v>141</v>
      </c>
      <c r="AS12" s="47" t="s">
        <v>141</v>
      </c>
      <c r="AT12" s="48" t="s">
        <v>141</v>
      </c>
      <c r="AU12" s="49" t="s">
        <v>141</v>
      </c>
      <c r="AV12" s="50" t="s">
        <v>141</v>
      </c>
      <c r="AW12" s="51" t="s">
        <v>141</v>
      </c>
      <c r="AX12" s="52" t="s">
        <v>141</v>
      </c>
      <c r="AY12" s="53" t="s">
        <v>141</v>
      </c>
      <c r="AZ12" s="54" t="s">
        <v>141</v>
      </c>
      <c r="BA12" s="55" t="s">
        <v>146</v>
      </c>
      <c r="BB12" s="56" t="s">
        <v>133</v>
      </c>
      <c r="BC12" s="57" t="s">
        <v>193</v>
      </c>
      <c r="BD12" s="58" t="s">
        <v>141</v>
      </c>
      <c r="BE12" s="59">
        <v>1</v>
      </c>
      <c r="BF12" s="60" t="s">
        <v>325</v>
      </c>
      <c r="BG12" s="61">
        <v>1</v>
      </c>
      <c r="BH12" s="62" t="s">
        <v>141</v>
      </c>
      <c r="BI12" s="63" t="s">
        <v>141</v>
      </c>
      <c r="BJ12" s="64" t="s">
        <v>141</v>
      </c>
      <c r="BK12" s="65" t="s">
        <v>326</v>
      </c>
      <c r="BL12" s="66" t="s">
        <v>325</v>
      </c>
      <c r="BM12" s="67" t="s">
        <v>325</v>
      </c>
      <c r="BN12" s="68" t="s">
        <v>141</v>
      </c>
      <c r="BO12" s="69" t="s">
        <v>141</v>
      </c>
      <c r="BP12" s="70" t="s">
        <v>141</v>
      </c>
      <c r="BQ12" s="71" t="s">
        <v>141</v>
      </c>
      <c r="BR12" s="72" t="s">
        <v>141</v>
      </c>
      <c r="BS12" s="73" t="s">
        <v>141</v>
      </c>
      <c r="BT12" s="74" t="s">
        <v>141</v>
      </c>
      <c r="BU12" s="75" t="s">
        <v>141</v>
      </c>
      <c r="BV12" s="76" t="s">
        <v>141</v>
      </c>
      <c r="BW12" s="77" t="s">
        <v>141</v>
      </c>
      <c r="BX12" s="78">
        <v>3440</v>
      </c>
      <c r="BY12" s="79" t="s">
        <v>141</v>
      </c>
      <c r="BZ12" s="80" t="s">
        <v>141</v>
      </c>
      <c r="CA12" s="81" t="s">
        <v>141</v>
      </c>
      <c r="CB12" s="82" t="s">
        <v>141</v>
      </c>
      <c r="CC12" s="83" t="s">
        <v>141</v>
      </c>
      <c r="CD12" s="84" t="s">
        <v>141</v>
      </c>
      <c r="CE12" s="85">
        <v>2017</v>
      </c>
      <c r="CF12" s="86" t="s">
        <v>141</v>
      </c>
      <c r="CG12" s="87" t="s">
        <v>141</v>
      </c>
      <c r="CH12" s="88" t="s">
        <v>141</v>
      </c>
      <c r="CI12" s="89" t="s">
        <v>141</v>
      </c>
      <c r="CJ12" s="90" t="s">
        <v>141</v>
      </c>
      <c r="CK12" s="91" t="s">
        <v>141</v>
      </c>
      <c r="CL12" s="92" t="s">
        <v>141</v>
      </c>
      <c r="CM12" s="93" t="s">
        <v>141</v>
      </c>
      <c r="CN12" s="94" t="s">
        <v>141</v>
      </c>
      <c r="CO12" s="95" t="s">
        <v>141</v>
      </c>
      <c r="CP12" s="96" t="s">
        <v>141</v>
      </c>
      <c r="CQ12" s="97" t="s">
        <v>141</v>
      </c>
      <c r="CR12" s="98" t="s">
        <v>141</v>
      </c>
      <c r="CS12" s="99" t="s">
        <v>141</v>
      </c>
      <c r="CT12" s="100" t="s">
        <v>141</v>
      </c>
      <c r="CU12" s="101" t="s">
        <v>141</v>
      </c>
      <c r="CV12" s="102" t="s">
        <v>141</v>
      </c>
      <c r="CW12" s="103" t="s">
        <v>141</v>
      </c>
      <c r="CX12" s="104" t="s">
        <v>141</v>
      </c>
      <c r="CY12" s="105" t="s">
        <v>150</v>
      </c>
      <c r="CZ12" s="106" t="s">
        <v>327</v>
      </c>
      <c r="DA12" s="107" t="s">
        <v>152</v>
      </c>
      <c r="DB12" s="108" t="s">
        <v>153</v>
      </c>
      <c r="DC12" s="109" t="s">
        <v>328</v>
      </c>
      <c r="DD12" s="110" t="s">
        <v>329</v>
      </c>
      <c r="DE12" s="111" t="s">
        <v>330</v>
      </c>
      <c r="DF12" s="112" t="s">
        <v>157</v>
      </c>
      <c r="DG12" s="113">
        <v>2016</v>
      </c>
      <c r="DH12" s="114" t="s">
        <v>331</v>
      </c>
      <c r="DI12" s="227" t="str">
        <f>HYPERLINK("https://my.pitchbook.com?c=138701-26T", "View company online")</f>
        <v>View company online</v>
      </c>
    </row>
    <row r="13" spans="1:113" x14ac:dyDescent="0.2">
      <c r="A13" s="115" t="s">
        <v>332</v>
      </c>
      <c r="B13" s="116" t="s">
        <v>314</v>
      </c>
      <c r="C13" s="117" t="s">
        <v>315</v>
      </c>
      <c r="D13" s="118" t="s">
        <v>316</v>
      </c>
      <c r="E13" s="119" t="s">
        <v>317</v>
      </c>
      <c r="F13" s="120" t="s">
        <v>126</v>
      </c>
      <c r="G13" s="121" t="s">
        <v>127</v>
      </c>
      <c r="H13" s="122" t="s">
        <v>128</v>
      </c>
      <c r="I13" s="123" t="s">
        <v>318</v>
      </c>
      <c r="J13" s="124" t="s">
        <v>141</v>
      </c>
      <c r="K13" s="125" t="s">
        <v>319</v>
      </c>
      <c r="L13" s="126" t="s">
        <v>193</v>
      </c>
      <c r="M13" s="127" t="s">
        <v>133</v>
      </c>
      <c r="N13" s="128" t="s">
        <v>231</v>
      </c>
      <c r="O13" s="129" t="s">
        <v>320</v>
      </c>
      <c r="P13" s="130" t="s">
        <v>321</v>
      </c>
      <c r="Q13" s="131" t="s">
        <v>322</v>
      </c>
      <c r="R13" s="132" t="s">
        <v>141</v>
      </c>
      <c r="S13" s="133" t="s">
        <v>323</v>
      </c>
      <c r="T13" s="134" t="s">
        <v>141</v>
      </c>
      <c r="U13" s="135">
        <v>2</v>
      </c>
      <c r="V13" s="136" t="s">
        <v>332</v>
      </c>
      <c r="W13" s="137" t="s">
        <v>141</v>
      </c>
      <c r="X13" s="138">
        <v>43374</v>
      </c>
      <c r="Y13" s="139" t="s">
        <v>141</v>
      </c>
      <c r="Z13" s="140" t="s">
        <v>141</v>
      </c>
      <c r="AA13" s="141" t="s">
        <v>141</v>
      </c>
      <c r="AB13" s="142" t="s">
        <v>141</v>
      </c>
      <c r="AC13" s="143" t="s">
        <v>141</v>
      </c>
      <c r="AD13" s="144" t="s">
        <v>141</v>
      </c>
      <c r="AE13" s="145" t="s">
        <v>141</v>
      </c>
      <c r="AF13" s="146" t="s">
        <v>141</v>
      </c>
      <c r="AG13" s="147" t="s">
        <v>141</v>
      </c>
      <c r="AH13" s="148" t="s">
        <v>141</v>
      </c>
      <c r="AI13" s="149" t="s">
        <v>141</v>
      </c>
      <c r="AJ13" s="150" t="s">
        <v>142</v>
      </c>
      <c r="AK13" s="151" t="s">
        <v>141</v>
      </c>
      <c r="AL13" s="152" t="s">
        <v>141</v>
      </c>
      <c r="AM13" s="153" t="s">
        <v>143</v>
      </c>
      <c r="AN13" s="154" t="s">
        <v>317</v>
      </c>
      <c r="AO13" s="155" t="s">
        <v>141</v>
      </c>
      <c r="AP13" s="156" t="s">
        <v>145</v>
      </c>
      <c r="AQ13" s="157" t="s">
        <v>141</v>
      </c>
      <c r="AR13" s="158" t="s">
        <v>141</v>
      </c>
      <c r="AS13" s="159" t="s">
        <v>141</v>
      </c>
      <c r="AT13" s="160" t="s">
        <v>141</v>
      </c>
      <c r="AU13" s="161" t="s">
        <v>141</v>
      </c>
      <c r="AV13" s="162" t="s">
        <v>141</v>
      </c>
      <c r="AW13" s="163" t="s">
        <v>141</v>
      </c>
      <c r="AX13" s="164" t="s">
        <v>141</v>
      </c>
      <c r="AY13" s="165" t="s">
        <v>141</v>
      </c>
      <c r="AZ13" s="166" t="s">
        <v>141</v>
      </c>
      <c r="BA13" s="167" t="s">
        <v>146</v>
      </c>
      <c r="BB13" s="168" t="s">
        <v>133</v>
      </c>
      <c r="BC13" s="169" t="s">
        <v>193</v>
      </c>
      <c r="BD13" s="170" t="s">
        <v>141</v>
      </c>
      <c r="BE13" s="171">
        <v>1</v>
      </c>
      <c r="BF13" s="172" t="s">
        <v>333</v>
      </c>
      <c r="BG13" s="173">
        <v>1</v>
      </c>
      <c r="BH13" s="174" t="s">
        <v>141</v>
      </c>
      <c r="BI13" s="175" t="s">
        <v>141</v>
      </c>
      <c r="BJ13" s="176" t="s">
        <v>141</v>
      </c>
      <c r="BK13" s="177" t="s">
        <v>334</v>
      </c>
      <c r="BL13" s="178" t="s">
        <v>333</v>
      </c>
      <c r="BM13" s="179" t="s">
        <v>333</v>
      </c>
      <c r="BN13" s="180" t="s">
        <v>141</v>
      </c>
      <c r="BO13" s="181" t="s">
        <v>141</v>
      </c>
      <c r="BP13" s="182" t="s">
        <v>141</v>
      </c>
      <c r="BQ13" s="183" t="s">
        <v>141</v>
      </c>
      <c r="BR13" s="184" t="s">
        <v>141</v>
      </c>
      <c r="BS13" s="185" t="s">
        <v>141</v>
      </c>
      <c r="BT13" s="186" t="s">
        <v>141</v>
      </c>
      <c r="BU13" s="187" t="s">
        <v>141</v>
      </c>
      <c r="BV13" s="188" t="s">
        <v>141</v>
      </c>
      <c r="BW13" s="189" t="s">
        <v>141</v>
      </c>
      <c r="BX13" s="190" t="s">
        <v>141</v>
      </c>
      <c r="BY13" s="191" t="s">
        <v>141</v>
      </c>
      <c r="BZ13" s="192" t="s">
        <v>141</v>
      </c>
      <c r="CA13" s="193" t="s">
        <v>141</v>
      </c>
      <c r="CB13" s="194" t="s">
        <v>141</v>
      </c>
      <c r="CC13" s="195" t="s">
        <v>141</v>
      </c>
      <c r="CD13" s="196" t="s">
        <v>141</v>
      </c>
      <c r="CE13" s="197" t="s">
        <v>141</v>
      </c>
      <c r="CF13" s="198" t="s">
        <v>141</v>
      </c>
      <c r="CG13" s="199" t="s">
        <v>141</v>
      </c>
      <c r="CH13" s="200" t="s">
        <v>141</v>
      </c>
      <c r="CI13" s="201" t="s">
        <v>141</v>
      </c>
      <c r="CJ13" s="202" t="s">
        <v>141</v>
      </c>
      <c r="CK13" s="203" t="s">
        <v>141</v>
      </c>
      <c r="CL13" s="204" t="s">
        <v>141</v>
      </c>
      <c r="CM13" s="205" t="s">
        <v>141</v>
      </c>
      <c r="CN13" s="206" t="s">
        <v>141</v>
      </c>
      <c r="CO13" s="207" t="s">
        <v>141</v>
      </c>
      <c r="CP13" s="208" t="s">
        <v>141</v>
      </c>
      <c r="CQ13" s="209" t="s">
        <v>141</v>
      </c>
      <c r="CR13" s="210" t="s">
        <v>141</v>
      </c>
      <c r="CS13" s="211" t="s">
        <v>141</v>
      </c>
      <c r="CT13" s="212" t="s">
        <v>141</v>
      </c>
      <c r="CU13" s="213" t="s">
        <v>141</v>
      </c>
      <c r="CV13" s="214" t="s">
        <v>141</v>
      </c>
      <c r="CW13" s="215" t="s">
        <v>141</v>
      </c>
      <c r="CX13" s="216" t="s">
        <v>141</v>
      </c>
      <c r="CY13" s="217" t="s">
        <v>150</v>
      </c>
      <c r="CZ13" s="218" t="s">
        <v>327</v>
      </c>
      <c r="DA13" s="219" t="s">
        <v>152</v>
      </c>
      <c r="DB13" s="220" t="s">
        <v>153</v>
      </c>
      <c r="DC13" s="221" t="s">
        <v>328</v>
      </c>
      <c r="DD13" s="222" t="s">
        <v>329</v>
      </c>
      <c r="DE13" s="223" t="s">
        <v>330</v>
      </c>
      <c r="DF13" s="224" t="s">
        <v>157</v>
      </c>
      <c r="DG13" s="225">
        <v>2016</v>
      </c>
      <c r="DH13" s="226" t="s">
        <v>331</v>
      </c>
      <c r="DI13" s="228" t="str">
        <f>HYPERLINK("https://my.pitchbook.com?c=138705-67T", "View company online")</f>
        <v>View company online</v>
      </c>
    </row>
    <row r="14" spans="1:113" x14ac:dyDescent="0.2">
      <c r="A14" s="3" t="s">
        <v>335</v>
      </c>
      <c r="B14" s="4" t="s">
        <v>336</v>
      </c>
      <c r="C14" s="5" t="s">
        <v>337</v>
      </c>
      <c r="D14" s="6" t="s">
        <v>338</v>
      </c>
      <c r="E14" s="7" t="s">
        <v>339</v>
      </c>
      <c r="F14" s="8" t="s">
        <v>126</v>
      </c>
      <c r="G14" s="9" t="s">
        <v>340</v>
      </c>
      <c r="H14" s="10" t="s">
        <v>341</v>
      </c>
      <c r="I14" s="11" t="s">
        <v>342</v>
      </c>
      <c r="J14" s="12" t="s">
        <v>343</v>
      </c>
      <c r="K14" s="13" t="s">
        <v>344</v>
      </c>
      <c r="L14" s="14" t="s">
        <v>345</v>
      </c>
      <c r="M14" s="15" t="s">
        <v>133</v>
      </c>
      <c r="N14" s="16" t="s">
        <v>346</v>
      </c>
      <c r="O14" s="17" t="s">
        <v>347</v>
      </c>
      <c r="P14" s="18" t="s">
        <v>348</v>
      </c>
      <c r="Q14" s="19" t="s">
        <v>141</v>
      </c>
      <c r="R14" s="20" t="s">
        <v>349</v>
      </c>
      <c r="S14" s="21" t="s">
        <v>350</v>
      </c>
      <c r="T14" s="22" t="s">
        <v>351</v>
      </c>
      <c r="U14" s="23">
        <v>5</v>
      </c>
      <c r="V14" s="24" t="s">
        <v>335</v>
      </c>
      <c r="W14" s="25" t="s">
        <v>141</v>
      </c>
      <c r="X14" s="26" t="s">
        <v>141</v>
      </c>
      <c r="Y14" s="27" t="s">
        <v>141</v>
      </c>
      <c r="Z14" s="28" t="s">
        <v>141</v>
      </c>
      <c r="AA14" s="29" t="s">
        <v>141</v>
      </c>
      <c r="AB14" s="30" t="s">
        <v>141</v>
      </c>
      <c r="AC14" s="31" t="s">
        <v>141</v>
      </c>
      <c r="AD14" s="32" t="s">
        <v>141</v>
      </c>
      <c r="AE14" s="33">
        <v>28.2</v>
      </c>
      <c r="AF14" s="34" t="s">
        <v>141</v>
      </c>
      <c r="AG14" s="35" t="s">
        <v>141</v>
      </c>
      <c r="AH14" s="36" t="s">
        <v>141</v>
      </c>
      <c r="AI14" s="37" t="s">
        <v>141</v>
      </c>
      <c r="AJ14" s="38" t="s">
        <v>142</v>
      </c>
      <c r="AK14" s="39" t="s">
        <v>141</v>
      </c>
      <c r="AL14" s="40" t="s">
        <v>141</v>
      </c>
      <c r="AM14" s="41" t="s">
        <v>143</v>
      </c>
      <c r="AN14" s="42" t="s">
        <v>352</v>
      </c>
      <c r="AO14" s="43" t="s">
        <v>141</v>
      </c>
      <c r="AP14" s="44" t="s">
        <v>145</v>
      </c>
      <c r="AQ14" s="45" t="s">
        <v>141</v>
      </c>
      <c r="AR14" s="46" t="s">
        <v>141</v>
      </c>
      <c r="AS14" s="47" t="s">
        <v>141</v>
      </c>
      <c r="AT14" s="48" t="s">
        <v>141</v>
      </c>
      <c r="AU14" s="49" t="s">
        <v>141</v>
      </c>
      <c r="AV14" s="50" t="s">
        <v>141</v>
      </c>
      <c r="AW14" s="51" t="s">
        <v>141</v>
      </c>
      <c r="AX14" s="52" t="s">
        <v>141</v>
      </c>
      <c r="AY14" s="53" t="s">
        <v>141</v>
      </c>
      <c r="AZ14" s="54" t="s">
        <v>141</v>
      </c>
      <c r="BA14" s="55" t="s">
        <v>146</v>
      </c>
      <c r="BB14" s="56" t="s">
        <v>133</v>
      </c>
      <c r="BC14" s="57" t="s">
        <v>132</v>
      </c>
      <c r="BD14" s="58" t="s">
        <v>141</v>
      </c>
      <c r="BE14" s="59">
        <v>1</v>
      </c>
      <c r="BF14" s="60" t="s">
        <v>353</v>
      </c>
      <c r="BG14" s="61">
        <v>1</v>
      </c>
      <c r="BH14" s="62" t="s">
        <v>141</v>
      </c>
      <c r="BI14" s="63" t="s">
        <v>141</v>
      </c>
      <c r="BJ14" s="64" t="s">
        <v>141</v>
      </c>
      <c r="BK14" s="65" t="s">
        <v>354</v>
      </c>
      <c r="BL14" s="66" t="s">
        <v>353</v>
      </c>
      <c r="BM14" s="67" t="s">
        <v>353</v>
      </c>
      <c r="BN14" s="68" t="s">
        <v>141</v>
      </c>
      <c r="BO14" s="69" t="s">
        <v>141</v>
      </c>
      <c r="BP14" s="70" t="s">
        <v>141</v>
      </c>
      <c r="BQ14" s="71" t="s">
        <v>141</v>
      </c>
      <c r="BR14" s="72" t="s">
        <v>141</v>
      </c>
      <c r="BS14" s="73" t="s">
        <v>141</v>
      </c>
      <c r="BT14" s="74" t="s">
        <v>141</v>
      </c>
      <c r="BU14" s="75" t="s">
        <v>141</v>
      </c>
      <c r="BV14" s="76" t="s">
        <v>141</v>
      </c>
      <c r="BW14" s="77" t="s">
        <v>141</v>
      </c>
      <c r="BX14" s="78" t="s">
        <v>141</v>
      </c>
      <c r="BY14" s="79" t="s">
        <v>141</v>
      </c>
      <c r="BZ14" s="80" t="s">
        <v>141</v>
      </c>
      <c r="CA14" s="81" t="s">
        <v>141</v>
      </c>
      <c r="CB14" s="82" t="s">
        <v>141</v>
      </c>
      <c r="CC14" s="83" t="s">
        <v>141</v>
      </c>
      <c r="CD14" s="84" t="s">
        <v>141</v>
      </c>
      <c r="CE14" s="85" t="s">
        <v>141</v>
      </c>
      <c r="CF14" s="86" t="s">
        <v>141</v>
      </c>
      <c r="CG14" s="87" t="s">
        <v>141</v>
      </c>
      <c r="CH14" s="88" t="s">
        <v>141</v>
      </c>
      <c r="CI14" s="89" t="s">
        <v>141</v>
      </c>
      <c r="CJ14" s="90" t="s">
        <v>141</v>
      </c>
      <c r="CK14" s="91" t="s">
        <v>141</v>
      </c>
      <c r="CL14" s="92" t="s">
        <v>141</v>
      </c>
      <c r="CM14" s="93" t="s">
        <v>141</v>
      </c>
      <c r="CN14" s="94" t="s">
        <v>141</v>
      </c>
      <c r="CO14" s="95" t="s">
        <v>141</v>
      </c>
      <c r="CP14" s="96" t="s">
        <v>141</v>
      </c>
      <c r="CQ14" s="97" t="s">
        <v>141</v>
      </c>
      <c r="CR14" s="98" t="s">
        <v>141</v>
      </c>
      <c r="CS14" s="99" t="s">
        <v>141</v>
      </c>
      <c r="CT14" s="100" t="s">
        <v>141</v>
      </c>
      <c r="CU14" s="101" t="s">
        <v>141</v>
      </c>
      <c r="CV14" s="102" t="s">
        <v>141</v>
      </c>
      <c r="CW14" s="103" t="s">
        <v>141</v>
      </c>
      <c r="CX14" s="104" t="s">
        <v>141</v>
      </c>
      <c r="CY14" s="105" t="s">
        <v>150</v>
      </c>
      <c r="CZ14" s="106" t="s">
        <v>180</v>
      </c>
      <c r="DA14" s="107" t="s">
        <v>152</v>
      </c>
      <c r="DB14" s="108" t="s">
        <v>153</v>
      </c>
      <c r="DC14" s="109" t="s">
        <v>181</v>
      </c>
      <c r="DD14" s="110" t="s">
        <v>182</v>
      </c>
      <c r="DE14" s="111" t="s">
        <v>183</v>
      </c>
      <c r="DF14" s="112" t="s">
        <v>157</v>
      </c>
      <c r="DG14" s="113">
        <v>2015</v>
      </c>
      <c r="DH14" s="114" t="s">
        <v>355</v>
      </c>
      <c r="DI14" s="227" t="str">
        <f>HYPERLINK("https://my.pitchbook.com?c=122960-80T", "View company online")</f>
        <v>View company online</v>
      </c>
    </row>
    <row r="15" spans="1:113" x14ac:dyDescent="0.2">
      <c r="A15" s="115" t="s">
        <v>356</v>
      </c>
      <c r="B15" s="116" t="s">
        <v>357</v>
      </c>
      <c r="C15" s="117" t="s">
        <v>358</v>
      </c>
      <c r="D15" s="118" t="s">
        <v>359</v>
      </c>
      <c r="E15" s="119" t="s">
        <v>360</v>
      </c>
      <c r="F15" s="120" t="s">
        <v>126</v>
      </c>
      <c r="G15" s="121" t="s">
        <v>208</v>
      </c>
      <c r="H15" s="122" t="s">
        <v>209</v>
      </c>
      <c r="I15" s="123" t="s">
        <v>361</v>
      </c>
      <c r="J15" s="124" t="s">
        <v>362</v>
      </c>
      <c r="K15" s="125" t="s">
        <v>363</v>
      </c>
      <c r="L15" s="126" t="s">
        <v>132</v>
      </c>
      <c r="M15" s="127" t="s">
        <v>133</v>
      </c>
      <c r="N15" s="128" t="s">
        <v>134</v>
      </c>
      <c r="O15" s="129" t="s">
        <v>364</v>
      </c>
      <c r="P15" s="130" t="s">
        <v>365</v>
      </c>
      <c r="Q15" s="131" t="s">
        <v>366</v>
      </c>
      <c r="R15" s="132" t="s">
        <v>367</v>
      </c>
      <c r="S15" s="133" t="s">
        <v>368</v>
      </c>
      <c r="T15" s="134" t="s">
        <v>369</v>
      </c>
      <c r="U15" s="135">
        <v>1</v>
      </c>
      <c r="V15" s="136" t="s">
        <v>356</v>
      </c>
      <c r="W15" s="137" t="s">
        <v>141</v>
      </c>
      <c r="X15" s="138">
        <v>41275</v>
      </c>
      <c r="Y15" s="139">
        <v>0.12</v>
      </c>
      <c r="Z15" s="140" t="s">
        <v>177</v>
      </c>
      <c r="AA15" s="141">
        <v>1.58</v>
      </c>
      <c r="AB15" s="142">
        <v>1.7</v>
      </c>
      <c r="AC15" s="143" t="s">
        <v>177</v>
      </c>
      <c r="AD15" s="144">
        <v>7</v>
      </c>
      <c r="AE15" s="145">
        <v>0.12</v>
      </c>
      <c r="AF15" s="146" t="s">
        <v>141</v>
      </c>
      <c r="AG15" s="147" t="s">
        <v>141</v>
      </c>
      <c r="AH15" s="148" t="s">
        <v>141</v>
      </c>
      <c r="AI15" s="149" t="s">
        <v>141</v>
      </c>
      <c r="AJ15" s="150" t="s">
        <v>142</v>
      </c>
      <c r="AK15" s="151" t="s">
        <v>141</v>
      </c>
      <c r="AL15" s="152" t="s">
        <v>141</v>
      </c>
      <c r="AM15" s="153" t="s">
        <v>143</v>
      </c>
      <c r="AN15" s="154" t="s">
        <v>370</v>
      </c>
      <c r="AO15" s="155">
        <v>0.12</v>
      </c>
      <c r="AP15" s="156" t="s">
        <v>145</v>
      </c>
      <c r="AQ15" s="157" t="s">
        <v>141</v>
      </c>
      <c r="AR15" s="158" t="s">
        <v>141</v>
      </c>
      <c r="AS15" s="159" t="s">
        <v>141</v>
      </c>
      <c r="AT15" s="160" t="s">
        <v>141</v>
      </c>
      <c r="AU15" s="161" t="s">
        <v>141</v>
      </c>
      <c r="AV15" s="162" t="s">
        <v>141</v>
      </c>
      <c r="AW15" s="163" t="s">
        <v>141</v>
      </c>
      <c r="AX15" s="164" t="s">
        <v>141</v>
      </c>
      <c r="AY15" s="165" t="s">
        <v>141</v>
      </c>
      <c r="AZ15" s="166" t="s">
        <v>141</v>
      </c>
      <c r="BA15" s="167" t="s">
        <v>146</v>
      </c>
      <c r="BB15" s="168" t="s">
        <v>263</v>
      </c>
      <c r="BC15" s="169" t="s">
        <v>193</v>
      </c>
      <c r="BD15" s="170" t="s">
        <v>141</v>
      </c>
      <c r="BE15" s="171">
        <v>1</v>
      </c>
      <c r="BF15" s="172" t="s">
        <v>178</v>
      </c>
      <c r="BG15" s="173">
        <v>1</v>
      </c>
      <c r="BH15" s="174" t="s">
        <v>141</v>
      </c>
      <c r="BI15" s="175" t="s">
        <v>141</v>
      </c>
      <c r="BJ15" s="176" t="s">
        <v>141</v>
      </c>
      <c r="BK15" s="177" t="s">
        <v>179</v>
      </c>
      <c r="BL15" s="178" t="s">
        <v>371</v>
      </c>
      <c r="BM15" s="179" t="s">
        <v>371</v>
      </c>
      <c r="BN15" s="180" t="s">
        <v>264</v>
      </c>
      <c r="BO15" s="181" t="s">
        <v>141</v>
      </c>
      <c r="BP15" s="182" t="s">
        <v>141</v>
      </c>
      <c r="BQ15" s="183" t="s">
        <v>141</v>
      </c>
      <c r="BR15" s="184" t="s">
        <v>372</v>
      </c>
      <c r="BS15" s="185" t="s">
        <v>372</v>
      </c>
      <c r="BT15" s="186" t="s">
        <v>141</v>
      </c>
      <c r="BU15" s="187" t="s">
        <v>141</v>
      </c>
      <c r="BV15" s="188" t="s">
        <v>141</v>
      </c>
      <c r="BW15" s="189" t="s">
        <v>141</v>
      </c>
      <c r="BX15" s="190" t="s">
        <v>141</v>
      </c>
      <c r="BY15" s="191" t="s">
        <v>141</v>
      </c>
      <c r="BZ15" s="192" t="s">
        <v>141</v>
      </c>
      <c r="CA15" s="193" t="s">
        <v>141</v>
      </c>
      <c r="CB15" s="194" t="s">
        <v>141</v>
      </c>
      <c r="CC15" s="195" t="s">
        <v>141</v>
      </c>
      <c r="CD15" s="196" t="s">
        <v>141</v>
      </c>
      <c r="CE15" s="197" t="s">
        <v>141</v>
      </c>
      <c r="CF15" s="198" t="s">
        <v>141</v>
      </c>
      <c r="CG15" s="199" t="s">
        <v>141</v>
      </c>
      <c r="CH15" s="200" t="s">
        <v>141</v>
      </c>
      <c r="CI15" s="201" t="s">
        <v>141</v>
      </c>
      <c r="CJ15" s="202" t="s">
        <v>141</v>
      </c>
      <c r="CK15" s="203" t="s">
        <v>141</v>
      </c>
      <c r="CL15" s="204" t="s">
        <v>141</v>
      </c>
      <c r="CM15" s="205" t="s">
        <v>141</v>
      </c>
      <c r="CN15" s="206" t="s">
        <v>141</v>
      </c>
      <c r="CO15" s="207" t="s">
        <v>141</v>
      </c>
      <c r="CP15" s="208" t="s">
        <v>141</v>
      </c>
      <c r="CQ15" s="209" t="s">
        <v>141</v>
      </c>
      <c r="CR15" s="210" t="s">
        <v>141</v>
      </c>
      <c r="CS15" s="211" t="s">
        <v>141</v>
      </c>
      <c r="CT15" s="212" t="s">
        <v>141</v>
      </c>
      <c r="CU15" s="213" t="s">
        <v>141</v>
      </c>
      <c r="CV15" s="214" t="s">
        <v>141</v>
      </c>
      <c r="CW15" s="215" t="s">
        <v>141</v>
      </c>
      <c r="CX15" s="216">
        <v>1000</v>
      </c>
      <c r="CY15" s="217" t="s">
        <v>150</v>
      </c>
      <c r="CZ15" s="218" t="s">
        <v>180</v>
      </c>
      <c r="DA15" s="219" t="s">
        <v>152</v>
      </c>
      <c r="DB15" s="220" t="s">
        <v>153</v>
      </c>
      <c r="DC15" s="221" t="s">
        <v>181</v>
      </c>
      <c r="DD15" s="222" t="s">
        <v>182</v>
      </c>
      <c r="DE15" s="223" t="s">
        <v>373</v>
      </c>
      <c r="DF15" s="224" t="s">
        <v>157</v>
      </c>
      <c r="DG15" s="225">
        <v>2013</v>
      </c>
      <c r="DH15" s="226" t="s">
        <v>374</v>
      </c>
      <c r="DI15" s="228" t="str">
        <f>HYPERLINK("https://my.pitchbook.com?c=27540-19T", "View company online")</f>
        <v>View company online</v>
      </c>
    </row>
    <row r="16" spans="1:113" x14ac:dyDescent="0.2">
      <c r="A16" s="3" t="s">
        <v>375</v>
      </c>
      <c r="B16" s="4" t="s">
        <v>376</v>
      </c>
      <c r="C16" s="5" t="s">
        <v>377</v>
      </c>
      <c r="D16" s="6" t="s">
        <v>378</v>
      </c>
      <c r="E16" s="7" t="s">
        <v>379</v>
      </c>
      <c r="F16" s="8" t="s">
        <v>126</v>
      </c>
      <c r="G16" s="9" t="s">
        <v>127</v>
      </c>
      <c r="H16" s="10" t="s">
        <v>128</v>
      </c>
      <c r="I16" s="11" t="s">
        <v>129</v>
      </c>
      <c r="J16" s="12" t="s">
        <v>130</v>
      </c>
      <c r="K16" s="13" t="s">
        <v>380</v>
      </c>
      <c r="L16" s="14" t="s">
        <v>132</v>
      </c>
      <c r="M16" s="15" t="s">
        <v>133</v>
      </c>
      <c r="N16" s="16" t="s">
        <v>134</v>
      </c>
      <c r="O16" s="17" t="s">
        <v>381</v>
      </c>
      <c r="P16" s="18" t="s">
        <v>382</v>
      </c>
      <c r="Q16" s="19" t="s">
        <v>383</v>
      </c>
      <c r="R16" s="20" t="s">
        <v>384</v>
      </c>
      <c r="S16" s="21" t="s">
        <v>385</v>
      </c>
      <c r="T16" s="22" t="s">
        <v>386</v>
      </c>
      <c r="U16" s="23">
        <v>1</v>
      </c>
      <c r="V16" s="24" t="s">
        <v>375</v>
      </c>
      <c r="W16" s="25" t="s">
        <v>141</v>
      </c>
      <c r="X16" s="26" t="s">
        <v>141</v>
      </c>
      <c r="Y16" s="27" t="s">
        <v>141</v>
      </c>
      <c r="Z16" s="28" t="s">
        <v>141</v>
      </c>
      <c r="AA16" s="29" t="s">
        <v>141</v>
      </c>
      <c r="AB16" s="30" t="s">
        <v>141</v>
      </c>
      <c r="AC16" s="31" t="s">
        <v>141</v>
      </c>
      <c r="AD16" s="32" t="s">
        <v>141</v>
      </c>
      <c r="AE16" s="33" t="s">
        <v>141</v>
      </c>
      <c r="AF16" s="34" t="s">
        <v>141</v>
      </c>
      <c r="AG16" s="35" t="s">
        <v>141</v>
      </c>
      <c r="AH16" s="36" t="s">
        <v>141</v>
      </c>
      <c r="AI16" s="37" t="s">
        <v>141</v>
      </c>
      <c r="AJ16" s="38" t="s">
        <v>142</v>
      </c>
      <c r="AK16" s="39" t="s">
        <v>141</v>
      </c>
      <c r="AL16" s="40" t="s">
        <v>141</v>
      </c>
      <c r="AM16" s="41" t="s">
        <v>143</v>
      </c>
      <c r="AN16" s="42" t="s">
        <v>387</v>
      </c>
      <c r="AO16" s="43" t="s">
        <v>141</v>
      </c>
      <c r="AP16" s="44" t="s">
        <v>145</v>
      </c>
      <c r="AQ16" s="45" t="s">
        <v>141</v>
      </c>
      <c r="AR16" s="46" t="s">
        <v>141</v>
      </c>
      <c r="AS16" s="47" t="s">
        <v>141</v>
      </c>
      <c r="AT16" s="48" t="s">
        <v>141</v>
      </c>
      <c r="AU16" s="49" t="s">
        <v>141</v>
      </c>
      <c r="AV16" s="50" t="s">
        <v>141</v>
      </c>
      <c r="AW16" s="51" t="s">
        <v>141</v>
      </c>
      <c r="AX16" s="52" t="s">
        <v>141</v>
      </c>
      <c r="AY16" s="53" t="s">
        <v>141</v>
      </c>
      <c r="AZ16" s="54" t="s">
        <v>141</v>
      </c>
      <c r="BA16" s="55" t="s">
        <v>146</v>
      </c>
      <c r="BB16" s="56" t="s">
        <v>263</v>
      </c>
      <c r="BC16" s="57" t="s">
        <v>193</v>
      </c>
      <c r="BD16" s="58">
        <v>30</v>
      </c>
      <c r="BE16" s="59">
        <v>1</v>
      </c>
      <c r="BF16" s="60" t="s">
        <v>388</v>
      </c>
      <c r="BG16" s="61">
        <v>1</v>
      </c>
      <c r="BH16" s="62" t="s">
        <v>141</v>
      </c>
      <c r="BI16" s="63" t="s">
        <v>141</v>
      </c>
      <c r="BJ16" s="64" t="s">
        <v>141</v>
      </c>
      <c r="BK16" s="65" t="s">
        <v>389</v>
      </c>
      <c r="BL16" s="66" t="s">
        <v>388</v>
      </c>
      <c r="BM16" s="67" t="s">
        <v>388</v>
      </c>
      <c r="BN16" s="68" t="s">
        <v>141</v>
      </c>
      <c r="BO16" s="69" t="s">
        <v>141</v>
      </c>
      <c r="BP16" s="70" t="s">
        <v>141</v>
      </c>
      <c r="BQ16" s="71" t="s">
        <v>141</v>
      </c>
      <c r="BR16" s="72" t="s">
        <v>141</v>
      </c>
      <c r="BS16" s="73" t="s">
        <v>141</v>
      </c>
      <c r="BT16" s="74" t="s">
        <v>141</v>
      </c>
      <c r="BU16" s="75" t="s">
        <v>141</v>
      </c>
      <c r="BV16" s="76" t="s">
        <v>141</v>
      </c>
      <c r="BW16" s="77" t="s">
        <v>141</v>
      </c>
      <c r="BX16" s="78" t="s">
        <v>141</v>
      </c>
      <c r="BY16" s="79" t="s">
        <v>141</v>
      </c>
      <c r="BZ16" s="80" t="s">
        <v>141</v>
      </c>
      <c r="CA16" s="81" t="s">
        <v>141</v>
      </c>
      <c r="CB16" s="82" t="s">
        <v>141</v>
      </c>
      <c r="CC16" s="83" t="s">
        <v>141</v>
      </c>
      <c r="CD16" s="84" t="s">
        <v>141</v>
      </c>
      <c r="CE16" s="85" t="s">
        <v>141</v>
      </c>
      <c r="CF16" s="86" t="s">
        <v>141</v>
      </c>
      <c r="CG16" s="87" t="s">
        <v>141</v>
      </c>
      <c r="CH16" s="88" t="s">
        <v>141</v>
      </c>
      <c r="CI16" s="89" t="s">
        <v>141</v>
      </c>
      <c r="CJ16" s="90" t="s">
        <v>141</v>
      </c>
      <c r="CK16" s="91" t="s">
        <v>141</v>
      </c>
      <c r="CL16" s="92" t="s">
        <v>141</v>
      </c>
      <c r="CM16" s="93" t="s">
        <v>141</v>
      </c>
      <c r="CN16" s="94" t="s">
        <v>141</v>
      </c>
      <c r="CO16" s="95" t="s">
        <v>141</v>
      </c>
      <c r="CP16" s="96" t="s">
        <v>141</v>
      </c>
      <c r="CQ16" s="97" t="s">
        <v>141</v>
      </c>
      <c r="CR16" s="98" t="s">
        <v>141</v>
      </c>
      <c r="CS16" s="99" t="s">
        <v>141</v>
      </c>
      <c r="CT16" s="100" t="s">
        <v>141</v>
      </c>
      <c r="CU16" s="101" t="s">
        <v>141</v>
      </c>
      <c r="CV16" s="102" t="s">
        <v>141</v>
      </c>
      <c r="CW16" s="103" t="s">
        <v>141</v>
      </c>
      <c r="CX16" s="104">
        <v>30</v>
      </c>
      <c r="CY16" s="105" t="s">
        <v>150</v>
      </c>
      <c r="CZ16" s="106" t="s">
        <v>390</v>
      </c>
      <c r="DA16" s="107" t="s">
        <v>152</v>
      </c>
      <c r="DB16" s="108" t="s">
        <v>153</v>
      </c>
      <c r="DC16" s="109" t="s">
        <v>391</v>
      </c>
      <c r="DD16" s="110" t="s">
        <v>392</v>
      </c>
      <c r="DE16" s="111" t="s">
        <v>393</v>
      </c>
      <c r="DF16" s="112" t="s">
        <v>157</v>
      </c>
      <c r="DG16" s="113">
        <v>2015</v>
      </c>
      <c r="DH16" s="114" t="s">
        <v>394</v>
      </c>
      <c r="DI16" s="227" t="str">
        <f>HYPERLINK("https://my.pitchbook.com?c=79192-54T", "View company online")</f>
        <v>View company online</v>
      </c>
    </row>
    <row r="17" spans="1:113" x14ac:dyDescent="0.2">
      <c r="A17" s="115" t="s">
        <v>395</v>
      </c>
      <c r="B17" s="116" t="s">
        <v>396</v>
      </c>
      <c r="C17" s="117" t="s">
        <v>397</v>
      </c>
      <c r="D17" s="118" t="s">
        <v>398</v>
      </c>
      <c r="E17" s="119" t="s">
        <v>399</v>
      </c>
      <c r="F17" s="120" t="s">
        <v>164</v>
      </c>
      <c r="G17" s="121" t="s">
        <v>165</v>
      </c>
      <c r="H17" s="122" t="s">
        <v>190</v>
      </c>
      <c r="I17" s="123" t="s">
        <v>229</v>
      </c>
      <c r="J17" s="124" t="s">
        <v>400</v>
      </c>
      <c r="K17" s="125" t="s">
        <v>401</v>
      </c>
      <c r="L17" s="126" t="s">
        <v>402</v>
      </c>
      <c r="M17" s="127" t="s">
        <v>133</v>
      </c>
      <c r="N17" s="128" t="s">
        <v>231</v>
      </c>
      <c r="O17" s="129" t="s">
        <v>403</v>
      </c>
      <c r="P17" s="130" t="s">
        <v>404</v>
      </c>
      <c r="Q17" s="131" t="s">
        <v>141</v>
      </c>
      <c r="R17" s="132" t="s">
        <v>141</v>
      </c>
      <c r="S17" s="133" t="s">
        <v>405</v>
      </c>
      <c r="T17" s="134" t="s">
        <v>141</v>
      </c>
      <c r="U17" s="135">
        <v>2</v>
      </c>
      <c r="V17" s="136" t="s">
        <v>395</v>
      </c>
      <c r="W17" s="137" t="s">
        <v>141</v>
      </c>
      <c r="X17" s="138">
        <v>42614</v>
      </c>
      <c r="Y17" s="139" t="s">
        <v>141</v>
      </c>
      <c r="Z17" s="140" t="s">
        <v>141</v>
      </c>
      <c r="AA17" s="141" t="s">
        <v>141</v>
      </c>
      <c r="AB17" s="142" t="s">
        <v>141</v>
      </c>
      <c r="AC17" s="143" t="s">
        <v>141</v>
      </c>
      <c r="AD17" s="144" t="s">
        <v>141</v>
      </c>
      <c r="AE17" s="145">
        <v>0.65</v>
      </c>
      <c r="AF17" s="146" t="s">
        <v>141</v>
      </c>
      <c r="AG17" s="147" t="s">
        <v>141</v>
      </c>
      <c r="AH17" s="148" t="s">
        <v>141</v>
      </c>
      <c r="AI17" s="149" t="s">
        <v>141</v>
      </c>
      <c r="AJ17" s="150" t="s">
        <v>142</v>
      </c>
      <c r="AK17" s="151" t="s">
        <v>141</v>
      </c>
      <c r="AL17" s="152" t="s">
        <v>141</v>
      </c>
      <c r="AM17" s="153" t="s">
        <v>143</v>
      </c>
      <c r="AN17" s="154" t="s">
        <v>406</v>
      </c>
      <c r="AO17" s="155" t="s">
        <v>141</v>
      </c>
      <c r="AP17" s="156" t="s">
        <v>145</v>
      </c>
      <c r="AQ17" s="157" t="s">
        <v>141</v>
      </c>
      <c r="AR17" s="158" t="s">
        <v>141</v>
      </c>
      <c r="AS17" s="159" t="s">
        <v>141</v>
      </c>
      <c r="AT17" s="160" t="s">
        <v>141</v>
      </c>
      <c r="AU17" s="161" t="s">
        <v>141</v>
      </c>
      <c r="AV17" s="162" t="s">
        <v>141</v>
      </c>
      <c r="AW17" s="163" t="s">
        <v>141</v>
      </c>
      <c r="AX17" s="164" t="s">
        <v>141</v>
      </c>
      <c r="AY17" s="165" t="s">
        <v>141</v>
      </c>
      <c r="AZ17" s="166" t="s">
        <v>141</v>
      </c>
      <c r="BA17" s="167" t="s">
        <v>146</v>
      </c>
      <c r="BB17" s="168" t="s">
        <v>133</v>
      </c>
      <c r="BC17" s="169" t="s">
        <v>193</v>
      </c>
      <c r="BD17" s="170" t="s">
        <v>141</v>
      </c>
      <c r="BE17" s="171">
        <v>1</v>
      </c>
      <c r="BF17" s="172" t="s">
        <v>407</v>
      </c>
      <c r="BG17" s="173">
        <v>1</v>
      </c>
      <c r="BH17" s="174" t="s">
        <v>141</v>
      </c>
      <c r="BI17" s="175" t="s">
        <v>141</v>
      </c>
      <c r="BJ17" s="176" t="s">
        <v>141</v>
      </c>
      <c r="BK17" s="177" t="s">
        <v>408</v>
      </c>
      <c r="BL17" s="178" t="s">
        <v>407</v>
      </c>
      <c r="BM17" s="179" t="s">
        <v>407</v>
      </c>
      <c r="BN17" s="180" t="s">
        <v>141</v>
      </c>
      <c r="BO17" s="181" t="s">
        <v>141</v>
      </c>
      <c r="BP17" s="182" t="s">
        <v>141</v>
      </c>
      <c r="BQ17" s="183" t="s">
        <v>141</v>
      </c>
      <c r="BR17" s="184" t="s">
        <v>141</v>
      </c>
      <c r="BS17" s="185" t="s">
        <v>141</v>
      </c>
      <c r="BT17" s="186" t="s">
        <v>141</v>
      </c>
      <c r="BU17" s="187" t="s">
        <v>141</v>
      </c>
      <c r="BV17" s="188" t="s">
        <v>141</v>
      </c>
      <c r="BW17" s="189" t="s">
        <v>141</v>
      </c>
      <c r="BX17" s="190">
        <v>0.25</v>
      </c>
      <c r="BY17" s="191">
        <v>400</v>
      </c>
      <c r="BZ17" s="192" t="s">
        <v>141</v>
      </c>
      <c r="CA17" s="193" t="s">
        <v>141</v>
      </c>
      <c r="CB17" s="194" t="s">
        <v>141</v>
      </c>
      <c r="CC17" s="195" t="s">
        <v>141</v>
      </c>
      <c r="CD17" s="196" t="s">
        <v>141</v>
      </c>
      <c r="CE17" s="197">
        <v>2016</v>
      </c>
      <c r="CF17" s="198" t="s">
        <v>141</v>
      </c>
      <c r="CG17" s="199" t="s">
        <v>141</v>
      </c>
      <c r="CH17" s="200" t="s">
        <v>141</v>
      </c>
      <c r="CI17" s="201" t="s">
        <v>141</v>
      </c>
      <c r="CJ17" s="202" t="s">
        <v>141</v>
      </c>
      <c r="CK17" s="203" t="s">
        <v>141</v>
      </c>
      <c r="CL17" s="204" t="s">
        <v>141</v>
      </c>
      <c r="CM17" s="205" t="s">
        <v>141</v>
      </c>
      <c r="CN17" s="206" t="s">
        <v>141</v>
      </c>
      <c r="CO17" s="207" t="s">
        <v>141</v>
      </c>
      <c r="CP17" s="208" t="s">
        <v>141</v>
      </c>
      <c r="CQ17" s="209" t="s">
        <v>141</v>
      </c>
      <c r="CR17" s="210" t="s">
        <v>141</v>
      </c>
      <c r="CS17" s="211" t="s">
        <v>141</v>
      </c>
      <c r="CT17" s="212" t="s">
        <v>141</v>
      </c>
      <c r="CU17" s="213" t="s">
        <v>141</v>
      </c>
      <c r="CV17" s="214" t="s">
        <v>141</v>
      </c>
      <c r="CW17" s="215" t="s">
        <v>141</v>
      </c>
      <c r="CX17" s="216" t="s">
        <v>141</v>
      </c>
      <c r="CY17" s="217" t="s">
        <v>150</v>
      </c>
      <c r="CZ17" s="218" t="s">
        <v>409</v>
      </c>
      <c r="DA17" s="219" t="s">
        <v>152</v>
      </c>
      <c r="DB17" s="220" t="s">
        <v>153</v>
      </c>
      <c r="DC17" s="221" t="s">
        <v>410</v>
      </c>
      <c r="DD17" s="222" t="s">
        <v>182</v>
      </c>
      <c r="DE17" s="223" t="s">
        <v>411</v>
      </c>
      <c r="DF17" s="224" t="s">
        <v>157</v>
      </c>
      <c r="DG17" s="225">
        <v>2015</v>
      </c>
      <c r="DH17" s="226" t="s">
        <v>412</v>
      </c>
      <c r="DI17" s="228" t="str">
        <f>HYPERLINK("https://my.pitchbook.com?c=77171-77T", "View company online")</f>
        <v>View company online</v>
      </c>
    </row>
    <row r="18" spans="1:113" x14ac:dyDescent="0.2">
      <c r="A18" s="3" t="s">
        <v>413</v>
      </c>
      <c r="B18" s="4" t="s">
        <v>414</v>
      </c>
      <c r="C18" s="5" t="s">
        <v>415</v>
      </c>
      <c r="D18" s="6" t="s">
        <v>416</v>
      </c>
      <c r="E18" s="7" t="s">
        <v>417</v>
      </c>
      <c r="F18" s="8" t="s">
        <v>164</v>
      </c>
      <c r="G18" s="9" t="s">
        <v>165</v>
      </c>
      <c r="H18" s="10" t="s">
        <v>418</v>
      </c>
      <c r="I18" s="11" t="s">
        <v>419</v>
      </c>
      <c r="J18" s="12" t="s">
        <v>211</v>
      </c>
      <c r="K18" s="13" t="s">
        <v>420</v>
      </c>
      <c r="L18" s="14" t="s">
        <v>345</v>
      </c>
      <c r="M18" s="15" t="s">
        <v>133</v>
      </c>
      <c r="N18" s="16" t="s">
        <v>170</v>
      </c>
      <c r="O18" s="17" t="s">
        <v>421</v>
      </c>
      <c r="P18" s="18" t="s">
        <v>422</v>
      </c>
      <c r="Q18" s="19" t="s">
        <v>141</v>
      </c>
      <c r="R18" s="20" t="s">
        <v>423</v>
      </c>
      <c r="S18" s="21" t="s">
        <v>424</v>
      </c>
      <c r="T18" s="22" t="s">
        <v>425</v>
      </c>
      <c r="U18" s="23">
        <v>2</v>
      </c>
      <c r="V18" s="24" t="s">
        <v>413</v>
      </c>
      <c r="W18" s="25" t="s">
        <v>141</v>
      </c>
      <c r="X18" s="26">
        <v>40909</v>
      </c>
      <c r="Y18" s="27" t="s">
        <v>141</v>
      </c>
      <c r="Z18" s="28" t="s">
        <v>141</v>
      </c>
      <c r="AA18" s="29" t="s">
        <v>141</v>
      </c>
      <c r="AB18" s="30" t="s">
        <v>141</v>
      </c>
      <c r="AC18" s="31" t="s">
        <v>141</v>
      </c>
      <c r="AD18" s="32" t="s">
        <v>141</v>
      </c>
      <c r="AE18" s="33" t="s">
        <v>141</v>
      </c>
      <c r="AF18" s="34" t="s">
        <v>141</v>
      </c>
      <c r="AG18" s="35" t="s">
        <v>141</v>
      </c>
      <c r="AH18" s="36" t="s">
        <v>141</v>
      </c>
      <c r="AI18" s="37" t="s">
        <v>141</v>
      </c>
      <c r="AJ18" s="38" t="s">
        <v>142</v>
      </c>
      <c r="AK18" s="39" t="s">
        <v>141</v>
      </c>
      <c r="AL18" s="40" t="s">
        <v>141</v>
      </c>
      <c r="AM18" s="41" t="s">
        <v>170</v>
      </c>
      <c r="AN18" s="42" t="s">
        <v>426</v>
      </c>
      <c r="AO18" s="43" t="s">
        <v>141</v>
      </c>
      <c r="AP18" s="44" t="s">
        <v>145</v>
      </c>
      <c r="AQ18" s="45" t="s">
        <v>141</v>
      </c>
      <c r="AR18" s="46" t="s">
        <v>141</v>
      </c>
      <c r="AS18" s="47" t="s">
        <v>141</v>
      </c>
      <c r="AT18" s="48" t="s">
        <v>141</v>
      </c>
      <c r="AU18" s="49" t="s">
        <v>141</v>
      </c>
      <c r="AV18" s="50" t="s">
        <v>141</v>
      </c>
      <c r="AW18" s="51" t="s">
        <v>141</v>
      </c>
      <c r="AX18" s="52" t="s">
        <v>141</v>
      </c>
      <c r="AY18" s="53" t="s">
        <v>141</v>
      </c>
      <c r="AZ18" s="54" t="s">
        <v>141</v>
      </c>
      <c r="BA18" s="55" t="s">
        <v>146</v>
      </c>
      <c r="BB18" s="56" t="s">
        <v>263</v>
      </c>
      <c r="BC18" s="57" t="s">
        <v>193</v>
      </c>
      <c r="BD18" s="58" t="s">
        <v>141</v>
      </c>
      <c r="BE18" s="59">
        <v>1</v>
      </c>
      <c r="BF18" s="60" t="s">
        <v>427</v>
      </c>
      <c r="BG18" s="61">
        <v>1</v>
      </c>
      <c r="BH18" s="62" t="s">
        <v>141</v>
      </c>
      <c r="BI18" s="63" t="s">
        <v>141</v>
      </c>
      <c r="BJ18" s="64" t="s">
        <v>141</v>
      </c>
      <c r="BK18" s="65" t="s">
        <v>428</v>
      </c>
      <c r="BL18" s="66" t="s">
        <v>429</v>
      </c>
      <c r="BM18" s="67" t="s">
        <v>429</v>
      </c>
      <c r="BN18" s="68" t="s">
        <v>430</v>
      </c>
      <c r="BO18" s="69" t="s">
        <v>141</v>
      </c>
      <c r="BP18" s="70" t="s">
        <v>141</v>
      </c>
      <c r="BQ18" s="71" t="s">
        <v>141</v>
      </c>
      <c r="BR18" s="72" t="s">
        <v>141</v>
      </c>
      <c r="BS18" s="73" t="s">
        <v>141</v>
      </c>
      <c r="BT18" s="74" t="s">
        <v>141</v>
      </c>
      <c r="BU18" s="75" t="s">
        <v>141</v>
      </c>
      <c r="BV18" s="76" t="s">
        <v>141</v>
      </c>
      <c r="BW18" s="77" t="s">
        <v>141</v>
      </c>
      <c r="BX18" s="78" t="s">
        <v>141</v>
      </c>
      <c r="BY18" s="79" t="s">
        <v>141</v>
      </c>
      <c r="BZ18" s="80" t="s">
        <v>141</v>
      </c>
      <c r="CA18" s="81" t="s">
        <v>141</v>
      </c>
      <c r="CB18" s="82" t="s">
        <v>141</v>
      </c>
      <c r="CC18" s="83" t="s">
        <v>141</v>
      </c>
      <c r="CD18" s="84" t="s">
        <v>141</v>
      </c>
      <c r="CE18" s="85" t="s">
        <v>141</v>
      </c>
      <c r="CF18" s="86" t="s">
        <v>141</v>
      </c>
      <c r="CG18" s="87" t="s">
        <v>141</v>
      </c>
      <c r="CH18" s="88" t="s">
        <v>141</v>
      </c>
      <c r="CI18" s="89" t="s">
        <v>141</v>
      </c>
      <c r="CJ18" s="90" t="s">
        <v>141</v>
      </c>
      <c r="CK18" s="91" t="s">
        <v>141</v>
      </c>
      <c r="CL18" s="92" t="s">
        <v>141</v>
      </c>
      <c r="CM18" s="93" t="s">
        <v>141</v>
      </c>
      <c r="CN18" s="94" t="s">
        <v>141</v>
      </c>
      <c r="CO18" s="95" t="s">
        <v>141</v>
      </c>
      <c r="CP18" s="96" t="s">
        <v>141</v>
      </c>
      <c r="CQ18" s="97" t="s">
        <v>141</v>
      </c>
      <c r="CR18" s="98" t="s">
        <v>141</v>
      </c>
      <c r="CS18" s="99" t="s">
        <v>141</v>
      </c>
      <c r="CT18" s="100" t="s">
        <v>141</v>
      </c>
      <c r="CU18" s="101" t="s">
        <v>141</v>
      </c>
      <c r="CV18" s="102" t="s">
        <v>141</v>
      </c>
      <c r="CW18" s="103" t="s">
        <v>141</v>
      </c>
      <c r="CX18" s="104">
        <v>300</v>
      </c>
      <c r="CY18" s="105" t="s">
        <v>150</v>
      </c>
      <c r="CZ18" s="106" t="s">
        <v>240</v>
      </c>
      <c r="DA18" s="107" t="s">
        <v>152</v>
      </c>
      <c r="DB18" s="108" t="s">
        <v>153</v>
      </c>
      <c r="DC18" s="109" t="s">
        <v>241</v>
      </c>
      <c r="DD18" s="110" t="s">
        <v>242</v>
      </c>
      <c r="DE18" s="111" t="s">
        <v>283</v>
      </c>
      <c r="DF18" s="112" t="s">
        <v>157</v>
      </c>
      <c r="DG18" s="113">
        <v>2012</v>
      </c>
      <c r="DH18" s="114" t="s">
        <v>431</v>
      </c>
      <c r="DI18" s="227" t="str">
        <f>HYPERLINK("https://my.pitchbook.com?c=37242-73T", "View company online")</f>
        <v>View company online</v>
      </c>
    </row>
    <row r="19" spans="1:113" x14ac:dyDescent="0.2">
      <c r="A19" s="115" t="s">
        <v>432</v>
      </c>
      <c r="B19" s="116" t="s">
        <v>414</v>
      </c>
      <c r="C19" s="117" t="s">
        <v>415</v>
      </c>
      <c r="D19" s="118" t="s">
        <v>416</v>
      </c>
      <c r="E19" s="119" t="s">
        <v>417</v>
      </c>
      <c r="F19" s="120" t="s">
        <v>164</v>
      </c>
      <c r="G19" s="121" t="s">
        <v>165</v>
      </c>
      <c r="H19" s="122" t="s">
        <v>418</v>
      </c>
      <c r="I19" s="123" t="s">
        <v>419</v>
      </c>
      <c r="J19" s="124" t="s">
        <v>211</v>
      </c>
      <c r="K19" s="125" t="s">
        <v>420</v>
      </c>
      <c r="L19" s="126" t="s">
        <v>345</v>
      </c>
      <c r="M19" s="127" t="s">
        <v>133</v>
      </c>
      <c r="N19" s="128" t="s">
        <v>170</v>
      </c>
      <c r="O19" s="129" t="s">
        <v>433</v>
      </c>
      <c r="P19" s="130" t="s">
        <v>434</v>
      </c>
      <c r="Q19" s="131" t="s">
        <v>435</v>
      </c>
      <c r="R19" s="132" t="s">
        <v>436</v>
      </c>
      <c r="S19" s="133" t="s">
        <v>437</v>
      </c>
      <c r="T19" s="134" t="s">
        <v>438</v>
      </c>
      <c r="U19" s="135">
        <v>3</v>
      </c>
      <c r="V19" s="136" t="s">
        <v>432</v>
      </c>
      <c r="W19" s="137" t="s">
        <v>141</v>
      </c>
      <c r="X19" s="138">
        <v>41149</v>
      </c>
      <c r="Y19" s="139" t="s">
        <v>141</v>
      </c>
      <c r="Z19" s="140" t="s">
        <v>141</v>
      </c>
      <c r="AA19" s="141" t="s">
        <v>141</v>
      </c>
      <c r="AB19" s="142" t="s">
        <v>141</v>
      </c>
      <c r="AC19" s="143" t="s">
        <v>141</v>
      </c>
      <c r="AD19" s="144" t="s">
        <v>141</v>
      </c>
      <c r="AE19" s="145" t="s">
        <v>141</v>
      </c>
      <c r="AF19" s="146" t="s">
        <v>141</v>
      </c>
      <c r="AG19" s="147" t="s">
        <v>141</v>
      </c>
      <c r="AH19" s="148" t="s">
        <v>141</v>
      </c>
      <c r="AI19" s="149" t="s">
        <v>141</v>
      </c>
      <c r="AJ19" s="150" t="s">
        <v>142</v>
      </c>
      <c r="AK19" s="151" t="s">
        <v>141</v>
      </c>
      <c r="AL19" s="152" t="s">
        <v>141</v>
      </c>
      <c r="AM19" s="153" t="s">
        <v>143</v>
      </c>
      <c r="AN19" s="154" t="s">
        <v>439</v>
      </c>
      <c r="AO19" s="155" t="s">
        <v>141</v>
      </c>
      <c r="AP19" s="156" t="s">
        <v>145</v>
      </c>
      <c r="AQ19" s="157" t="s">
        <v>141</v>
      </c>
      <c r="AR19" s="158" t="s">
        <v>141</v>
      </c>
      <c r="AS19" s="159" t="s">
        <v>141</v>
      </c>
      <c r="AT19" s="160" t="s">
        <v>141</v>
      </c>
      <c r="AU19" s="161" t="s">
        <v>141</v>
      </c>
      <c r="AV19" s="162" t="s">
        <v>141</v>
      </c>
      <c r="AW19" s="163" t="s">
        <v>141</v>
      </c>
      <c r="AX19" s="164" t="s">
        <v>141</v>
      </c>
      <c r="AY19" s="165" t="s">
        <v>141</v>
      </c>
      <c r="AZ19" s="166" t="s">
        <v>141</v>
      </c>
      <c r="BA19" s="167" t="s">
        <v>146</v>
      </c>
      <c r="BB19" s="168" t="s">
        <v>263</v>
      </c>
      <c r="BC19" s="169" t="s">
        <v>193</v>
      </c>
      <c r="BD19" s="170" t="s">
        <v>141</v>
      </c>
      <c r="BE19" s="171">
        <v>1</v>
      </c>
      <c r="BF19" s="172" t="s">
        <v>440</v>
      </c>
      <c r="BG19" s="173">
        <v>1</v>
      </c>
      <c r="BH19" s="174" t="s">
        <v>141</v>
      </c>
      <c r="BI19" s="175" t="s">
        <v>141</v>
      </c>
      <c r="BJ19" s="176" t="s">
        <v>141</v>
      </c>
      <c r="BK19" s="177" t="s">
        <v>441</v>
      </c>
      <c r="BL19" s="178" t="s">
        <v>440</v>
      </c>
      <c r="BM19" s="179" t="s">
        <v>440</v>
      </c>
      <c r="BN19" s="180" t="s">
        <v>141</v>
      </c>
      <c r="BO19" s="181" t="s">
        <v>141</v>
      </c>
      <c r="BP19" s="182" t="s">
        <v>141</v>
      </c>
      <c r="BQ19" s="183" t="s">
        <v>141</v>
      </c>
      <c r="BR19" s="184" t="s">
        <v>141</v>
      </c>
      <c r="BS19" s="185" t="s">
        <v>141</v>
      </c>
      <c r="BT19" s="186" t="s">
        <v>141</v>
      </c>
      <c r="BU19" s="187" t="s">
        <v>141</v>
      </c>
      <c r="BV19" s="188" t="s">
        <v>141</v>
      </c>
      <c r="BW19" s="189" t="s">
        <v>141</v>
      </c>
      <c r="BX19" s="190" t="s">
        <v>141</v>
      </c>
      <c r="BY19" s="191" t="s">
        <v>141</v>
      </c>
      <c r="BZ19" s="192" t="s">
        <v>141</v>
      </c>
      <c r="CA19" s="193" t="s">
        <v>141</v>
      </c>
      <c r="CB19" s="194" t="s">
        <v>141</v>
      </c>
      <c r="CC19" s="195" t="s">
        <v>141</v>
      </c>
      <c r="CD19" s="196" t="s">
        <v>141</v>
      </c>
      <c r="CE19" s="197" t="s">
        <v>141</v>
      </c>
      <c r="CF19" s="198" t="s">
        <v>141</v>
      </c>
      <c r="CG19" s="199" t="s">
        <v>141</v>
      </c>
      <c r="CH19" s="200" t="s">
        <v>141</v>
      </c>
      <c r="CI19" s="201" t="s">
        <v>141</v>
      </c>
      <c r="CJ19" s="202" t="s">
        <v>141</v>
      </c>
      <c r="CK19" s="203" t="s">
        <v>141</v>
      </c>
      <c r="CL19" s="204" t="s">
        <v>141</v>
      </c>
      <c r="CM19" s="205" t="s">
        <v>141</v>
      </c>
      <c r="CN19" s="206" t="s">
        <v>141</v>
      </c>
      <c r="CO19" s="207" t="s">
        <v>141</v>
      </c>
      <c r="CP19" s="208" t="s">
        <v>141</v>
      </c>
      <c r="CQ19" s="209" t="s">
        <v>141</v>
      </c>
      <c r="CR19" s="210" t="s">
        <v>141</v>
      </c>
      <c r="CS19" s="211" t="s">
        <v>141</v>
      </c>
      <c r="CT19" s="212" t="s">
        <v>141</v>
      </c>
      <c r="CU19" s="213" t="s">
        <v>141</v>
      </c>
      <c r="CV19" s="214" t="s">
        <v>141</v>
      </c>
      <c r="CW19" s="215" t="s">
        <v>141</v>
      </c>
      <c r="CX19" s="216">
        <v>300</v>
      </c>
      <c r="CY19" s="217" t="s">
        <v>150</v>
      </c>
      <c r="CZ19" s="218" t="s">
        <v>240</v>
      </c>
      <c r="DA19" s="219" t="s">
        <v>152</v>
      </c>
      <c r="DB19" s="220" t="s">
        <v>153</v>
      </c>
      <c r="DC19" s="221" t="s">
        <v>241</v>
      </c>
      <c r="DD19" s="222" t="s">
        <v>242</v>
      </c>
      <c r="DE19" s="223" t="s">
        <v>283</v>
      </c>
      <c r="DF19" s="224" t="s">
        <v>157</v>
      </c>
      <c r="DG19" s="225">
        <v>2012</v>
      </c>
      <c r="DH19" s="226" t="s">
        <v>431</v>
      </c>
      <c r="DI19" s="228" t="str">
        <f>HYPERLINK("https://my.pitchbook.com?c=58150-54T", "View company online")</f>
        <v>View company online</v>
      </c>
    </row>
    <row r="20" spans="1:113" x14ac:dyDescent="0.2">
      <c r="A20" s="3" t="s">
        <v>442</v>
      </c>
      <c r="B20" s="4" t="s">
        <v>414</v>
      </c>
      <c r="C20" s="5" t="s">
        <v>415</v>
      </c>
      <c r="D20" s="6" t="s">
        <v>416</v>
      </c>
      <c r="E20" s="7" t="s">
        <v>417</v>
      </c>
      <c r="F20" s="8" t="s">
        <v>164</v>
      </c>
      <c r="G20" s="9" t="s">
        <v>165</v>
      </c>
      <c r="H20" s="10" t="s">
        <v>418</v>
      </c>
      <c r="I20" s="11" t="s">
        <v>419</v>
      </c>
      <c r="J20" s="12" t="s">
        <v>211</v>
      </c>
      <c r="K20" s="13" t="s">
        <v>420</v>
      </c>
      <c r="L20" s="14" t="s">
        <v>345</v>
      </c>
      <c r="M20" s="15" t="s">
        <v>133</v>
      </c>
      <c r="N20" s="16" t="s">
        <v>170</v>
      </c>
      <c r="O20" s="17" t="s">
        <v>433</v>
      </c>
      <c r="P20" s="18" t="s">
        <v>434</v>
      </c>
      <c r="Q20" s="19" t="s">
        <v>435</v>
      </c>
      <c r="R20" s="20" t="s">
        <v>436</v>
      </c>
      <c r="S20" s="21" t="s">
        <v>437</v>
      </c>
      <c r="T20" s="22" t="s">
        <v>438</v>
      </c>
      <c r="U20" s="23">
        <v>1</v>
      </c>
      <c r="V20" s="24" t="s">
        <v>442</v>
      </c>
      <c r="W20" s="25" t="s">
        <v>141</v>
      </c>
      <c r="X20" s="26" t="s">
        <v>141</v>
      </c>
      <c r="Y20" s="27" t="s">
        <v>141</v>
      </c>
      <c r="Z20" s="28" t="s">
        <v>141</v>
      </c>
      <c r="AA20" s="29" t="s">
        <v>141</v>
      </c>
      <c r="AB20" s="30" t="s">
        <v>141</v>
      </c>
      <c r="AC20" s="31" t="s">
        <v>141</v>
      </c>
      <c r="AD20" s="32" t="s">
        <v>141</v>
      </c>
      <c r="AE20" s="33" t="s">
        <v>141</v>
      </c>
      <c r="AF20" s="34" t="s">
        <v>141</v>
      </c>
      <c r="AG20" s="35" t="s">
        <v>141</v>
      </c>
      <c r="AH20" s="36" t="s">
        <v>141</v>
      </c>
      <c r="AI20" s="37" t="s">
        <v>141</v>
      </c>
      <c r="AJ20" s="38" t="s">
        <v>142</v>
      </c>
      <c r="AK20" s="39" t="s">
        <v>141</v>
      </c>
      <c r="AL20" s="40" t="s">
        <v>141</v>
      </c>
      <c r="AM20" s="41" t="s">
        <v>143</v>
      </c>
      <c r="AN20" s="42" t="s">
        <v>443</v>
      </c>
      <c r="AO20" s="43" t="s">
        <v>141</v>
      </c>
      <c r="AP20" s="44" t="s">
        <v>145</v>
      </c>
      <c r="AQ20" s="45" t="s">
        <v>141</v>
      </c>
      <c r="AR20" s="46" t="s">
        <v>141</v>
      </c>
      <c r="AS20" s="47" t="s">
        <v>141</v>
      </c>
      <c r="AT20" s="48" t="s">
        <v>141</v>
      </c>
      <c r="AU20" s="49" t="s">
        <v>141</v>
      </c>
      <c r="AV20" s="50" t="s">
        <v>141</v>
      </c>
      <c r="AW20" s="51" t="s">
        <v>141</v>
      </c>
      <c r="AX20" s="52" t="s">
        <v>141</v>
      </c>
      <c r="AY20" s="53" t="s">
        <v>141</v>
      </c>
      <c r="AZ20" s="54" t="s">
        <v>141</v>
      </c>
      <c r="BA20" s="55" t="s">
        <v>146</v>
      </c>
      <c r="BB20" s="56" t="s">
        <v>263</v>
      </c>
      <c r="BC20" s="57" t="s">
        <v>193</v>
      </c>
      <c r="BD20" s="58" t="s">
        <v>141</v>
      </c>
      <c r="BE20" s="59">
        <v>1</v>
      </c>
      <c r="BF20" s="60" t="s">
        <v>444</v>
      </c>
      <c r="BG20" s="61">
        <v>1</v>
      </c>
      <c r="BH20" s="62" t="s">
        <v>141</v>
      </c>
      <c r="BI20" s="63" t="s">
        <v>141</v>
      </c>
      <c r="BJ20" s="64" t="s">
        <v>141</v>
      </c>
      <c r="BK20" s="65" t="s">
        <v>445</v>
      </c>
      <c r="BL20" s="66" t="s">
        <v>444</v>
      </c>
      <c r="BM20" s="67" t="s">
        <v>444</v>
      </c>
      <c r="BN20" s="68" t="s">
        <v>141</v>
      </c>
      <c r="BO20" s="69" t="s">
        <v>141</v>
      </c>
      <c r="BP20" s="70" t="s">
        <v>141</v>
      </c>
      <c r="BQ20" s="71" t="s">
        <v>141</v>
      </c>
      <c r="BR20" s="72" t="s">
        <v>141</v>
      </c>
      <c r="BS20" s="73" t="s">
        <v>141</v>
      </c>
      <c r="BT20" s="74" t="s">
        <v>141</v>
      </c>
      <c r="BU20" s="75" t="s">
        <v>141</v>
      </c>
      <c r="BV20" s="76" t="s">
        <v>141</v>
      </c>
      <c r="BW20" s="77" t="s">
        <v>141</v>
      </c>
      <c r="BX20" s="78" t="s">
        <v>141</v>
      </c>
      <c r="BY20" s="79" t="s">
        <v>141</v>
      </c>
      <c r="BZ20" s="80" t="s">
        <v>141</v>
      </c>
      <c r="CA20" s="81" t="s">
        <v>141</v>
      </c>
      <c r="CB20" s="82" t="s">
        <v>141</v>
      </c>
      <c r="CC20" s="83" t="s">
        <v>141</v>
      </c>
      <c r="CD20" s="84" t="s">
        <v>141</v>
      </c>
      <c r="CE20" s="85" t="s">
        <v>141</v>
      </c>
      <c r="CF20" s="86" t="s">
        <v>141</v>
      </c>
      <c r="CG20" s="87" t="s">
        <v>141</v>
      </c>
      <c r="CH20" s="88" t="s">
        <v>141</v>
      </c>
      <c r="CI20" s="89" t="s">
        <v>141</v>
      </c>
      <c r="CJ20" s="90" t="s">
        <v>141</v>
      </c>
      <c r="CK20" s="91" t="s">
        <v>141</v>
      </c>
      <c r="CL20" s="92" t="s">
        <v>141</v>
      </c>
      <c r="CM20" s="93" t="s">
        <v>141</v>
      </c>
      <c r="CN20" s="94" t="s">
        <v>141</v>
      </c>
      <c r="CO20" s="95" t="s">
        <v>141</v>
      </c>
      <c r="CP20" s="96" t="s">
        <v>141</v>
      </c>
      <c r="CQ20" s="97" t="s">
        <v>141</v>
      </c>
      <c r="CR20" s="98" t="s">
        <v>141</v>
      </c>
      <c r="CS20" s="99" t="s">
        <v>141</v>
      </c>
      <c r="CT20" s="100" t="s">
        <v>141</v>
      </c>
      <c r="CU20" s="101" t="s">
        <v>141</v>
      </c>
      <c r="CV20" s="102" t="s">
        <v>141</v>
      </c>
      <c r="CW20" s="103" t="s">
        <v>141</v>
      </c>
      <c r="CX20" s="104">
        <v>300</v>
      </c>
      <c r="CY20" s="105" t="s">
        <v>150</v>
      </c>
      <c r="CZ20" s="106" t="s">
        <v>240</v>
      </c>
      <c r="DA20" s="107" t="s">
        <v>152</v>
      </c>
      <c r="DB20" s="108" t="s">
        <v>153</v>
      </c>
      <c r="DC20" s="109" t="s">
        <v>241</v>
      </c>
      <c r="DD20" s="110" t="s">
        <v>242</v>
      </c>
      <c r="DE20" s="111" t="s">
        <v>283</v>
      </c>
      <c r="DF20" s="112" t="s">
        <v>157</v>
      </c>
      <c r="DG20" s="113">
        <v>2012</v>
      </c>
      <c r="DH20" s="114" t="s">
        <v>431</v>
      </c>
      <c r="DI20" s="227" t="str">
        <f>HYPERLINK("https://my.pitchbook.com?c=58150-72T", "View company online")</f>
        <v>View company online</v>
      </c>
    </row>
    <row r="21" spans="1:113" x14ac:dyDescent="0.2">
      <c r="A21" s="115" t="s">
        <v>446</v>
      </c>
      <c r="B21" s="116" t="s">
        <v>414</v>
      </c>
      <c r="C21" s="117" t="s">
        <v>415</v>
      </c>
      <c r="D21" s="118" t="s">
        <v>416</v>
      </c>
      <c r="E21" s="119" t="s">
        <v>417</v>
      </c>
      <c r="F21" s="120" t="s">
        <v>164</v>
      </c>
      <c r="G21" s="121" t="s">
        <v>165</v>
      </c>
      <c r="H21" s="122" t="s">
        <v>418</v>
      </c>
      <c r="I21" s="123" t="s">
        <v>419</v>
      </c>
      <c r="J21" s="124" t="s">
        <v>211</v>
      </c>
      <c r="K21" s="125" t="s">
        <v>420</v>
      </c>
      <c r="L21" s="126" t="s">
        <v>345</v>
      </c>
      <c r="M21" s="127" t="s">
        <v>133</v>
      </c>
      <c r="N21" s="128" t="s">
        <v>170</v>
      </c>
      <c r="O21" s="129" t="s">
        <v>433</v>
      </c>
      <c r="P21" s="130" t="s">
        <v>434</v>
      </c>
      <c r="Q21" s="131" t="s">
        <v>435</v>
      </c>
      <c r="R21" s="132" t="s">
        <v>436</v>
      </c>
      <c r="S21" s="133" t="s">
        <v>437</v>
      </c>
      <c r="T21" s="134" t="s">
        <v>438</v>
      </c>
      <c r="U21" s="135">
        <v>4</v>
      </c>
      <c r="V21" s="136" t="s">
        <v>446</v>
      </c>
      <c r="W21" s="137" t="s">
        <v>141</v>
      </c>
      <c r="X21" s="138">
        <v>41275</v>
      </c>
      <c r="Y21" s="139" t="s">
        <v>141</v>
      </c>
      <c r="Z21" s="140" t="s">
        <v>141</v>
      </c>
      <c r="AA21" s="141" t="s">
        <v>141</v>
      </c>
      <c r="AB21" s="142" t="s">
        <v>141</v>
      </c>
      <c r="AC21" s="143" t="s">
        <v>141</v>
      </c>
      <c r="AD21" s="144" t="s">
        <v>141</v>
      </c>
      <c r="AE21" s="145" t="s">
        <v>141</v>
      </c>
      <c r="AF21" s="146" t="s">
        <v>141</v>
      </c>
      <c r="AG21" s="147" t="s">
        <v>141</v>
      </c>
      <c r="AH21" s="148" t="s">
        <v>141</v>
      </c>
      <c r="AI21" s="149" t="s">
        <v>141</v>
      </c>
      <c r="AJ21" s="150" t="s">
        <v>142</v>
      </c>
      <c r="AK21" s="151" t="s">
        <v>141</v>
      </c>
      <c r="AL21" s="152" t="s">
        <v>141</v>
      </c>
      <c r="AM21" s="153" t="s">
        <v>143</v>
      </c>
      <c r="AN21" s="154" t="s">
        <v>447</v>
      </c>
      <c r="AO21" s="155" t="s">
        <v>141</v>
      </c>
      <c r="AP21" s="156" t="s">
        <v>145</v>
      </c>
      <c r="AQ21" s="157" t="s">
        <v>141</v>
      </c>
      <c r="AR21" s="158" t="s">
        <v>141</v>
      </c>
      <c r="AS21" s="159" t="s">
        <v>141</v>
      </c>
      <c r="AT21" s="160" t="s">
        <v>141</v>
      </c>
      <c r="AU21" s="161" t="s">
        <v>141</v>
      </c>
      <c r="AV21" s="162" t="s">
        <v>141</v>
      </c>
      <c r="AW21" s="163" t="s">
        <v>141</v>
      </c>
      <c r="AX21" s="164" t="s">
        <v>141</v>
      </c>
      <c r="AY21" s="165" t="s">
        <v>141</v>
      </c>
      <c r="AZ21" s="166" t="s">
        <v>141</v>
      </c>
      <c r="BA21" s="167" t="s">
        <v>146</v>
      </c>
      <c r="BB21" s="168" t="s">
        <v>263</v>
      </c>
      <c r="BC21" s="169" t="s">
        <v>193</v>
      </c>
      <c r="BD21" s="170" t="s">
        <v>141</v>
      </c>
      <c r="BE21" s="171">
        <v>1</v>
      </c>
      <c r="BF21" s="172" t="s">
        <v>448</v>
      </c>
      <c r="BG21" s="173">
        <v>1</v>
      </c>
      <c r="BH21" s="174" t="s">
        <v>141</v>
      </c>
      <c r="BI21" s="175" t="s">
        <v>141</v>
      </c>
      <c r="BJ21" s="176" t="s">
        <v>141</v>
      </c>
      <c r="BK21" s="177" t="s">
        <v>449</v>
      </c>
      <c r="BL21" s="178" t="s">
        <v>450</v>
      </c>
      <c r="BM21" s="179" t="s">
        <v>450</v>
      </c>
      <c r="BN21" s="180" t="s">
        <v>141</v>
      </c>
      <c r="BO21" s="181" t="s">
        <v>141</v>
      </c>
      <c r="BP21" s="182" t="s">
        <v>141</v>
      </c>
      <c r="BQ21" s="183" t="s">
        <v>141</v>
      </c>
      <c r="BR21" s="184" t="s">
        <v>141</v>
      </c>
      <c r="BS21" s="185" t="s">
        <v>141</v>
      </c>
      <c r="BT21" s="186" t="s">
        <v>141</v>
      </c>
      <c r="BU21" s="187" t="s">
        <v>141</v>
      </c>
      <c r="BV21" s="188" t="s">
        <v>141</v>
      </c>
      <c r="BW21" s="189" t="s">
        <v>141</v>
      </c>
      <c r="BX21" s="190" t="s">
        <v>141</v>
      </c>
      <c r="BY21" s="191" t="s">
        <v>141</v>
      </c>
      <c r="BZ21" s="192" t="s">
        <v>141</v>
      </c>
      <c r="CA21" s="193" t="s">
        <v>141</v>
      </c>
      <c r="CB21" s="194" t="s">
        <v>141</v>
      </c>
      <c r="CC21" s="195" t="s">
        <v>141</v>
      </c>
      <c r="CD21" s="196" t="s">
        <v>141</v>
      </c>
      <c r="CE21" s="197" t="s">
        <v>141</v>
      </c>
      <c r="CF21" s="198" t="s">
        <v>141</v>
      </c>
      <c r="CG21" s="199" t="s">
        <v>141</v>
      </c>
      <c r="CH21" s="200" t="s">
        <v>141</v>
      </c>
      <c r="CI21" s="201" t="s">
        <v>141</v>
      </c>
      <c r="CJ21" s="202" t="s">
        <v>141</v>
      </c>
      <c r="CK21" s="203" t="s">
        <v>141</v>
      </c>
      <c r="CL21" s="204" t="s">
        <v>141</v>
      </c>
      <c r="CM21" s="205" t="s">
        <v>141</v>
      </c>
      <c r="CN21" s="206" t="s">
        <v>141</v>
      </c>
      <c r="CO21" s="207" t="s">
        <v>141</v>
      </c>
      <c r="CP21" s="208" t="s">
        <v>141</v>
      </c>
      <c r="CQ21" s="209" t="s">
        <v>141</v>
      </c>
      <c r="CR21" s="210" t="s">
        <v>141</v>
      </c>
      <c r="CS21" s="211" t="s">
        <v>141</v>
      </c>
      <c r="CT21" s="212" t="s">
        <v>141</v>
      </c>
      <c r="CU21" s="213" t="s">
        <v>141</v>
      </c>
      <c r="CV21" s="214" t="s">
        <v>141</v>
      </c>
      <c r="CW21" s="215" t="s">
        <v>141</v>
      </c>
      <c r="CX21" s="216">
        <v>300</v>
      </c>
      <c r="CY21" s="217" t="s">
        <v>150</v>
      </c>
      <c r="CZ21" s="218" t="s">
        <v>240</v>
      </c>
      <c r="DA21" s="219" t="s">
        <v>152</v>
      </c>
      <c r="DB21" s="220" t="s">
        <v>153</v>
      </c>
      <c r="DC21" s="221" t="s">
        <v>241</v>
      </c>
      <c r="DD21" s="222" t="s">
        <v>242</v>
      </c>
      <c r="DE21" s="223" t="s">
        <v>283</v>
      </c>
      <c r="DF21" s="224" t="s">
        <v>157</v>
      </c>
      <c r="DG21" s="225">
        <v>2012</v>
      </c>
      <c r="DH21" s="226" t="s">
        <v>431</v>
      </c>
      <c r="DI21" s="228" t="str">
        <f>HYPERLINK("https://my.pitchbook.com?c=92372-14T", "View company online")</f>
        <v>View company online</v>
      </c>
    </row>
    <row r="22" spans="1:113" x14ac:dyDescent="0.2">
      <c r="A22" s="3" t="s">
        <v>451</v>
      </c>
      <c r="B22" s="4" t="s">
        <v>452</v>
      </c>
      <c r="C22" s="5" t="s">
        <v>453</v>
      </c>
      <c r="D22" s="6" t="s">
        <v>454</v>
      </c>
      <c r="E22" s="7" t="s">
        <v>455</v>
      </c>
      <c r="F22" s="8" t="s">
        <v>126</v>
      </c>
      <c r="G22" s="9" t="s">
        <v>456</v>
      </c>
      <c r="H22" s="10" t="s">
        <v>457</v>
      </c>
      <c r="I22" s="11" t="s">
        <v>458</v>
      </c>
      <c r="J22" s="12" t="s">
        <v>459</v>
      </c>
      <c r="K22" s="13" t="s">
        <v>460</v>
      </c>
      <c r="L22" s="14" t="s">
        <v>132</v>
      </c>
      <c r="M22" s="15" t="s">
        <v>133</v>
      </c>
      <c r="N22" s="16" t="s">
        <v>134</v>
      </c>
      <c r="O22" s="17" t="s">
        <v>461</v>
      </c>
      <c r="P22" s="18" t="s">
        <v>462</v>
      </c>
      <c r="Q22" s="19" t="s">
        <v>463</v>
      </c>
      <c r="R22" s="20" t="s">
        <v>464</v>
      </c>
      <c r="S22" s="21" t="s">
        <v>465</v>
      </c>
      <c r="T22" s="22" t="s">
        <v>466</v>
      </c>
      <c r="U22" s="23">
        <v>2</v>
      </c>
      <c r="V22" s="24" t="s">
        <v>451</v>
      </c>
      <c r="W22" s="25" t="s">
        <v>141</v>
      </c>
      <c r="X22" s="26">
        <v>41723</v>
      </c>
      <c r="Y22" s="27">
        <v>0.1</v>
      </c>
      <c r="Z22" s="28" t="s">
        <v>177</v>
      </c>
      <c r="AA22" s="29" t="s">
        <v>141</v>
      </c>
      <c r="AB22" s="30">
        <v>1.39</v>
      </c>
      <c r="AC22" s="31" t="s">
        <v>177</v>
      </c>
      <c r="AD22" s="32">
        <v>7</v>
      </c>
      <c r="AE22" s="33">
        <v>1.22</v>
      </c>
      <c r="AF22" s="34" t="s">
        <v>141</v>
      </c>
      <c r="AG22" s="35" t="s">
        <v>141</v>
      </c>
      <c r="AH22" s="36" t="s">
        <v>141</v>
      </c>
      <c r="AI22" s="37" t="s">
        <v>141</v>
      </c>
      <c r="AJ22" s="38" t="s">
        <v>142</v>
      </c>
      <c r="AK22" s="39" t="s">
        <v>141</v>
      </c>
      <c r="AL22" s="40" t="s">
        <v>141</v>
      </c>
      <c r="AM22" s="41" t="s">
        <v>143</v>
      </c>
      <c r="AN22" s="42" t="s">
        <v>467</v>
      </c>
      <c r="AO22" s="43" t="s">
        <v>141</v>
      </c>
      <c r="AP22" s="44" t="s">
        <v>145</v>
      </c>
      <c r="AQ22" s="45" t="s">
        <v>141</v>
      </c>
      <c r="AR22" s="46" t="s">
        <v>141</v>
      </c>
      <c r="AS22" s="47" t="s">
        <v>281</v>
      </c>
      <c r="AT22" s="48" t="s">
        <v>141</v>
      </c>
      <c r="AU22" s="49" t="s">
        <v>141</v>
      </c>
      <c r="AV22" s="50">
        <v>0.02</v>
      </c>
      <c r="AW22" s="51" t="s">
        <v>141</v>
      </c>
      <c r="AX22" s="52" t="s">
        <v>141</v>
      </c>
      <c r="AY22" s="53">
        <v>0.02</v>
      </c>
      <c r="AZ22" s="54" t="s">
        <v>141</v>
      </c>
      <c r="BA22" s="55" t="s">
        <v>146</v>
      </c>
      <c r="BB22" s="56" t="s">
        <v>263</v>
      </c>
      <c r="BC22" s="57" t="s">
        <v>193</v>
      </c>
      <c r="BD22" s="58">
        <v>9</v>
      </c>
      <c r="BE22" s="59">
        <v>1</v>
      </c>
      <c r="BF22" s="60" t="s">
        <v>178</v>
      </c>
      <c r="BG22" s="61">
        <v>1</v>
      </c>
      <c r="BH22" s="62" t="s">
        <v>141</v>
      </c>
      <c r="BI22" s="63" t="s">
        <v>141</v>
      </c>
      <c r="BJ22" s="64" t="s">
        <v>141</v>
      </c>
      <c r="BK22" s="65" t="s">
        <v>179</v>
      </c>
      <c r="BL22" s="66" t="s">
        <v>178</v>
      </c>
      <c r="BM22" s="67" t="s">
        <v>178</v>
      </c>
      <c r="BN22" s="68" t="s">
        <v>264</v>
      </c>
      <c r="BO22" s="69" t="s">
        <v>141</v>
      </c>
      <c r="BP22" s="70" t="s">
        <v>141</v>
      </c>
      <c r="BQ22" s="71" t="s">
        <v>141</v>
      </c>
      <c r="BR22" s="72" t="s">
        <v>468</v>
      </c>
      <c r="BS22" s="73" t="s">
        <v>468</v>
      </c>
      <c r="BT22" s="74" t="s">
        <v>141</v>
      </c>
      <c r="BU22" s="75" t="s">
        <v>141</v>
      </c>
      <c r="BV22" s="76" t="s">
        <v>141</v>
      </c>
      <c r="BW22" s="77" t="s">
        <v>141</v>
      </c>
      <c r="BX22" s="78" t="s">
        <v>141</v>
      </c>
      <c r="BY22" s="79" t="s">
        <v>141</v>
      </c>
      <c r="BZ22" s="80" t="s">
        <v>141</v>
      </c>
      <c r="CA22" s="81" t="s">
        <v>141</v>
      </c>
      <c r="CB22" s="82" t="s">
        <v>141</v>
      </c>
      <c r="CC22" s="83" t="s">
        <v>141</v>
      </c>
      <c r="CD22" s="84" t="s">
        <v>141</v>
      </c>
      <c r="CE22" s="85" t="s">
        <v>141</v>
      </c>
      <c r="CF22" s="86" t="s">
        <v>141</v>
      </c>
      <c r="CG22" s="87" t="s">
        <v>141</v>
      </c>
      <c r="CH22" s="88" t="s">
        <v>141</v>
      </c>
      <c r="CI22" s="89" t="s">
        <v>141</v>
      </c>
      <c r="CJ22" s="90" t="s">
        <v>141</v>
      </c>
      <c r="CK22" s="91" t="s">
        <v>141</v>
      </c>
      <c r="CL22" s="92" t="s">
        <v>141</v>
      </c>
      <c r="CM22" s="93" t="s">
        <v>141</v>
      </c>
      <c r="CN22" s="94" t="s">
        <v>141</v>
      </c>
      <c r="CO22" s="95" t="s">
        <v>141</v>
      </c>
      <c r="CP22" s="96" t="s">
        <v>141</v>
      </c>
      <c r="CQ22" s="97" t="s">
        <v>141</v>
      </c>
      <c r="CR22" s="98" t="s">
        <v>141</v>
      </c>
      <c r="CS22" s="99" t="s">
        <v>141</v>
      </c>
      <c r="CT22" s="100" t="s">
        <v>141</v>
      </c>
      <c r="CU22" s="101" t="s">
        <v>141</v>
      </c>
      <c r="CV22" s="102" t="s">
        <v>141</v>
      </c>
      <c r="CW22" s="103" t="s">
        <v>141</v>
      </c>
      <c r="CX22" s="104">
        <v>72</v>
      </c>
      <c r="CY22" s="105" t="s">
        <v>150</v>
      </c>
      <c r="CZ22" s="106" t="s">
        <v>180</v>
      </c>
      <c r="DA22" s="107" t="s">
        <v>152</v>
      </c>
      <c r="DB22" s="108" t="s">
        <v>153</v>
      </c>
      <c r="DC22" s="109" t="s">
        <v>181</v>
      </c>
      <c r="DD22" s="110" t="s">
        <v>182</v>
      </c>
      <c r="DE22" s="111" t="s">
        <v>469</v>
      </c>
      <c r="DF22" s="112" t="s">
        <v>157</v>
      </c>
      <c r="DG22" s="113">
        <v>2010</v>
      </c>
      <c r="DH22" s="114" t="s">
        <v>470</v>
      </c>
      <c r="DI22" s="227" t="str">
        <f>HYPERLINK("https://my.pitchbook.com?c=34480-09T", "View company online")</f>
        <v>View company online</v>
      </c>
    </row>
    <row r="23" spans="1:113" x14ac:dyDescent="0.2">
      <c r="A23" s="115" t="s">
        <v>471</v>
      </c>
      <c r="B23" s="116" t="s">
        <v>472</v>
      </c>
      <c r="C23" s="117" t="s">
        <v>473</v>
      </c>
      <c r="D23" s="118" t="s">
        <v>474</v>
      </c>
      <c r="E23" s="119" t="s">
        <v>475</v>
      </c>
      <c r="F23" s="120" t="s">
        <v>126</v>
      </c>
      <c r="G23" s="121" t="s">
        <v>340</v>
      </c>
      <c r="H23" s="122" t="s">
        <v>476</v>
      </c>
      <c r="I23" s="123" t="s">
        <v>477</v>
      </c>
      <c r="J23" s="124" t="s">
        <v>478</v>
      </c>
      <c r="K23" s="125" t="s">
        <v>479</v>
      </c>
      <c r="L23" s="126" t="s">
        <v>132</v>
      </c>
      <c r="M23" s="127" t="s">
        <v>133</v>
      </c>
      <c r="N23" s="128" t="s">
        <v>170</v>
      </c>
      <c r="O23" s="129" t="s">
        <v>480</v>
      </c>
      <c r="P23" s="130" t="s">
        <v>481</v>
      </c>
      <c r="Q23" s="131" t="s">
        <v>141</v>
      </c>
      <c r="R23" s="132" t="s">
        <v>482</v>
      </c>
      <c r="S23" s="133" t="s">
        <v>483</v>
      </c>
      <c r="T23" s="134" t="s">
        <v>484</v>
      </c>
      <c r="U23" s="135">
        <v>1</v>
      </c>
      <c r="V23" s="136" t="s">
        <v>471</v>
      </c>
      <c r="W23" s="137" t="s">
        <v>141</v>
      </c>
      <c r="X23" s="138">
        <v>41640</v>
      </c>
      <c r="Y23" s="139" t="s">
        <v>141</v>
      </c>
      <c r="Z23" s="140" t="s">
        <v>141</v>
      </c>
      <c r="AA23" s="141" t="s">
        <v>141</v>
      </c>
      <c r="AB23" s="142" t="s">
        <v>141</v>
      </c>
      <c r="AC23" s="143" t="s">
        <v>141</v>
      </c>
      <c r="AD23" s="144" t="s">
        <v>141</v>
      </c>
      <c r="AE23" s="145" t="s">
        <v>141</v>
      </c>
      <c r="AF23" s="146" t="s">
        <v>141</v>
      </c>
      <c r="AG23" s="147" t="s">
        <v>141</v>
      </c>
      <c r="AH23" s="148" t="s">
        <v>141</v>
      </c>
      <c r="AI23" s="149" t="s">
        <v>141</v>
      </c>
      <c r="AJ23" s="150" t="s">
        <v>142</v>
      </c>
      <c r="AK23" s="151" t="s">
        <v>141</v>
      </c>
      <c r="AL23" s="152" t="s">
        <v>141</v>
      </c>
      <c r="AM23" s="153" t="s">
        <v>485</v>
      </c>
      <c r="AN23" s="154" t="s">
        <v>486</v>
      </c>
      <c r="AO23" s="155" t="s">
        <v>141</v>
      </c>
      <c r="AP23" s="156" t="s">
        <v>145</v>
      </c>
      <c r="AQ23" s="157" t="s">
        <v>141</v>
      </c>
      <c r="AR23" s="158" t="s">
        <v>141</v>
      </c>
      <c r="AS23" s="159" t="s">
        <v>141</v>
      </c>
      <c r="AT23" s="160" t="s">
        <v>141</v>
      </c>
      <c r="AU23" s="161" t="s">
        <v>141</v>
      </c>
      <c r="AV23" s="162" t="s">
        <v>141</v>
      </c>
      <c r="AW23" s="163" t="s">
        <v>141</v>
      </c>
      <c r="AX23" s="164" t="s">
        <v>141</v>
      </c>
      <c r="AY23" s="165" t="s">
        <v>141</v>
      </c>
      <c r="AZ23" s="166" t="s">
        <v>141</v>
      </c>
      <c r="BA23" s="167" t="s">
        <v>146</v>
      </c>
      <c r="BB23" s="168" t="s">
        <v>133</v>
      </c>
      <c r="BC23" s="169" t="s">
        <v>193</v>
      </c>
      <c r="BD23" s="170" t="s">
        <v>141</v>
      </c>
      <c r="BE23" s="171">
        <v>1</v>
      </c>
      <c r="BF23" s="172" t="s">
        <v>388</v>
      </c>
      <c r="BG23" s="173">
        <v>1</v>
      </c>
      <c r="BH23" s="174" t="s">
        <v>141</v>
      </c>
      <c r="BI23" s="175" t="s">
        <v>141</v>
      </c>
      <c r="BJ23" s="176" t="s">
        <v>141</v>
      </c>
      <c r="BK23" s="177" t="s">
        <v>389</v>
      </c>
      <c r="BL23" s="178" t="s">
        <v>388</v>
      </c>
      <c r="BM23" s="179" t="s">
        <v>388</v>
      </c>
      <c r="BN23" s="180" t="s">
        <v>141</v>
      </c>
      <c r="BO23" s="181" t="s">
        <v>141</v>
      </c>
      <c r="BP23" s="182" t="s">
        <v>141</v>
      </c>
      <c r="BQ23" s="183" t="s">
        <v>141</v>
      </c>
      <c r="BR23" s="184" t="s">
        <v>141</v>
      </c>
      <c r="BS23" s="185" t="s">
        <v>141</v>
      </c>
      <c r="BT23" s="186" t="s">
        <v>141</v>
      </c>
      <c r="BU23" s="187" t="s">
        <v>141</v>
      </c>
      <c r="BV23" s="188" t="s">
        <v>141</v>
      </c>
      <c r="BW23" s="189" t="s">
        <v>141</v>
      </c>
      <c r="BX23" s="190" t="s">
        <v>141</v>
      </c>
      <c r="BY23" s="191" t="s">
        <v>141</v>
      </c>
      <c r="BZ23" s="192" t="s">
        <v>141</v>
      </c>
      <c r="CA23" s="193" t="s">
        <v>141</v>
      </c>
      <c r="CB23" s="194" t="s">
        <v>141</v>
      </c>
      <c r="CC23" s="195" t="s">
        <v>141</v>
      </c>
      <c r="CD23" s="196" t="s">
        <v>141</v>
      </c>
      <c r="CE23" s="197" t="s">
        <v>141</v>
      </c>
      <c r="CF23" s="198" t="s">
        <v>141</v>
      </c>
      <c r="CG23" s="199" t="s">
        <v>141</v>
      </c>
      <c r="CH23" s="200" t="s">
        <v>141</v>
      </c>
      <c r="CI23" s="201" t="s">
        <v>141</v>
      </c>
      <c r="CJ23" s="202" t="s">
        <v>141</v>
      </c>
      <c r="CK23" s="203" t="s">
        <v>141</v>
      </c>
      <c r="CL23" s="204" t="s">
        <v>141</v>
      </c>
      <c r="CM23" s="205" t="s">
        <v>141</v>
      </c>
      <c r="CN23" s="206" t="s">
        <v>141</v>
      </c>
      <c r="CO23" s="207" t="s">
        <v>141</v>
      </c>
      <c r="CP23" s="208" t="s">
        <v>141</v>
      </c>
      <c r="CQ23" s="209" t="s">
        <v>141</v>
      </c>
      <c r="CR23" s="210" t="s">
        <v>141</v>
      </c>
      <c r="CS23" s="211" t="s">
        <v>141</v>
      </c>
      <c r="CT23" s="212" t="s">
        <v>141</v>
      </c>
      <c r="CU23" s="213" t="s">
        <v>141</v>
      </c>
      <c r="CV23" s="214" t="s">
        <v>141</v>
      </c>
      <c r="CW23" s="215" t="s">
        <v>141</v>
      </c>
      <c r="CX23" s="216">
        <v>50</v>
      </c>
      <c r="CY23" s="217" t="s">
        <v>150</v>
      </c>
      <c r="CZ23" s="218" t="s">
        <v>200</v>
      </c>
      <c r="DA23" s="219" t="s">
        <v>152</v>
      </c>
      <c r="DB23" s="220" t="s">
        <v>153</v>
      </c>
      <c r="DC23" s="221" t="s">
        <v>201</v>
      </c>
      <c r="DD23" s="222" t="s">
        <v>201</v>
      </c>
      <c r="DE23" s="223" t="s">
        <v>487</v>
      </c>
      <c r="DF23" s="224" t="s">
        <v>157</v>
      </c>
      <c r="DG23" s="225">
        <v>2013</v>
      </c>
      <c r="DH23" s="226" t="s">
        <v>488</v>
      </c>
      <c r="DI23" s="228" t="str">
        <f>HYPERLINK("https://my.pitchbook.com?c=49319-65T", "View company online")</f>
        <v>View company online</v>
      </c>
    </row>
    <row r="24" spans="1:113" x14ac:dyDescent="0.2">
      <c r="A24" s="3" t="s">
        <v>489</v>
      </c>
      <c r="B24" s="4" t="s">
        <v>490</v>
      </c>
      <c r="C24" s="5" t="s">
        <v>491</v>
      </c>
      <c r="D24" s="6" t="s">
        <v>492</v>
      </c>
      <c r="E24" s="7" t="s">
        <v>493</v>
      </c>
      <c r="F24" s="8" t="s">
        <v>126</v>
      </c>
      <c r="G24" s="9" t="s">
        <v>252</v>
      </c>
      <c r="H24" s="10" t="s">
        <v>253</v>
      </c>
      <c r="I24" s="11" t="s">
        <v>494</v>
      </c>
      <c r="J24" s="12" t="s">
        <v>495</v>
      </c>
      <c r="K24" s="13" t="s">
        <v>496</v>
      </c>
      <c r="L24" s="14" t="s">
        <v>345</v>
      </c>
      <c r="M24" s="15" t="s">
        <v>133</v>
      </c>
      <c r="N24" s="16" t="s">
        <v>170</v>
      </c>
      <c r="O24" s="17" t="s">
        <v>497</v>
      </c>
      <c r="P24" s="18" t="s">
        <v>498</v>
      </c>
      <c r="Q24" s="19" t="s">
        <v>141</v>
      </c>
      <c r="R24" s="20" t="s">
        <v>499</v>
      </c>
      <c r="S24" s="21" t="s">
        <v>500</v>
      </c>
      <c r="T24" s="22" t="s">
        <v>501</v>
      </c>
      <c r="U24" s="23">
        <v>1</v>
      </c>
      <c r="V24" s="24" t="s">
        <v>489</v>
      </c>
      <c r="W24" s="25" t="s">
        <v>141</v>
      </c>
      <c r="X24" s="26" t="s">
        <v>141</v>
      </c>
      <c r="Y24" s="27" t="s">
        <v>141</v>
      </c>
      <c r="Z24" s="28" t="s">
        <v>141</v>
      </c>
      <c r="AA24" s="29" t="s">
        <v>141</v>
      </c>
      <c r="AB24" s="30" t="s">
        <v>141</v>
      </c>
      <c r="AC24" s="31" t="s">
        <v>141</v>
      </c>
      <c r="AD24" s="32" t="s">
        <v>141</v>
      </c>
      <c r="AE24" s="33" t="s">
        <v>141</v>
      </c>
      <c r="AF24" s="34" t="s">
        <v>141</v>
      </c>
      <c r="AG24" s="35" t="s">
        <v>141</v>
      </c>
      <c r="AH24" s="36" t="s">
        <v>141</v>
      </c>
      <c r="AI24" s="37" t="s">
        <v>141</v>
      </c>
      <c r="AJ24" s="38" t="s">
        <v>142</v>
      </c>
      <c r="AK24" s="39" t="s">
        <v>141</v>
      </c>
      <c r="AL24" s="40" t="s">
        <v>141</v>
      </c>
      <c r="AM24" s="41" t="s">
        <v>170</v>
      </c>
      <c r="AN24" s="42" t="s">
        <v>502</v>
      </c>
      <c r="AO24" s="43" t="s">
        <v>141</v>
      </c>
      <c r="AP24" s="44" t="s">
        <v>145</v>
      </c>
      <c r="AQ24" s="45" t="s">
        <v>141</v>
      </c>
      <c r="AR24" s="46" t="s">
        <v>141</v>
      </c>
      <c r="AS24" s="47" t="s">
        <v>141</v>
      </c>
      <c r="AT24" s="48" t="s">
        <v>141</v>
      </c>
      <c r="AU24" s="49" t="s">
        <v>141</v>
      </c>
      <c r="AV24" s="50" t="s">
        <v>141</v>
      </c>
      <c r="AW24" s="51" t="s">
        <v>141</v>
      </c>
      <c r="AX24" s="52" t="s">
        <v>141</v>
      </c>
      <c r="AY24" s="53" t="s">
        <v>141</v>
      </c>
      <c r="AZ24" s="54" t="s">
        <v>141</v>
      </c>
      <c r="BA24" s="55" t="s">
        <v>146</v>
      </c>
      <c r="BB24" s="56" t="s">
        <v>263</v>
      </c>
      <c r="BC24" s="57" t="s">
        <v>193</v>
      </c>
      <c r="BD24" s="58" t="s">
        <v>141</v>
      </c>
      <c r="BE24" s="59">
        <v>1</v>
      </c>
      <c r="BF24" s="60" t="s">
        <v>444</v>
      </c>
      <c r="BG24" s="61">
        <v>1</v>
      </c>
      <c r="BH24" s="62" t="s">
        <v>141</v>
      </c>
      <c r="BI24" s="63" t="s">
        <v>141</v>
      </c>
      <c r="BJ24" s="64" t="s">
        <v>141</v>
      </c>
      <c r="BK24" s="65" t="s">
        <v>445</v>
      </c>
      <c r="BL24" s="66" t="s">
        <v>444</v>
      </c>
      <c r="BM24" s="67" t="s">
        <v>444</v>
      </c>
      <c r="BN24" s="68" t="s">
        <v>141</v>
      </c>
      <c r="BO24" s="69" t="s">
        <v>141</v>
      </c>
      <c r="BP24" s="70" t="s">
        <v>141</v>
      </c>
      <c r="BQ24" s="71" t="s">
        <v>141</v>
      </c>
      <c r="BR24" s="72" t="s">
        <v>503</v>
      </c>
      <c r="BS24" s="73" t="s">
        <v>503</v>
      </c>
      <c r="BT24" s="74" t="s">
        <v>141</v>
      </c>
      <c r="BU24" s="75" t="s">
        <v>141</v>
      </c>
      <c r="BV24" s="76" t="s">
        <v>141</v>
      </c>
      <c r="BW24" s="77" t="s">
        <v>141</v>
      </c>
      <c r="BX24" s="78" t="s">
        <v>141</v>
      </c>
      <c r="BY24" s="79" t="s">
        <v>141</v>
      </c>
      <c r="BZ24" s="80" t="s">
        <v>141</v>
      </c>
      <c r="CA24" s="81" t="s">
        <v>141</v>
      </c>
      <c r="CB24" s="82" t="s">
        <v>141</v>
      </c>
      <c r="CC24" s="83" t="s">
        <v>141</v>
      </c>
      <c r="CD24" s="84" t="s">
        <v>141</v>
      </c>
      <c r="CE24" s="85" t="s">
        <v>141</v>
      </c>
      <c r="CF24" s="86" t="s">
        <v>141</v>
      </c>
      <c r="CG24" s="87" t="s">
        <v>141</v>
      </c>
      <c r="CH24" s="88" t="s">
        <v>141</v>
      </c>
      <c r="CI24" s="89" t="s">
        <v>141</v>
      </c>
      <c r="CJ24" s="90" t="s">
        <v>141</v>
      </c>
      <c r="CK24" s="91" t="s">
        <v>141</v>
      </c>
      <c r="CL24" s="92" t="s">
        <v>141</v>
      </c>
      <c r="CM24" s="93" t="s">
        <v>141</v>
      </c>
      <c r="CN24" s="94" t="s">
        <v>141</v>
      </c>
      <c r="CO24" s="95" t="s">
        <v>141</v>
      </c>
      <c r="CP24" s="96" t="s">
        <v>141</v>
      </c>
      <c r="CQ24" s="97" t="s">
        <v>141</v>
      </c>
      <c r="CR24" s="98" t="s">
        <v>141</v>
      </c>
      <c r="CS24" s="99" t="s">
        <v>141</v>
      </c>
      <c r="CT24" s="100" t="s">
        <v>141</v>
      </c>
      <c r="CU24" s="101" t="s">
        <v>141</v>
      </c>
      <c r="CV24" s="102" t="s">
        <v>141</v>
      </c>
      <c r="CW24" s="103" t="s">
        <v>141</v>
      </c>
      <c r="CX24" s="104">
        <v>200</v>
      </c>
      <c r="CY24" s="105" t="s">
        <v>150</v>
      </c>
      <c r="CZ24" s="106" t="s">
        <v>200</v>
      </c>
      <c r="DA24" s="107" t="s">
        <v>152</v>
      </c>
      <c r="DB24" s="108" t="s">
        <v>153</v>
      </c>
      <c r="DC24" s="109" t="s">
        <v>201</v>
      </c>
      <c r="DD24" s="110" t="s">
        <v>201</v>
      </c>
      <c r="DE24" s="111" t="s">
        <v>504</v>
      </c>
      <c r="DF24" s="112" t="s">
        <v>157</v>
      </c>
      <c r="DG24" s="113">
        <v>2012</v>
      </c>
      <c r="DH24" s="114" t="s">
        <v>505</v>
      </c>
      <c r="DI24" s="227" t="str">
        <f>HYPERLINK("https://my.pitchbook.com?c=51484-78T", "View company online")</f>
        <v>View company online</v>
      </c>
    </row>
    <row r="25" spans="1:113" x14ac:dyDescent="0.2">
      <c r="A25" s="115" t="s">
        <v>506</v>
      </c>
      <c r="B25" s="116" t="s">
        <v>490</v>
      </c>
      <c r="C25" s="117" t="s">
        <v>491</v>
      </c>
      <c r="D25" s="118" t="s">
        <v>492</v>
      </c>
      <c r="E25" s="119" t="s">
        <v>493</v>
      </c>
      <c r="F25" s="120" t="s">
        <v>126</v>
      </c>
      <c r="G25" s="121" t="s">
        <v>252</v>
      </c>
      <c r="H25" s="122" t="s">
        <v>253</v>
      </c>
      <c r="I25" s="123" t="s">
        <v>494</v>
      </c>
      <c r="J25" s="124" t="s">
        <v>495</v>
      </c>
      <c r="K25" s="125" t="s">
        <v>496</v>
      </c>
      <c r="L25" s="126" t="s">
        <v>345</v>
      </c>
      <c r="M25" s="127" t="s">
        <v>133</v>
      </c>
      <c r="N25" s="128" t="s">
        <v>170</v>
      </c>
      <c r="O25" s="129" t="s">
        <v>497</v>
      </c>
      <c r="P25" s="130" t="s">
        <v>498</v>
      </c>
      <c r="Q25" s="131" t="s">
        <v>141</v>
      </c>
      <c r="R25" s="132" t="s">
        <v>499</v>
      </c>
      <c r="S25" s="133" t="s">
        <v>500</v>
      </c>
      <c r="T25" s="134" t="s">
        <v>501</v>
      </c>
      <c r="U25" s="135">
        <v>2</v>
      </c>
      <c r="V25" s="136" t="s">
        <v>506</v>
      </c>
      <c r="W25" s="137" t="s">
        <v>141</v>
      </c>
      <c r="X25" s="138">
        <v>40909</v>
      </c>
      <c r="Y25" s="139" t="s">
        <v>141</v>
      </c>
      <c r="Z25" s="140" t="s">
        <v>141</v>
      </c>
      <c r="AA25" s="141" t="s">
        <v>141</v>
      </c>
      <c r="AB25" s="142" t="s">
        <v>141</v>
      </c>
      <c r="AC25" s="143" t="s">
        <v>141</v>
      </c>
      <c r="AD25" s="144" t="s">
        <v>141</v>
      </c>
      <c r="AE25" s="145" t="s">
        <v>141</v>
      </c>
      <c r="AF25" s="146" t="s">
        <v>141</v>
      </c>
      <c r="AG25" s="147" t="s">
        <v>141</v>
      </c>
      <c r="AH25" s="148" t="s">
        <v>141</v>
      </c>
      <c r="AI25" s="149" t="s">
        <v>141</v>
      </c>
      <c r="AJ25" s="150" t="s">
        <v>142</v>
      </c>
      <c r="AK25" s="151" t="s">
        <v>141</v>
      </c>
      <c r="AL25" s="152" t="s">
        <v>141</v>
      </c>
      <c r="AM25" s="153" t="s">
        <v>143</v>
      </c>
      <c r="AN25" s="154" t="s">
        <v>507</v>
      </c>
      <c r="AO25" s="155" t="s">
        <v>141</v>
      </c>
      <c r="AP25" s="156" t="s">
        <v>145</v>
      </c>
      <c r="AQ25" s="157" t="s">
        <v>141</v>
      </c>
      <c r="AR25" s="158" t="s">
        <v>141</v>
      </c>
      <c r="AS25" s="159" t="s">
        <v>141</v>
      </c>
      <c r="AT25" s="160" t="s">
        <v>141</v>
      </c>
      <c r="AU25" s="161" t="s">
        <v>141</v>
      </c>
      <c r="AV25" s="162" t="s">
        <v>141</v>
      </c>
      <c r="AW25" s="163" t="s">
        <v>141</v>
      </c>
      <c r="AX25" s="164" t="s">
        <v>141</v>
      </c>
      <c r="AY25" s="165" t="s">
        <v>141</v>
      </c>
      <c r="AZ25" s="166" t="s">
        <v>141</v>
      </c>
      <c r="BA25" s="167" t="s">
        <v>146</v>
      </c>
      <c r="BB25" s="168" t="s">
        <v>263</v>
      </c>
      <c r="BC25" s="169" t="s">
        <v>193</v>
      </c>
      <c r="BD25" s="170" t="s">
        <v>141</v>
      </c>
      <c r="BE25" s="171">
        <v>1</v>
      </c>
      <c r="BF25" s="172" t="s">
        <v>508</v>
      </c>
      <c r="BG25" s="173">
        <v>1</v>
      </c>
      <c r="BH25" s="174" t="s">
        <v>141</v>
      </c>
      <c r="BI25" s="175" t="s">
        <v>141</v>
      </c>
      <c r="BJ25" s="176" t="s">
        <v>141</v>
      </c>
      <c r="BK25" s="177" t="s">
        <v>509</v>
      </c>
      <c r="BL25" s="178" t="s">
        <v>508</v>
      </c>
      <c r="BM25" s="179" t="s">
        <v>508</v>
      </c>
      <c r="BN25" s="180" t="s">
        <v>141</v>
      </c>
      <c r="BO25" s="181" t="s">
        <v>141</v>
      </c>
      <c r="BP25" s="182" t="s">
        <v>141</v>
      </c>
      <c r="BQ25" s="183" t="s">
        <v>141</v>
      </c>
      <c r="BR25" s="184" t="s">
        <v>503</v>
      </c>
      <c r="BS25" s="185" t="s">
        <v>503</v>
      </c>
      <c r="BT25" s="186" t="s">
        <v>141</v>
      </c>
      <c r="BU25" s="187" t="s">
        <v>141</v>
      </c>
      <c r="BV25" s="188" t="s">
        <v>141</v>
      </c>
      <c r="BW25" s="189" t="s">
        <v>141</v>
      </c>
      <c r="BX25" s="190" t="s">
        <v>141</v>
      </c>
      <c r="BY25" s="191" t="s">
        <v>141</v>
      </c>
      <c r="BZ25" s="192" t="s">
        <v>141</v>
      </c>
      <c r="CA25" s="193" t="s">
        <v>141</v>
      </c>
      <c r="CB25" s="194" t="s">
        <v>141</v>
      </c>
      <c r="CC25" s="195" t="s">
        <v>141</v>
      </c>
      <c r="CD25" s="196" t="s">
        <v>141</v>
      </c>
      <c r="CE25" s="197" t="s">
        <v>141</v>
      </c>
      <c r="CF25" s="198" t="s">
        <v>141</v>
      </c>
      <c r="CG25" s="199" t="s">
        <v>141</v>
      </c>
      <c r="CH25" s="200" t="s">
        <v>141</v>
      </c>
      <c r="CI25" s="201" t="s">
        <v>141</v>
      </c>
      <c r="CJ25" s="202" t="s">
        <v>141</v>
      </c>
      <c r="CK25" s="203" t="s">
        <v>141</v>
      </c>
      <c r="CL25" s="204" t="s">
        <v>141</v>
      </c>
      <c r="CM25" s="205" t="s">
        <v>141</v>
      </c>
      <c r="CN25" s="206" t="s">
        <v>141</v>
      </c>
      <c r="CO25" s="207" t="s">
        <v>141</v>
      </c>
      <c r="CP25" s="208" t="s">
        <v>141</v>
      </c>
      <c r="CQ25" s="209" t="s">
        <v>141</v>
      </c>
      <c r="CR25" s="210" t="s">
        <v>141</v>
      </c>
      <c r="CS25" s="211" t="s">
        <v>141</v>
      </c>
      <c r="CT25" s="212" t="s">
        <v>141</v>
      </c>
      <c r="CU25" s="213" t="s">
        <v>141</v>
      </c>
      <c r="CV25" s="214" t="s">
        <v>141</v>
      </c>
      <c r="CW25" s="215" t="s">
        <v>141</v>
      </c>
      <c r="CX25" s="216">
        <v>200</v>
      </c>
      <c r="CY25" s="217" t="s">
        <v>150</v>
      </c>
      <c r="CZ25" s="218" t="s">
        <v>200</v>
      </c>
      <c r="DA25" s="219" t="s">
        <v>152</v>
      </c>
      <c r="DB25" s="220" t="s">
        <v>153</v>
      </c>
      <c r="DC25" s="221" t="s">
        <v>201</v>
      </c>
      <c r="DD25" s="222" t="s">
        <v>201</v>
      </c>
      <c r="DE25" s="223" t="s">
        <v>504</v>
      </c>
      <c r="DF25" s="224" t="s">
        <v>157</v>
      </c>
      <c r="DG25" s="225">
        <v>2012</v>
      </c>
      <c r="DH25" s="226" t="s">
        <v>505</v>
      </c>
      <c r="DI25" s="228" t="str">
        <f>HYPERLINK("https://my.pitchbook.com?c=78085-09T", "View company online")</f>
        <v>View company online</v>
      </c>
    </row>
    <row r="26" spans="1:113" x14ac:dyDescent="0.2">
      <c r="A26" s="3" t="s">
        <v>510</v>
      </c>
      <c r="B26" s="4" t="s">
        <v>511</v>
      </c>
      <c r="C26" s="5" t="s">
        <v>512</v>
      </c>
      <c r="D26" s="6" t="s">
        <v>513</v>
      </c>
      <c r="E26" s="7" t="s">
        <v>514</v>
      </c>
      <c r="F26" s="8" t="s">
        <v>126</v>
      </c>
      <c r="G26" s="9" t="s">
        <v>456</v>
      </c>
      <c r="H26" s="10" t="s">
        <v>457</v>
      </c>
      <c r="I26" s="11" t="s">
        <v>515</v>
      </c>
      <c r="J26" s="12" t="s">
        <v>273</v>
      </c>
      <c r="K26" s="13" t="s">
        <v>516</v>
      </c>
      <c r="L26" s="14" t="s">
        <v>193</v>
      </c>
      <c r="M26" s="15" t="s">
        <v>133</v>
      </c>
      <c r="N26" s="16" t="s">
        <v>231</v>
      </c>
      <c r="O26" s="17" t="s">
        <v>517</v>
      </c>
      <c r="P26" s="18" t="s">
        <v>518</v>
      </c>
      <c r="Q26" s="19" t="s">
        <v>141</v>
      </c>
      <c r="R26" s="20" t="s">
        <v>519</v>
      </c>
      <c r="S26" s="21" t="s">
        <v>520</v>
      </c>
      <c r="T26" s="22" t="s">
        <v>521</v>
      </c>
      <c r="U26" s="23">
        <v>1</v>
      </c>
      <c r="V26" s="24" t="s">
        <v>510</v>
      </c>
      <c r="W26" s="25" t="s">
        <v>141</v>
      </c>
      <c r="X26" s="26">
        <v>42179</v>
      </c>
      <c r="Y26" s="27" t="s">
        <v>141</v>
      </c>
      <c r="Z26" s="28" t="s">
        <v>141</v>
      </c>
      <c r="AA26" s="29" t="s">
        <v>141</v>
      </c>
      <c r="AB26" s="30" t="s">
        <v>141</v>
      </c>
      <c r="AC26" s="31" t="s">
        <v>141</v>
      </c>
      <c r="AD26" s="32" t="s">
        <v>141</v>
      </c>
      <c r="AE26" s="33" t="s">
        <v>141</v>
      </c>
      <c r="AF26" s="34" t="s">
        <v>141</v>
      </c>
      <c r="AG26" s="35" t="s">
        <v>141</v>
      </c>
      <c r="AH26" s="36" t="s">
        <v>141</v>
      </c>
      <c r="AI26" s="37" t="s">
        <v>141</v>
      </c>
      <c r="AJ26" s="38" t="s">
        <v>142</v>
      </c>
      <c r="AK26" s="39" t="s">
        <v>141</v>
      </c>
      <c r="AL26" s="40" t="s">
        <v>141</v>
      </c>
      <c r="AM26" s="41" t="s">
        <v>143</v>
      </c>
      <c r="AN26" s="42" t="s">
        <v>514</v>
      </c>
      <c r="AO26" s="43" t="s">
        <v>141</v>
      </c>
      <c r="AP26" s="44" t="s">
        <v>145</v>
      </c>
      <c r="AQ26" s="45" t="s">
        <v>141</v>
      </c>
      <c r="AR26" s="46" t="s">
        <v>141</v>
      </c>
      <c r="AS26" s="47" t="s">
        <v>141</v>
      </c>
      <c r="AT26" s="48" t="s">
        <v>141</v>
      </c>
      <c r="AU26" s="49" t="s">
        <v>141</v>
      </c>
      <c r="AV26" s="50" t="s">
        <v>141</v>
      </c>
      <c r="AW26" s="51" t="s">
        <v>141</v>
      </c>
      <c r="AX26" s="52" t="s">
        <v>141</v>
      </c>
      <c r="AY26" s="53" t="s">
        <v>141</v>
      </c>
      <c r="AZ26" s="54" t="s">
        <v>141</v>
      </c>
      <c r="BA26" s="55" t="s">
        <v>146</v>
      </c>
      <c r="BB26" s="56" t="s">
        <v>133</v>
      </c>
      <c r="BC26" s="57" t="s">
        <v>193</v>
      </c>
      <c r="BD26" s="58" t="s">
        <v>141</v>
      </c>
      <c r="BE26" s="59">
        <v>1</v>
      </c>
      <c r="BF26" s="60" t="s">
        <v>522</v>
      </c>
      <c r="BG26" s="61">
        <v>1</v>
      </c>
      <c r="BH26" s="62" t="s">
        <v>141</v>
      </c>
      <c r="BI26" s="63" t="s">
        <v>141</v>
      </c>
      <c r="BJ26" s="64" t="s">
        <v>141</v>
      </c>
      <c r="BK26" s="65" t="s">
        <v>523</v>
      </c>
      <c r="BL26" s="66" t="s">
        <v>524</v>
      </c>
      <c r="BM26" s="67" t="s">
        <v>524</v>
      </c>
      <c r="BN26" s="68" t="s">
        <v>141</v>
      </c>
      <c r="BO26" s="69" t="s">
        <v>141</v>
      </c>
      <c r="BP26" s="70" t="s">
        <v>141</v>
      </c>
      <c r="BQ26" s="71" t="s">
        <v>141</v>
      </c>
      <c r="BR26" s="72" t="s">
        <v>141</v>
      </c>
      <c r="BS26" s="73" t="s">
        <v>141</v>
      </c>
      <c r="BT26" s="74" t="s">
        <v>141</v>
      </c>
      <c r="BU26" s="75" t="s">
        <v>141</v>
      </c>
      <c r="BV26" s="76" t="s">
        <v>141</v>
      </c>
      <c r="BW26" s="77" t="s">
        <v>141</v>
      </c>
      <c r="BX26" s="78" t="s">
        <v>141</v>
      </c>
      <c r="BY26" s="79" t="s">
        <v>141</v>
      </c>
      <c r="BZ26" s="80" t="s">
        <v>141</v>
      </c>
      <c r="CA26" s="81" t="s">
        <v>141</v>
      </c>
      <c r="CB26" s="82" t="s">
        <v>141</v>
      </c>
      <c r="CC26" s="83" t="s">
        <v>141</v>
      </c>
      <c r="CD26" s="84" t="s">
        <v>141</v>
      </c>
      <c r="CE26" s="85" t="s">
        <v>141</v>
      </c>
      <c r="CF26" s="86" t="s">
        <v>141</v>
      </c>
      <c r="CG26" s="87" t="s">
        <v>141</v>
      </c>
      <c r="CH26" s="88" t="s">
        <v>141</v>
      </c>
      <c r="CI26" s="89" t="s">
        <v>141</v>
      </c>
      <c r="CJ26" s="90" t="s">
        <v>141</v>
      </c>
      <c r="CK26" s="91" t="s">
        <v>141</v>
      </c>
      <c r="CL26" s="92" t="s">
        <v>141</v>
      </c>
      <c r="CM26" s="93" t="s">
        <v>141</v>
      </c>
      <c r="CN26" s="94" t="s">
        <v>141</v>
      </c>
      <c r="CO26" s="95" t="s">
        <v>141</v>
      </c>
      <c r="CP26" s="96" t="s">
        <v>141</v>
      </c>
      <c r="CQ26" s="97" t="s">
        <v>141</v>
      </c>
      <c r="CR26" s="98" t="s">
        <v>141</v>
      </c>
      <c r="CS26" s="99" t="s">
        <v>141</v>
      </c>
      <c r="CT26" s="100" t="s">
        <v>141</v>
      </c>
      <c r="CU26" s="101" t="s">
        <v>141</v>
      </c>
      <c r="CV26" s="102" t="s">
        <v>141</v>
      </c>
      <c r="CW26" s="103" t="s">
        <v>141</v>
      </c>
      <c r="CX26" s="104">
        <v>25</v>
      </c>
      <c r="CY26" s="105" t="s">
        <v>150</v>
      </c>
      <c r="CZ26" s="106" t="s">
        <v>525</v>
      </c>
      <c r="DA26" s="107" t="s">
        <v>152</v>
      </c>
      <c r="DB26" s="108" t="s">
        <v>153</v>
      </c>
      <c r="DC26" s="109" t="s">
        <v>526</v>
      </c>
      <c r="DD26" s="110" t="s">
        <v>527</v>
      </c>
      <c r="DE26" s="111" t="s">
        <v>528</v>
      </c>
      <c r="DF26" s="112" t="s">
        <v>157</v>
      </c>
      <c r="DG26" s="113">
        <v>2015</v>
      </c>
      <c r="DH26" s="114" t="s">
        <v>529</v>
      </c>
      <c r="DI26" s="227" t="str">
        <f>HYPERLINK("https://my.pitchbook.com?c=77825-89T", "View company online")</f>
        <v>View company online</v>
      </c>
    </row>
    <row r="27" spans="1:113" x14ac:dyDescent="0.2">
      <c r="A27" s="115" t="s">
        <v>530</v>
      </c>
      <c r="B27" s="116" t="s">
        <v>531</v>
      </c>
      <c r="C27" s="117" t="s">
        <v>532</v>
      </c>
      <c r="D27" s="118" t="s">
        <v>533</v>
      </c>
      <c r="E27" s="119" t="s">
        <v>534</v>
      </c>
      <c r="F27" s="120" t="s">
        <v>164</v>
      </c>
      <c r="G27" s="121" t="s">
        <v>165</v>
      </c>
      <c r="H27" s="122" t="s">
        <v>190</v>
      </c>
      <c r="I27" s="123" t="s">
        <v>535</v>
      </c>
      <c r="J27" s="124" t="s">
        <v>141</v>
      </c>
      <c r="K27" s="125" t="s">
        <v>536</v>
      </c>
      <c r="L27" s="126" t="s">
        <v>193</v>
      </c>
      <c r="M27" s="127" t="s">
        <v>133</v>
      </c>
      <c r="N27" s="128" t="s">
        <v>231</v>
      </c>
      <c r="O27" s="129" t="s">
        <v>537</v>
      </c>
      <c r="P27" s="130" t="s">
        <v>538</v>
      </c>
      <c r="Q27" s="131" t="s">
        <v>141</v>
      </c>
      <c r="R27" s="132" t="s">
        <v>141</v>
      </c>
      <c r="S27" s="133" t="s">
        <v>539</v>
      </c>
      <c r="T27" s="134" t="s">
        <v>540</v>
      </c>
      <c r="U27" s="135">
        <v>1</v>
      </c>
      <c r="V27" s="136" t="s">
        <v>530</v>
      </c>
      <c r="W27" s="137" t="s">
        <v>141</v>
      </c>
      <c r="X27" s="138">
        <v>43101</v>
      </c>
      <c r="Y27" s="139" t="s">
        <v>141</v>
      </c>
      <c r="Z27" s="140" t="s">
        <v>141</v>
      </c>
      <c r="AA27" s="141" t="s">
        <v>141</v>
      </c>
      <c r="AB27" s="142" t="s">
        <v>141</v>
      </c>
      <c r="AC27" s="143" t="s">
        <v>141</v>
      </c>
      <c r="AD27" s="144" t="s">
        <v>141</v>
      </c>
      <c r="AE27" s="145" t="s">
        <v>141</v>
      </c>
      <c r="AF27" s="146" t="s">
        <v>141</v>
      </c>
      <c r="AG27" s="147" t="s">
        <v>141</v>
      </c>
      <c r="AH27" s="148" t="s">
        <v>141</v>
      </c>
      <c r="AI27" s="149" t="s">
        <v>141</v>
      </c>
      <c r="AJ27" s="150" t="s">
        <v>142</v>
      </c>
      <c r="AK27" s="151" t="s">
        <v>141</v>
      </c>
      <c r="AL27" s="152" t="s">
        <v>141</v>
      </c>
      <c r="AM27" s="153" t="s">
        <v>143</v>
      </c>
      <c r="AN27" s="154" t="s">
        <v>534</v>
      </c>
      <c r="AO27" s="155" t="s">
        <v>141</v>
      </c>
      <c r="AP27" s="156" t="s">
        <v>145</v>
      </c>
      <c r="AQ27" s="157" t="s">
        <v>141</v>
      </c>
      <c r="AR27" s="158" t="s">
        <v>141</v>
      </c>
      <c r="AS27" s="159" t="s">
        <v>141</v>
      </c>
      <c r="AT27" s="160" t="s">
        <v>141</v>
      </c>
      <c r="AU27" s="161" t="s">
        <v>141</v>
      </c>
      <c r="AV27" s="162" t="s">
        <v>141</v>
      </c>
      <c r="AW27" s="163" t="s">
        <v>141</v>
      </c>
      <c r="AX27" s="164" t="s">
        <v>141</v>
      </c>
      <c r="AY27" s="165" t="s">
        <v>141</v>
      </c>
      <c r="AZ27" s="166" t="s">
        <v>141</v>
      </c>
      <c r="BA27" s="167" t="s">
        <v>146</v>
      </c>
      <c r="BB27" s="168" t="s">
        <v>133</v>
      </c>
      <c r="BC27" s="169" t="s">
        <v>193</v>
      </c>
      <c r="BD27" s="170" t="s">
        <v>141</v>
      </c>
      <c r="BE27" s="171">
        <v>1</v>
      </c>
      <c r="BF27" s="172" t="s">
        <v>238</v>
      </c>
      <c r="BG27" s="173">
        <v>1</v>
      </c>
      <c r="BH27" s="174" t="s">
        <v>141</v>
      </c>
      <c r="BI27" s="175" t="s">
        <v>141</v>
      </c>
      <c r="BJ27" s="176" t="s">
        <v>141</v>
      </c>
      <c r="BK27" s="177" t="s">
        <v>239</v>
      </c>
      <c r="BL27" s="178" t="s">
        <v>238</v>
      </c>
      <c r="BM27" s="179" t="s">
        <v>238</v>
      </c>
      <c r="BN27" s="180" t="s">
        <v>141</v>
      </c>
      <c r="BO27" s="181" t="s">
        <v>141</v>
      </c>
      <c r="BP27" s="182" t="s">
        <v>141</v>
      </c>
      <c r="BQ27" s="183" t="s">
        <v>141</v>
      </c>
      <c r="BR27" s="184" t="s">
        <v>141</v>
      </c>
      <c r="BS27" s="185" t="s">
        <v>141</v>
      </c>
      <c r="BT27" s="186" t="s">
        <v>141</v>
      </c>
      <c r="BU27" s="187" t="s">
        <v>141</v>
      </c>
      <c r="BV27" s="188" t="s">
        <v>141</v>
      </c>
      <c r="BW27" s="189" t="s">
        <v>141</v>
      </c>
      <c r="BX27" s="190" t="s">
        <v>141</v>
      </c>
      <c r="BY27" s="191" t="s">
        <v>141</v>
      </c>
      <c r="BZ27" s="192" t="s">
        <v>141</v>
      </c>
      <c r="CA27" s="193" t="s">
        <v>141</v>
      </c>
      <c r="CB27" s="194" t="s">
        <v>141</v>
      </c>
      <c r="CC27" s="195" t="s">
        <v>141</v>
      </c>
      <c r="CD27" s="196" t="s">
        <v>141</v>
      </c>
      <c r="CE27" s="197" t="s">
        <v>141</v>
      </c>
      <c r="CF27" s="198" t="s">
        <v>141</v>
      </c>
      <c r="CG27" s="199" t="s">
        <v>141</v>
      </c>
      <c r="CH27" s="200" t="s">
        <v>141</v>
      </c>
      <c r="CI27" s="201" t="s">
        <v>141</v>
      </c>
      <c r="CJ27" s="202" t="s">
        <v>141</v>
      </c>
      <c r="CK27" s="203" t="s">
        <v>141</v>
      </c>
      <c r="CL27" s="204" t="s">
        <v>141</v>
      </c>
      <c r="CM27" s="205" t="s">
        <v>141</v>
      </c>
      <c r="CN27" s="206" t="s">
        <v>141</v>
      </c>
      <c r="CO27" s="207" t="s">
        <v>141</v>
      </c>
      <c r="CP27" s="208" t="s">
        <v>141</v>
      </c>
      <c r="CQ27" s="209" t="s">
        <v>141</v>
      </c>
      <c r="CR27" s="210" t="s">
        <v>141</v>
      </c>
      <c r="CS27" s="211" t="s">
        <v>141</v>
      </c>
      <c r="CT27" s="212" t="s">
        <v>141</v>
      </c>
      <c r="CU27" s="213" t="s">
        <v>141</v>
      </c>
      <c r="CV27" s="214" t="s">
        <v>141</v>
      </c>
      <c r="CW27" s="215" t="s">
        <v>141</v>
      </c>
      <c r="CX27" s="216" t="s">
        <v>141</v>
      </c>
      <c r="CY27" s="217" t="s">
        <v>150</v>
      </c>
      <c r="CZ27" s="218" t="s">
        <v>240</v>
      </c>
      <c r="DA27" s="219" t="s">
        <v>152</v>
      </c>
      <c r="DB27" s="220" t="s">
        <v>153</v>
      </c>
      <c r="DC27" s="221" t="s">
        <v>241</v>
      </c>
      <c r="DD27" s="222" t="s">
        <v>242</v>
      </c>
      <c r="DE27" s="223" t="s">
        <v>141</v>
      </c>
      <c r="DF27" s="224" t="s">
        <v>157</v>
      </c>
      <c r="DG27" s="225">
        <v>2017</v>
      </c>
      <c r="DH27" s="226" t="s">
        <v>541</v>
      </c>
      <c r="DI27" s="228" t="str">
        <f>HYPERLINK("https://my.pitchbook.com?c=127175-77T", "View company online")</f>
        <v>View company online</v>
      </c>
    </row>
    <row r="28" spans="1:113" x14ac:dyDescent="0.2">
      <c r="A28" s="3" t="s">
        <v>542</v>
      </c>
      <c r="B28" s="4" t="s">
        <v>543</v>
      </c>
      <c r="C28" s="5" t="s">
        <v>544</v>
      </c>
      <c r="D28" s="6" t="s">
        <v>545</v>
      </c>
      <c r="E28" s="7" t="s">
        <v>546</v>
      </c>
      <c r="F28" s="8" t="s">
        <v>126</v>
      </c>
      <c r="G28" s="9" t="s">
        <v>127</v>
      </c>
      <c r="H28" s="10" t="s">
        <v>128</v>
      </c>
      <c r="I28" s="11" t="s">
        <v>318</v>
      </c>
      <c r="J28" s="12" t="s">
        <v>141</v>
      </c>
      <c r="K28" s="13" t="s">
        <v>547</v>
      </c>
      <c r="L28" s="14" t="s">
        <v>193</v>
      </c>
      <c r="M28" s="15" t="s">
        <v>263</v>
      </c>
      <c r="N28" s="16" t="s">
        <v>231</v>
      </c>
      <c r="O28" s="17" t="s">
        <v>548</v>
      </c>
      <c r="P28" s="18" t="s">
        <v>549</v>
      </c>
      <c r="Q28" s="19" t="s">
        <v>550</v>
      </c>
      <c r="R28" s="20" t="s">
        <v>141</v>
      </c>
      <c r="S28" s="21" t="s">
        <v>551</v>
      </c>
      <c r="T28" s="22" t="s">
        <v>552</v>
      </c>
      <c r="U28" s="23">
        <v>1</v>
      </c>
      <c r="V28" s="24" t="s">
        <v>542</v>
      </c>
      <c r="W28" s="25" t="s">
        <v>141</v>
      </c>
      <c r="X28" s="26">
        <v>42272</v>
      </c>
      <c r="Y28" s="27">
        <v>0.03</v>
      </c>
      <c r="Z28" s="28" t="s">
        <v>177</v>
      </c>
      <c r="AA28" s="29" t="s">
        <v>141</v>
      </c>
      <c r="AB28" s="30" t="s">
        <v>141</v>
      </c>
      <c r="AC28" s="31" t="s">
        <v>141</v>
      </c>
      <c r="AD28" s="32">
        <v>8</v>
      </c>
      <c r="AE28" s="33">
        <v>0.03</v>
      </c>
      <c r="AF28" s="34" t="s">
        <v>141</v>
      </c>
      <c r="AG28" s="35" t="s">
        <v>141</v>
      </c>
      <c r="AH28" s="36" t="s">
        <v>141</v>
      </c>
      <c r="AI28" s="37" t="s">
        <v>141</v>
      </c>
      <c r="AJ28" s="38" t="s">
        <v>142</v>
      </c>
      <c r="AK28" s="39" t="s">
        <v>141</v>
      </c>
      <c r="AL28" s="40" t="s">
        <v>141</v>
      </c>
      <c r="AM28" s="41" t="s">
        <v>143</v>
      </c>
      <c r="AN28" s="42" t="s">
        <v>546</v>
      </c>
      <c r="AO28" s="43">
        <v>0.03</v>
      </c>
      <c r="AP28" s="44" t="s">
        <v>145</v>
      </c>
      <c r="AQ28" s="45" t="s">
        <v>141</v>
      </c>
      <c r="AR28" s="46" t="s">
        <v>141</v>
      </c>
      <c r="AS28" s="47" t="s">
        <v>141</v>
      </c>
      <c r="AT28" s="48" t="s">
        <v>141</v>
      </c>
      <c r="AU28" s="49" t="s">
        <v>141</v>
      </c>
      <c r="AV28" s="50" t="s">
        <v>141</v>
      </c>
      <c r="AW28" s="51" t="s">
        <v>141</v>
      </c>
      <c r="AX28" s="52" t="s">
        <v>141</v>
      </c>
      <c r="AY28" s="53" t="s">
        <v>141</v>
      </c>
      <c r="AZ28" s="54" t="s">
        <v>141</v>
      </c>
      <c r="BA28" s="55" t="s">
        <v>146</v>
      </c>
      <c r="BB28" s="56" t="s">
        <v>263</v>
      </c>
      <c r="BC28" s="57" t="s">
        <v>193</v>
      </c>
      <c r="BD28" s="58">
        <v>2</v>
      </c>
      <c r="BE28" s="59">
        <v>1</v>
      </c>
      <c r="BF28" s="60" t="s">
        <v>553</v>
      </c>
      <c r="BG28" s="61">
        <v>1</v>
      </c>
      <c r="BH28" s="62" t="s">
        <v>141</v>
      </c>
      <c r="BI28" s="63" t="s">
        <v>141</v>
      </c>
      <c r="BJ28" s="64" t="s">
        <v>141</v>
      </c>
      <c r="BK28" s="65" t="s">
        <v>554</v>
      </c>
      <c r="BL28" s="66" t="s">
        <v>553</v>
      </c>
      <c r="BM28" s="67" t="s">
        <v>553</v>
      </c>
      <c r="BN28" s="68" t="s">
        <v>141</v>
      </c>
      <c r="BO28" s="69" t="s">
        <v>141</v>
      </c>
      <c r="BP28" s="70" t="s">
        <v>141</v>
      </c>
      <c r="BQ28" s="71" t="s">
        <v>141</v>
      </c>
      <c r="BR28" s="72" t="s">
        <v>141</v>
      </c>
      <c r="BS28" s="73" t="s">
        <v>141</v>
      </c>
      <c r="BT28" s="74" t="s">
        <v>141</v>
      </c>
      <c r="BU28" s="75" t="s">
        <v>141</v>
      </c>
      <c r="BV28" s="76" t="s">
        <v>141</v>
      </c>
      <c r="BW28" s="77" t="s">
        <v>141</v>
      </c>
      <c r="BX28" s="78" t="s">
        <v>141</v>
      </c>
      <c r="BY28" s="79" t="s">
        <v>141</v>
      </c>
      <c r="BZ28" s="80" t="s">
        <v>141</v>
      </c>
      <c r="CA28" s="81" t="s">
        <v>141</v>
      </c>
      <c r="CB28" s="82" t="s">
        <v>141</v>
      </c>
      <c r="CC28" s="83" t="s">
        <v>141</v>
      </c>
      <c r="CD28" s="84" t="s">
        <v>141</v>
      </c>
      <c r="CE28" s="85" t="s">
        <v>141</v>
      </c>
      <c r="CF28" s="86" t="s">
        <v>141</v>
      </c>
      <c r="CG28" s="87" t="s">
        <v>141</v>
      </c>
      <c r="CH28" s="88" t="s">
        <v>141</v>
      </c>
      <c r="CI28" s="89" t="s">
        <v>141</v>
      </c>
      <c r="CJ28" s="90" t="s">
        <v>141</v>
      </c>
      <c r="CK28" s="91" t="s">
        <v>141</v>
      </c>
      <c r="CL28" s="92" t="s">
        <v>141</v>
      </c>
      <c r="CM28" s="93" t="s">
        <v>141</v>
      </c>
      <c r="CN28" s="94" t="s">
        <v>141</v>
      </c>
      <c r="CO28" s="95" t="s">
        <v>141</v>
      </c>
      <c r="CP28" s="96" t="s">
        <v>141</v>
      </c>
      <c r="CQ28" s="97" t="s">
        <v>141</v>
      </c>
      <c r="CR28" s="98" t="s">
        <v>141</v>
      </c>
      <c r="CS28" s="99" t="s">
        <v>141</v>
      </c>
      <c r="CT28" s="100" t="s">
        <v>141</v>
      </c>
      <c r="CU28" s="101" t="s">
        <v>141</v>
      </c>
      <c r="CV28" s="102" t="s">
        <v>141</v>
      </c>
      <c r="CW28" s="103" t="s">
        <v>141</v>
      </c>
      <c r="CX28" s="104">
        <v>2</v>
      </c>
      <c r="CY28" s="105" t="s">
        <v>150</v>
      </c>
      <c r="CZ28" s="106" t="s">
        <v>555</v>
      </c>
      <c r="DA28" s="107" t="s">
        <v>152</v>
      </c>
      <c r="DB28" s="108" t="s">
        <v>153</v>
      </c>
      <c r="DC28" s="109" t="s">
        <v>556</v>
      </c>
      <c r="DD28" s="110" t="s">
        <v>242</v>
      </c>
      <c r="DE28" s="111" t="s">
        <v>557</v>
      </c>
      <c r="DF28" s="112" t="s">
        <v>157</v>
      </c>
      <c r="DG28" s="113">
        <v>2014</v>
      </c>
      <c r="DH28" s="114" t="s">
        <v>558</v>
      </c>
      <c r="DI28" s="227" t="str">
        <f>HYPERLINK("https://my.pitchbook.com?c=60415-39T", "View company online")</f>
        <v>View company online</v>
      </c>
    </row>
    <row r="29" spans="1:113" x14ac:dyDescent="0.2">
      <c r="A29" s="115" t="s">
        <v>559</v>
      </c>
      <c r="B29" s="116" t="s">
        <v>560</v>
      </c>
      <c r="C29" s="117" t="s">
        <v>561</v>
      </c>
      <c r="D29" s="118" t="s">
        <v>562</v>
      </c>
      <c r="E29" s="119" t="s">
        <v>563</v>
      </c>
      <c r="F29" s="120" t="s">
        <v>126</v>
      </c>
      <c r="G29" s="121" t="s">
        <v>127</v>
      </c>
      <c r="H29" s="122" t="s">
        <v>128</v>
      </c>
      <c r="I29" s="123" t="s">
        <v>129</v>
      </c>
      <c r="J29" s="124" t="s">
        <v>130</v>
      </c>
      <c r="K29" s="125" t="s">
        <v>564</v>
      </c>
      <c r="L29" s="126" t="s">
        <v>132</v>
      </c>
      <c r="M29" s="127" t="s">
        <v>133</v>
      </c>
      <c r="N29" s="128" t="s">
        <v>134</v>
      </c>
      <c r="O29" s="129" t="s">
        <v>565</v>
      </c>
      <c r="P29" s="130" t="s">
        <v>566</v>
      </c>
      <c r="Q29" s="131" t="s">
        <v>567</v>
      </c>
      <c r="R29" s="132" t="s">
        <v>568</v>
      </c>
      <c r="S29" s="133" t="s">
        <v>569</v>
      </c>
      <c r="T29" s="134" t="s">
        <v>570</v>
      </c>
      <c r="U29" s="135">
        <v>2</v>
      </c>
      <c r="V29" s="136" t="s">
        <v>559</v>
      </c>
      <c r="W29" s="137">
        <v>43145</v>
      </c>
      <c r="X29" s="138">
        <v>43160</v>
      </c>
      <c r="Y29" s="139">
        <v>0.08</v>
      </c>
      <c r="Z29" s="140" t="s">
        <v>177</v>
      </c>
      <c r="AA29" s="141" t="s">
        <v>141</v>
      </c>
      <c r="AB29" s="142" t="s">
        <v>141</v>
      </c>
      <c r="AC29" s="143" t="s">
        <v>141</v>
      </c>
      <c r="AD29" s="144" t="s">
        <v>141</v>
      </c>
      <c r="AE29" s="145">
        <v>2.86</v>
      </c>
      <c r="AF29" s="146" t="s">
        <v>141</v>
      </c>
      <c r="AG29" s="147" t="s">
        <v>141</v>
      </c>
      <c r="AH29" s="148" t="s">
        <v>141</v>
      </c>
      <c r="AI29" s="149" t="s">
        <v>141</v>
      </c>
      <c r="AJ29" s="150" t="s">
        <v>142</v>
      </c>
      <c r="AK29" s="151" t="s">
        <v>141</v>
      </c>
      <c r="AL29" s="152" t="s">
        <v>141</v>
      </c>
      <c r="AM29" s="153" t="s">
        <v>143</v>
      </c>
      <c r="AN29" s="154" t="s">
        <v>571</v>
      </c>
      <c r="AO29" s="155" t="s">
        <v>141</v>
      </c>
      <c r="AP29" s="156" t="s">
        <v>145</v>
      </c>
      <c r="AQ29" s="157" t="s">
        <v>141</v>
      </c>
      <c r="AR29" s="158" t="s">
        <v>141</v>
      </c>
      <c r="AS29" s="159" t="s">
        <v>281</v>
      </c>
      <c r="AT29" s="160" t="s">
        <v>141</v>
      </c>
      <c r="AU29" s="161" t="s">
        <v>141</v>
      </c>
      <c r="AV29" s="162">
        <v>0.08</v>
      </c>
      <c r="AW29" s="163" t="s">
        <v>141</v>
      </c>
      <c r="AX29" s="164" t="s">
        <v>141</v>
      </c>
      <c r="AY29" s="165">
        <v>0.08</v>
      </c>
      <c r="AZ29" s="166" t="s">
        <v>141</v>
      </c>
      <c r="BA29" s="167" t="s">
        <v>146</v>
      </c>
      <c r="BB29" s="168" t="s">
        <v>133</v>
      </c>
      <c r="BC29" s="169" t="s">
        <v>132</v>
      </c>
      <c r="BD29" s="170">
        <v>36</v>
      </c>
      <c r="BE29" s="171">
        <v>2</v>
      </c>
      <c r="BF29" s="172" t="s">
        <v>572</v>
      </c>
      <c r="BG29" s="173">
        <v>2</v>
      </c>
      <c r="BH29" s="174" t="s">
        <v>141</v>
      </c>
      <c r="BI29" s="175" t="s">
        <v>141</v>
      </c>
      <c r="BJ29" s="176" t="s">
        <v>141</v>
      </c>
      <c r="BK29" s="177" t="s">
        <v>573</v>
      </c>
      <c r="BL29" s="239" t="s">
        <v>3200</v>
      </c>
      <c r="BM29" s="179" t="s">
        <v>141</v>
      </c>
      <c r="BN29" s="180" t="s">
        <v>574</v>
      </c>
      <c r="BO29" s="181" t="s">
        <v>141</v>
      </c>
      <c r="BP29" s="182" t="s">
        <v>141</v>
      </c>
      <c r="BQ29" s="183" t="s">
        <v>141</v>
      </c>
      <c r="BR29" s="184" t="s">
        <v>141</v>
      </c>
      <c r="BS29" s="185" t="s">
        <v>141</v>
      </c>
      <c r="BT29" s="186" t="s">
        <v>141</v>
      </c>
      <c r="BU29" s="187" t="s">
        <v>141</v>
      </c>
      <c r="BV29" s="188" t="s">
        <v>141</v>
      </c>
      <c r="BW29" s="189" t="s">
        <v>141</v>
      </c>
      <c r="BX29" s="190" t="s">
        <v>141</v>
      </c>
      <c r="BY29" s="191" t="s">
        <v>141</v>
      </c>
      <c r="BZ29" s="192" t="s">
        <v>141</v>
      </c>
      <c r="CA29" s="193" t="s">
        <v>141</v>
      </c>
      <c r="CB29" s="194" t="s">
        <v>141</v>
      </c>
      <c r="CC29" s="195" t="s">
        <v>141</v>
      </c>
      <c r="CD29" s="196" t="s">
        <v>141</v>
      </c>
      <c r="CE29" s="197" t="s">
        <v>141</v>
      </c>
      <c r="CF29" s="198" t="s">
        <v>141</v>
      </c>
      <c r="CG29" s="199" t="s">
        <v>141</v>
      </c>
      <c r="CH29" s="200" t="s">
        <v>141</v>
      </c>
      <c r="CI29" s="201" t="s">
        <v>141</v>
      </c>
      <c r="CJ29" s="202" t="s">
        <v>141</v>
      </c>
      <c r="CK29" s="203" t="s">
        <v>141</v>
      </c>
      <c r="CL29" s="204" t="s">
        <v>141</v>
      </c>
      <c r="CM29" s="205" t="s">
        <v>141</v>
      </c>
      <c r="CN29" s="206" t="s">
        <v>141</v>
      </c>
      <c r="CO29" s="207" t="s">
        <v>141</v>
      </c>
      <c r="CP29" s="208" t="s">
        <v>141</v>
      </c>
      <c r="CQ29" s="209" t="s">
        <v>141</v>
      </c>
      <c r="CR29" s="210" t="s">
        <v>141</v>
      </c>
      <c r="CS29" s="211" t="s">
        <v>141</v>
      </c>
      <c r="CT29" s="212" t="s">
        <v>141</v>
      </c>
      <c r="CU29" s="213" t="s">
        <v>141</v>
      </c>
      <c r="CV29" s="214" t="s">
        <v>141</v>
      </c>
      <c r="CW29" s="215" t="s">
        <v>141</v>
      </c>
      <c r="CX29" s="216">
        <v>81</v>
      </c>
      <c r="CY29" s="217" t="s">
        <v>150</v>
      </c>
      <c r="CZ29" s="218" t="s">
        <v>575</v>
      </c>
      <c r="DA29" s="219" t="s">
        <v>152</v>
      </c>
      <c r="DB29" s="220" t="s">
        <v>153</v>
      </c>
      <c r="DC29" s="221" t="s">
        <v>576</v>
      </c>
      <c r="DD29" s="222" t="s">
        <v>577</v>
      </c>
      <c r="DE29" s="223" t="s">
        <v>578</v>
      </c>
      <c r="DF29" s="224" t="s">
        <v>157</v>
      </c>
      <c r="DG29" s="225">
        <v>2017</v>
      </c>
      <c r="DH29" s="226" t="s">
        <v>579</v>
      </c>
      <c r="DI29" s="228" t="str">
        <f>HYPERLINK("https://my.pitchbook.com?c=102348-46T", "View company online")</f>
        <v>View company online</v>
      </c>
    </row>
    <row r="30" spans="1:113" x14ac:dyDescent="0.2">
      <c r="A30" s="3" t="s">
        <v>580</v>
      </c>
      <c r="B30" s="4" t="s">
        <v>581</v>
      </c>
      <c r="C30" s="5" t="s">
        <v>582</v>
      </c>
      <c r="D30" s="6" t="s">
        <v>583</v>
      </c>
      <c r="E30" s="7" t="s">
        <v>584</v>
      </c>
      <c r="F30" s="8" t="s">
        <v>585</v>
      </c>
      <c r="G30" s="9" t="s">
        <v>586</v>
      </c>
      <c r="H30" s="10" t="s">
        <v>587</v>
      </c>
      <c r="I30" s="11" t="s">
        <v>588</v>
      </c>
      <c r="J30" s="12" t="s">
        <v>589</v>
      </c>
      <c r="K30" s="13" t="s">
        <v>590</v>
      </c>
      <c r="L30" s="14" t="s">
        <v>132</v>
      </c>
      <c r="M30" s="15" t="s">
        <v>591</v>
      </c>
      <c r="N30" s="16" t="s">
        <v>170</v>
      </c>
      <c r="O30" s="17" t="s">
        <v>592</v>
      </c>
      <c r="P30" s="18" t="s">
        <v>593</v>
      </c>
      <c r="Q30" s="19" t="s">
        <v>594</v>
      </c>
      <c r="R30" s="20" t="s">
        <v>595</v>
      </c>
      <c r="S30" s="21" t="s">
        <v>596</v>
      </c>
      <c r="T30" s="22" t="s">
        <v>597</v>
      </c>
      <c r="U30" s="23">
        <v>1</v>
      </c>
      <c r="V30" s="24" t="s">
        <v>580</v>
      </c>
      <c r="W30" s="25" t="s">
        <v>141</v>
      </c>
      <c r="X30" s="26">
        <v>41061</v>
      </c>
      <c r="Y30" s="27" t="s">
        <v>141</v>
      </c>
      <c r="Z30" s="28" t="s">
        <v>141</v>
      </c>
      <c r="AA30" s="29" t="s">
        <v>141</v>
      </c>
      <c r="AB30" s="30" t="s">
        <v>141</v>
      </c>
      <c r="AC30" s="31" t="s">
        <v>141</v>
      </c>
      <c r="AD30" s="32" t="s">
        <v>141</v>
      </c>
      <c r="AE30" s="33" t="s">
        <v>141</v>
      </c>
      <c r="AF30" s="34" t="s">
        <v>141</v>
      </c>
      <c r="AG30" s="35" t="s">
        <v>141</v>
      </c>
      <c r="AH30" s="36" t="s">
        <v>141</v>
      </c>
      <c r="AI30" s="37" t="s">
        <v>141</v>
      </c>
      <c r="AJ30" s="38" t="s">
        <v>142</v>
      </c>
      <c r="AK30" s="39" t="s">
        <v>141</v>
      </c>
      <c r="AL30" s="40" t="s">
        <v>141</v>
      </c>
      <c r="AM30" s="41" t="s">
        <v>143</v>
      </c>
      <c r="AN30" s="42" t="s">
        <v>598</v>
      </c>
      <c r="AO30" s="43" t="s">
        <v>141</v>
      </c>
      <c r="AP30" s="44" t="s">
        <v>145</v>
      </c>
      <c r="AQ30" s="45" t="s">
        <v>141</v>
      </c>
      <c r="AR30" s="46" t="s">
        <v>141</v>
      </c>
      <c r="AS30" s="47" t="s">
        <v>141</v>
      </c>
      <c r="AT30" s="48" t="s">
        <v>141</v>
      </c>
      <c r="AU30" s="49" t="s">
        <v>141</v>
      </c>
      <c r="AV30" s="50" t="s">
        <v>141</v>
      </c>
      <c r="AW30" s="51" t="s">
        <v>141</v>
      </c>
      <c r="AX30" s="52" t="s">
        <v>141</v>
      </c>
      <c r="AY30" s="53" t="s">
        <v>141</v>
      </c>
      <c r="AZ30" s="54" t="s">
        <v>141</v>
      </c>
      <c r="BA30" s="55" t="s">
        <v>146</v>
      </c>
      <c r="BB30" s="56" t="s">
        <v>263</v>
      </c>
      <c r="BC30" s="57" t="s">
        <v>193</v>
      </c>
      <c r="BD30" s="58" t="s">
        <v>141</v>
      </c>
      <c r="BE30" s="59">
        <v>1</v>
      </c>
      <c r="BF30" s="60" t="s">
        <v>178</v>
      </c>
      <c r="BG30" s="61">
        <v>1</v>
      </c>
      <c r="BH30" s="62" t="s">
        <v>141</v>
      </c>
      <c r="BI30" s="63" t="s">
        <v>141</v>
      </c>
      <c r="BJ30" s="64" t="s">
        <v>141</v>
      </c>
      <c r="BK30" s="65" t="s">
        <v>179</v>
      </c>
      <c r="BL30" s="66" t="s">
        <v>178</v>
      </c>
      <c r="BM30" s="67" t="s">
        <v>178</v>
      </c>
      <c r="BN30" s="68" t="s">
        <v>264</v>
      </c>
      <c r="BO30" s="69" t="s">
        <v>141</v>
      </c>
      <c r="BP30" s="70" t="s">
        <v>141</v>
      </c>
      <c r="BQ30" s="71" t="s">
        <v>141</v>
      </c>
      <c r="BR30" s="72" t="s">
        <v>141</v>
      </c>
      <c r="BS30" s="73" t="s">
        <v>141</v>
      </c>
      <c r="BT30" s="74" t="s">
        <v>141</v>
      </c>
      <c r="BU30" s="75" t="s">
        <v>141</v>
      </c>
      <c r="BV30" s="76" t="s">
        <v>141</v>
      </c>
      <c r="BW30" s="77" t="s">
        <v>141</v>
      </c>
      <c r="BX30" s="78" t="s">
        <v>141</v>
      </c>
      <c r="BY30" s="79" t="s">
        <v>141</v>
      </c>
      <c r="BZ30" s="80" t="s">
        <v>141</v>
      </c>
      <c r="CA30" s="81" t="s">
        <v>141</v>
      </c>
      <c r="CB30" s="82" t="s">
        <v>141</v>
      </c>
      <c r="CC30" s="83" t="s">
        <v>141</v>
      </c>
      <c r="CD30" s="84" t="s">
        <v>141</v>
      </c>
      <c r="CE30" s="85" t="s">
        <v>141</v>
      </c>
      <c r="CF30" s="86" t="s">
        <v>141</v>
      </c>
      <c r="CG30" s="87" t="s">
        <v>141</v>
      </c>
      <c r="CH30" s="88" t="s">
        <v>141</v>
      </c>
      <c r="CI30" s="89" t="s">
        <v>141</v>
      </c>
      <c r="CJ30" s="90" t="s">
        <v>141</v>
      </c>
      <c r="CK30" s="91" t="s">
        <v>141</v>
      </c>
      <c r="CL30" s="92" t="s">
        <v>141</v>
      </c>
      <c r="CM30" s="93" t="s">
        <v>141</v>
      </c>
      <c r="CN30" s="94" t="s">
        <v>141</v>
      </c>
      <c r="CO30" s="95" t="s">
        <v>141</v>
      </c>
      <c r="CP30" s="96" t="s">
        <v>141</v>
      </c>
      <c r="CQ30" s="97" t="s">
        <v>141</v>
      </c>
      <c r="CR30" s="98" t="s">
        <v>141</v>
      </c>
      <c r="CS30" s="99" t="s">
        <v>141</v>
      </c>
      <c r="CT30" s="100" t="s">
        <v>141</v>
      </c>
      <c r="CU30" s="101" t="s">
        <v>141</v>
      </c>
      <c r="CV30" s="102" t="s">
        <v>141</v>
      </c>
      <c r="CW30" s="103" t="s">
        <v>141</v>
      </c>
      <c r="CX30" s="104">
        <v>300000</v>
      </c>
      <c r="CY30" s="105" t="s">
        <v>150</v>
      </c>
      <c r="CZ30" s="106" t="s">
        <v>180</v>
      </c>
      <c r="DA30" s="107" t="s">
        <v>152</v>
      </c>
      <c r="DB30" s="108" t="s">
        <v>153</v>
      </c>
      <c r="DC30" s="109" t="s">
        <v>181</v>
      </c>
      <c r="DD30" s="110" t="s">
        <v>182</v>
      </c>
      <c r="DE30" s="111" t="s">
        <v>183</v>
      </c>
      <c r="DF30" s="112" t="s">
        <v>157</v>
      </c>
      <c r="DG30" s="113">
        <v>2012</v>
      </c>
      <c r="DH30" s="114" t="s">
        <v>599</v>
      </c>
      <c r="DI30" s="227" t="str">
        <f>HYPERLINK("https://my.pitchbook.com?c=22566-97T", "View company online")</f>
        <v>View company online</v>
      </c>
    </row>
    <row r="31" spans="1:113" x14ac:dyDescent="0.2">
      <c r="A31" s="115" t="s">
        <v>600</v>
      </c>
      <c r="B31" s="116" t="s">
        <v>601</v>
      </c>
      <c r="C31" s="117" t="s">
        <v>602</v>
      </c>
      <c r="D31" s="118" t="s">
        <v>603</v>
      </c>
      <c r="E31" s="119" t="s">
        <v>604</v>
      </c>
      <c r="F31" s="120" t="s">
        <v>126</v>
      </c>
      <c r="G31" s="121" t="s">
        <v>456</v>
      </c>
      <c r="H31" s="122" t="s">
        <v>457</v>
      </c>
      <c r="I31" s="123" t="s">
        <v>605</v>
      </c>
      <c r="J31" s="124" t="s">
        <v>606</v>
      </c>
      <c r="K31" s="125" t="s">
        <v>607</v>
      </c>
      <c r="L31" s="126" t="s">
        <v>193</v>
      </c>
      <c r="M31" s="127" t="s">
        <v>608</v>
      </c>
      <c r="N31" s="128" t="s">
        <v>231</v>
      </c>
      <c r="O31" s="129" t="s">
        <v>609</v>
      </c>
      <c r="P31" s="130" t="s">
        <v>610</v>
      </c>
      <c r="Q31" s="131" t="s">
        <v>141</v>
      </c>
      <c r="R31" s="132" t="s">
        <v>611</v>
      </c>
      <c r="S31" s="133" t="s">
        <v>612</v>
      </c>
      <c r="T31" s="134" t="s">
        <v>613</v>
      </c>
      <c r="U31" s="135">
        <v>2</v>
      </c>
      <c r="V31" s="136" t="s">
        <v>600</v>
      </c>
      <c r="W31" s="137" t="s">
        <v>141</v>
      </c>
      <c r="X31" s="138">
        <v>43633</v>
      </c>
      <c r="Y31" s="139" t="s">
        <v>141</v>
      </c>
      <c r="Z31" s="140" t="s">
        <v>141</v>
      </c>
      <c r="AA31" s="141" t="s">
        <v>141</v>
      </c>
      <c r="AB31" s="142" t="s">
        <v>141</v>
      </c>
      <c r="AC31" s="143" t="s">
        <v>141</v>
      </c>
      <c r="AD31" s="144" t="s">
        <v>141</v>
      </c>
      <c r="AE31" s="145" t="s">
        <v>141</v>
      </c>
      <c r="AF31" s="146" t="s">
        <v>141</v>
      </c>
      <c r="AG31" s="147" t="s">
        <v>141</v>
      </c>
      <c r="AH31" s="148" t="s">
        <v>141</v>
      </c>
      <c r="AI31" s="149" t="s">
        <v>141</v>
      </c>
      <c r="AJ31" s="150" t="s">
        <v>142</v>
      </c>
      <c r="AK31" s="151" t="s">
        <v>141</v>
      </c>
      <c r="AL31" s="152" t="s">
        <v>141</v>
      </c>
      <c r="AM31" s="153" t="s">
        <v>143</v>
      </c>
      <c r="AN31" s="154" t="s">
        <v>614</v>
      </c>
      <c r="AO31" s="155" t="s">
        <v>141</v>
      </c>
      <c r="AP31" s="156" t="s">
        <v>145</v>
      </c>
      <c r="AQ31" s="157" t="s">
        <v>141</v>
      </c>
      <c r="AR31" s="158" t="s">
        <v>141</v>
      </c>
      <c r="AS31" s="159" t="s">
        <v>141</v>
      </c>
      <c r="AT31" s="160" t="s">
        <v>141</v>
      </c>
      <c r="AU31" s="161" t="s">
        <v>141</v>
      </c>
      <c r="AV31" s="162" t="s">
        <v>141</v>
      </c>
      <c r="AW31" s="163" t="s">
        <v>141</v>
      </c>
      <c r="AX31" s="164" t="s">
        <v>141</v>
      </c>
      <c r="AY31" s="165" t="s">
        <v>141</v>
      </c>
      <c r="AZ31" s="166" t="s">
        <v>141</v>
      </c>
      <c r="BA31" s="167" t="s">
        <v>146</v>
      </c>
      <c r="BB31" s="168" t="s">
        <v>133</v>
      </c>
      <c r="BC31" s="169" t="s">
        <v>193</v>
      </c>
      <c r="BD31" s="170">
        <v>3</v>
      </c>
      <c r="BE31" s="171">
        <v>1</v>
      </c>
      <c r="BF31" s="172" t="s">
        <v>615</v>
      </c>
      <c r="BG31" s="173">
        <v>1</v>
      </c>
      <c r="BH31" s="174" t="s">
        <v>141</v>
      </c>
      <c r="BI31" s="175" t="s">
        <v>141</v>
      </c>
      <c r="BJ31" s="176" t="s">
        <v>141</v>
      </c>
      <c r="BK31" s="177" t="s">
        <v>616</v>
      </c>
      <c r="BL31" s="178" t="s">
        <v>615</v>
      </c>
      <c r="BM31" s="179" t="s">
        <v>615</v>
      </c>
      <c r="BN31" s="180" t="s">
        <v>141</v>
      </c>
      <c r="BO31" s="181" t="s">
        <v>141</v>
      </c>
      <c r="BP31" s="182" t="s">
        <v>141</v>
      </c>
      <c r="BQ31" s="183" t="s">
        <v>141</v>
      </c>
      <c r="BR31" s="184" t="s">
        <v>141</v>
      </c>
      <c r="BS31" s="185" t="s">
        <v>141</v>
      </c>
      <c r="BT31" s="186" t="s">
        <v>141</v>
      </c>
      <c r="BU31" s="187" t="s">
        <v>141</v>
      </c>
      <c r="BV31" s="188" t="s">
        <v>141</v>
      </c>
      <c r="BW31" s="189" t="s">
        <v>141</v>
      </c>
      <c r="BX31" s="190" t="s">
        <v>141</v>
      </c>
      <c r="BY31" s="191" t="s">
        <v>141</v>
      </c>
      <c r="BZ31" s="192" t="s">
        <v>141</v>
      </c>
      <c r="CA31" s="193" t="s">
        <v>141</v>
      </c>
      <c r="CB31" s="194" t="s">
        <v>141</v>
      </c>
      <c r="CC31" s="195" t="s">
        <v>141</v>
      </c>
      <c r="CD31" s="196" t="s">
        <v>141</v>
      </c>
      <c r="CE31" s="197" t="s">
        <v>141</v>
      </c>
      <c r="CF31" s="198" t="s">
        <v>141</v>
      </c>
      <c r="CG31" s="199" t="s">
        <v>141</v>
      </c>
      <c r="CH31" s="200" t="s">
        <v>141</v>
      </c>
      <c r="CI31" s="201" t="s">
        <v>141</v>
      </c>
      <c r="CJ31" s="202" t="s">
        <v>141</v>
      </c>
      <c r="CK31" s="203" t="s">
        <v>141</v>
      </c>
      <c r="CL31" s="204" t="s">
        <v>141</v>
      </c>
      <c r="CM31" s="205" t="s">
        <v>141</v>
      </c>
      <c r="CN31" s="206" t="s">
        <v>141</v>
      </c>
      <c r="CO31" s="207" t="s">
        <v>141</v>
      </c>
      <c r="CP31" s="208" t="s">
        <v>141</v>
      </c>
      <c r="CQ31" s="209" t="s">
        <v>141</v>
      </c>
      <c r="CR31" s="210" t="s">
        <v>141</v>
      </c>
      <c r="CS31" s="211" t="s">
        <v>141</v>
      </c>
      <c r="CT31" s="212" t="s">
        <v>141</v>
      </c>
      <c r="CU31" s="213" t="s">
        <v>141</v>
      </c>
      <c r="CV31" s="214" t="s">
        <v>141</v>
      </c>
      <c r="CW31" s="215" t="s">
        <v>141</v>
      </c>
      <c r="CX31" s="216">
        <v>3</v>
      </c>
      <c r="CY31" s="217" t="s">
        <v>150</v>
      </c>
      <c r="CZ31" s="218" t="s">
        <v>617</v>
      </c>
      <c r="DA31" s="219" t="s">
        <v>152</v>
      </c>
      <c r="DB31" s="220" t="s">
        <v>153</v>
      </c>
      <c r="DC31" s="221" t="s">
        <v>618</v>
      </c>
      <c r="DD31" s="222" t="s">
        <v>619</v>
      </c>
      <c r="DE31" s="223" t="s">
        <v>141</v>
      </c>
      <c r="DF31" s="224" t="s">
        <v>157</v>
      </c>
      <c r="DG31" s="225">
        <v>2017</v>
      </c>
      <c r="DH31" s="226" t="s">
        <v>620</v>
      </c>
      <c r="DI31" s="228" t="str">
        <f>HYPERLINK("https://my.pitchbook.com?c=132706-90T", "View company online")</f>
        <v>View company online</v>
      </c>
    </row>
    <row r="32" spans="1:113" x14ac:dyDescent="0.2">
      <c r="A32" s="3" t="s">
        <v>621</v>
      </c>
      <c r="B32" s="4" t="s">
        <v>601</v>
      </c>
      <c r="C32" s="5" t="s">
        <v>602</v>
      </c>
      <c r="D32" s="6" t="s">
        <v>603</v>
      </c>
      <c r="E32" s="7" t="s">
        <v>604</v>
      </c>
      <c r="F32" s="8" t="s">
        <v>126</v>
      </c>
      <c r="G32" s="9" t="s">
        <v>456</v>
      </c>
      <c r="H32" s="10" t="s">
        <v>457</v>
      </c>
      <c r="I32" s="11" t="s">
        <v>605</v>
      </c>
      <c r="J32" s="12" t="s">
        <v>606</v>
      </c>
      <c r="K32" s="13" t="s">
        <v>607</v>
      </c>
      <c r="L32" s="14" t="s">
        <v>193</v>
      </c>
      <c r="M32" s="15" t="s">
        <v>608</v>
      </c>
      <c r="N32" s="16" t="s">
        <v>231</v>
      </c>
      <c r="O32" s="17" t="s">
        <v>609</v>
      </c>
      <c r="P32" s="18" t="s">
        <v>610</v>
      </c>
      <c r="Q32" s="19" t="s">
        <v>141</v>
      </c>
      <c r="R32" s="20" t="s">
        <v>611</v>
      </c>
      <c r="S32" s="21" t="s">
        <v>612</v>
      </c>
      <c r="T32" s="22" t="s">
        <v>613</v>
      </c>
      <c r="U32" s="23">
        <v>3</v>
      </c>
      <c r="V32" s="24" t="s">
        <v>621</v>
      </c>
      <c r="W32" s="25" t="s">
        <v>141</v>
      </c>
      <c r="X32" s="26">
        <v>43727</v>
      </c>
      <c r="Y32" s="27">
        <v>0.01</v>
      </c>
      <c r="Z32" s="28" t="s">
        <v>177</v>
      </c>
      <c r="AA32" s="29" t="s">
        <v>141</v>
      </c>
      <c r="AB32" s="30" t="s">
        <v>141</v>
      </c>
      <c r="AC32" s="31" t="s">
        <v>141</v>
      </c>
      <c r="AD32" s="32" t="s">
        <v>141</v>
      </c>
      <c r="AE32" s="33" t="s">
        <v>141</v>
      </c>
      <c r="AF32" s="34" t="s">
        <v>141</v>
      </c>
      <c r="AG32" s="35" t="s">
        <v>141</v>
      </c>
      <c r="AH32" s="36" t="s">
        <v>141</v>
      </c>
      <c r="AI32" s="37" t="s">
        <v>141</v>
      </c>
      <c r="AJ32" s="38" t="s">
        <v>142</v>
      </c>
      <c r="AK32" s="39" t="s">
        <v>141</v>
      </c>
      <c r="AL32" s="40" t="s">
        <v>141</v>
      </c>
      <c r="AM32" s="41" t="s">
        <v>143</v>
      </c>
      <c r="AN32" s="42" t="s">
        <v>622</v>
      </c>
      <c r="AO32" s="43" t="s">
        <v>141</v>
      </c>
      <c r="AP32" s="44" t="s">
        <v>145</v>
      </c>
      <c r="AQ32" s="45" t="s">
        <v>141</v>
      </c>
      <c r="AR32" s="46" t="s">
        <v>141</v>
      </c>
      <c r="AS32" s="47" t="s">
        <v>141</v>
      </c>
      <c r="AT32" s="48" t="s">
        <v>141</v>
      </c>
      <c r="AU32" s="49" t="s">
        <v>141</v>
      </c>
      <c r="AV32" s="50" t="s">
        <v>141</v>
      </c>
      <c r="AW32" s="51" t="s">
        <v>141</v>
      </c>
      <c r="AX32" s="52" t="s">
        <v>141</v>
      </c>
      <c r="AY32" s="53" t="s">
        <v>141</v>
      </c>
      <c r="AZ32" s="54" t="s">
        <v>141</v>
      </c>
      <c r="BA32" s="55" t="s">
        <v>146</v>
      </c>
      <c r="BB32" s="56" t="s">
        <v>133</v>
      </c>
      <c r="BC32" s="57" t="s">
        <v>193</v>
      </c>
      <c r="BD32" s="58">
        <v>3</v>
      </c>
      <c r="BE32" s="59">
        <v>1</v>
      </c>
      <c r="BF32" s="60" t="s">
        <v>623</v>
      </c>
      <c r="BG32" s="61">
        <v>1</v>
      </c>
      <c r="BH32" s="62" t="s">
        <v>141</v>
      </c>
      <c r="BI32" s="63" t="s">
        <v>141</v>
      </c>
      <c r="BJ32" s="64" t="s">
        <v>141</v>
      </c>
      <c r="BK32" s="65" t="s">
        <v>624</v>
      </c>
      <c r="BL32" s="66" t="s">
        <v>623</v>
      </c>
      <c r="BM32" s="67" t="s">
        <v>623</v>
      </c>
      <c r="BN32" s="68" t="s">
        <v>141</v>
      </c>
      <c r="BO32" s="69" t="s">
        <v>141</v>
      </c>
      <c r="BP32" s="70" t="s">
        <v>141</v>
      </c>
      <c r="BQ32" s="71" t="s">
        <v>141</v>
      </c>
      <c r="BR32" s="72" t="s">
        <v>141</v>
      </c>
      <c r="BS32" s="73" t="s">
        <v>141</v>
      </c>
      <c r="BT32" s="74" t="s">
        <v>141</v>
      </c>
      <c r="BU32" s="75" t="s">
        <v>141</v>
      </c>
      <c r="BV32" s="76" t="s">
        <v>141</v>
      </c>
      <c r="BW32" s="77" t="s">
        <v>141</v>
      </c>
      <c r="BX32" s="78">
        <v>0.06</v>
      </c>
      <c r="BY32" s="79" t="s">
        <v>141</v>
      </c>
      <c r="BZ32" s="80" t="s">
        <v>141</v>
      </c>
      <c r="CA32" s="81" t="s">
        <v>141</v>
      </c>
      <c r="CB32" s="82" t="s">
        <v>141</v>
      </c>
      <c r="CC32" s="83" t="s">
        <v>141</v>
      </c>
      <c r="CD32" s="84" t="s">
        <v>141</v>
      </c>
      <c r="CE32" s="85">
        <v>2019</v>
      </c>
      <c r="CF32" s="86" t="s">
        <v>141</v>
      </c>
      <c r="CG32" s="87" t="s">
        <v>141</v>
      </c>
      <c r="CH32" s="88" t="s">
        <v>141</v>
      </c>
      <c r="CI32" s="89" t="s">
        <v>141</v>
      </c>
      <c r="CJ32" s="90" t="s">
        <v>141</v>
      </c>
      <c r="CK32" s="91" t="s">
        <v>141</v>
      </c>
      <c r="CL32" s="92" t="s">
        <v>141</v>
      </c>
      <c r="CM32" s="93" t="s">
        <v>141</v>
      </c>
      <c r="CN32" s="94">
        <v>0.05</v>
      </c>
      <c r="CO32" s="95" t="s">
        <v>141</v>
      </c>
      <c r="CP32" s="96" t="s">
        <v>141</v>
      </c>
      <c r="CQ32" s="97" t="s">
        <v>141</v>
      </c>
      <c r="CR32" s="98" t="s">
        <v>141</v>
      </c>
      <c r="CS32" s="99" t="s">
        <v>141</v>
      </c>
      <c r="CT32" s="100" t="s">
        <v>141</v>
      </c>
      <c r="CU32" s="101" t="s">
        <v>141</v>
      </c>
      <c r="CV32" s="102" t="s">
        <v>141</v>
      </c>
      <c r="CW32" s="103" t="s">
        <v>141</v>
      </c>
      <c r="CX32" s="104">
        <v>3</v>
      </c>
      <c r="CY32" s="105" t="s">
        <v>150</v>
      </c>
      <c r="CZ32" s="106" t="s">
        <v>617</v>
      </c>
      <c r="DA32" s="107" t="s">
        <v>152</v>
      </c>
      <c r="DB32" s="108" t="s">
        <v>153</v>
      </c>
      <c r="DC32" s="109" t="s">
        <v>618</v>
      </c>
      <c r="DD32" s="110" t="s">
        <v>619</v>
      </c>
      <c r="DE32" s="111" t="s">
        <v>141</v>
      </c>
      <c r="DF32" s="112" t="s">
        <v>157</v>
      </c>
      <c r="DG32" s="113">
        <v>2017</v>
      </c>
      <c r="DH32" s="114" t="s">
        <v>620</v>
      </c>
      <c r="DI32" s="227" t="str">
        <f>HYPERLINK("https://my.pitchbook.com?c=132707-53T", "View company online")</f>
        <v>View company online</v>
      </c>
    </row>
    <row r="33" spans="1:113" x14ac:dyDescent="0.2">
      <c r="A33" s="115" t="s">
        <v>625</v>
      </c>
      <c r="B33" s="116" t="s">
        <v>626</v>
      </c>
      <c r="C33" s="117" t="s">
        <v>627</v>
      </c>
      <c r="D33" s="118" t="s">
        <v>628</v>
      </c>
      <c r="E33" s="119" t="s">
        <v>629</v>
      </c>
      <c r="F33" s="120" t="s">
        <v>126</v>
      </c>
      <c r="G33" s="121" t="s">
        <v>127</v>
      </c>
      <c r="H33" s="122" t="s">
        <v>128</v>
      </c>
      <c r="I33" s="123" t="s">
        <v>129</v>
      </c>
      <c r="J33" s="124" t="s">
        <v>130</v>
      </c>
      <c r="K33" s="125" t="s">
        <v>630</v>
      </c>
      <c r="L33" s="126" t="s">
        <v>345</v>
      </c>
      <c r="M33" s="127" t="s">
        <v>631</v>
      </c>
      <c r="N33" s="128" t="s">
        <v>170</v>
      </c>
      <c r="O33" s="129" t="s">
        <v>632</v>
      </c>
      <c r="P33" s="130" t="s">
        <v>633</v>
      </c>
      <c r="Q33" s="131" t="s">
        <v>141</v>
      </c>
      <c r="R33" s="132" t="s">
        <v>634</v>
      </c>
      <c r="S33" s="133" t="s">
        <v>635</v>
      </c>
      <c r="T33" s="134" t="s">
        <v>636</v>
      </c>
      <c r="U33" s="135">
        <v>4</v>
      </c>
      <c r="V33" s="136" t="s">
        <v>625</v>
      </c>
      <c r="W33" s="137" t="s">
        <v>141</v>
      </c>
      <c r="X33" s="138" t="s">
        <v>141</v>
      </c>
      <c r="Y33" s="139" t="s">
        <v>141</v>
      </c>
      <c r="Z33" s="140" t="s">
        <v>141</v>
      </c>
      <c r="AA33" s="141" t="s">
        <v>141</v>
      </c>
      <c r="AB33" s="142" t="s">
        <v>141</v>
      </c>
      <c r="AC33" s="143" t="s">
        <v>141</v>
      </c>
      <c r="AD33" s="144" t="s">
        <v>141</v>
      </c>
      <c r="AE33" s="145">
        <v>19.8</v>
      </c>
      <c r="AF33" s="146" t="s">
        <v>141</v>
      </c>
      <c r="AG33" s="147" t="s">
        <v>141</v>
      </c>
      <c r="AH33" s="148" t="s">
        <v>141</v>
      </c>
      <c r="AI33" s="149" t="s">
        <v>141</v>
      </c>
      <c r="AJ33" s="150" t="s">
        <v>142</v>
      </c>
      <c r="AK33" s="151" t="s">
        <v>141</v>
      </c>
      <c r="AL33" s="152" t="s">
        <v>141</v>
      </c>
      <c r="AM33" s="153" t="s">
        <v>143</v>
      </c>
      <c r="AN33" s="154" t="s">
        <v>637</v>
      </c>
      <c r="AO33" s="155" t="s">
        <v>141</v>
      </c>
      <c r="AP33" s="156" t="s">
        <v>145</v>
      </c>
      <c r="AQ33" s="157" t="s">
        <v>141</v>
      </c>
      <c r="AR33" s="158" t="s">
        <v>141</v>
      </c>
      <c r="AS33" s="159" t="s">
        <v>141</v>
      </c>
      <c r="AT33" s="160" t="s">
        <v>141</v>
      </c>
      <c r="AU33" s="161" t="s">
        <v>141</v>
      </c>
      <c r="AV33" s="162" t="s">
        <v>141</v>
      </c>
      <c r="AW33" s="163" t="s">
        <v>141</v>
      </c>
      <c r="AX33" s="164" t="s">
        <v>141</v>
      </c>
      <c r="AY33" s="165" t="s">
        <v>141</v>
      </c>
      <c r="AZ33" s="166" t="s">
        <v>141</v>
      </c>
      <c r="BA33" s="167" t="s">
        <v>146</v>
      </c>
      <c r="BB33" s="168" t="s">
        <v>133</v>
      </c>
      <c r="BC33" s="169" t="s">
        <v>193</v>
      </c>
      <c r="BD33" s="170" t="s">
        <v>141</v>
      </c>
      <c r="BE33" s="171">
        <v>1</v>
      </c>
      <c r="BF33" s="172" t="s">
        <v>638</v>
      </c>
      <c r="BG33" s="173">
        <v>1</v>
      </c>
      <c r="BH33" s="174" t="s">
        <v>141</v>
      </c>
      <c r="BI33" s="175" t="s">
        <v>141</v>
      </c>
      <c r="BJ33" s="176" t="s">
        <v>141</v>
      </c>
      <c r="BK33" s="177" t="s">
        <v>639</v>
      </c>
      <c r="BL33" s="178" t="s">
        <v>638</v>
      </c>
      <c r="BM33" s="179" t="s">
        <v>638</v>
      </c>
      <c r="BN33" s="180" t="s">
        <v>141</v>
      </c>
      <c r="BO33" s="181" t="s">
        <v>141</v>
      </c>
      <c r="BP33" s="182" t="s">
        <v>141</v>
      </c>
      <c r="BQ33" s="183" t="s">
        <v>141</v>
      </c>
      <c r="BR33" s="184" t="s">
        <v>141</v>
      </c>
      <c r="BS33" s="185" t="s">
        <v>141</v>
      </c>
      <c r="BT33" s="186" t="s">
        <v>141</v>
      </c>
      <c r="BU33" s="187" t="s">
        <v>141</v>
      </c>
      <c r="BV33" s="188" t="s">
        <v>141</v>
      </c>
      <c r="BW33" s="189" t="s">
        <v>141</v>
      </c>
      <c r="BX33" s="190" t="s">
        <v>141</v>
      </c>
      <c r="BY33" s="191" t="s">
        <v>141</v>
      </c>
      <c r="BZ33" s="192" t="s">
        <v>141</v>
      </c>
      <c r="CA33" s="193" t="s">
        <v>141</v>
      </c>
      <c r="CB33" s="194" t="s">
        <v>141</v>
      </c>
      <c r="CC33" s="195" t="s">
        <v>141</v>
      </c>
      <c r="CD33" s="196" t="s">
        <v>141</v>
      </c>
      <c r="CE33" s="197" t="s">
        <v>141</v>
      </c>
      <c r="CF33" s="198" t="s">
        <v>141</v>
      </c>
      <c r="CG33" s="199" t="s">
        <v>141</v>
      </c>
      <c r="CH33" s="200" t="s">
        <v>141</v>
      </c>
      <c r="CI33" s="201" t="s">
        <v>141</v>
      </c>
      <c r="CJ33" s="202" t="s">
        <v>141</v>
      </c>
      <c r="CK33" s="203" t="s">
        <v>141</v>
      </c>
      <c r="CL33" s="204" t="s">
        <v>141</v>
      </c>
      <c r="CM33" s="205" t="s">
        <v>141</v>
      </c>
      <c r="CN33" s="206" t="s">
        <v>141</v>
      </c>
      <c r="CO33" s="207" t="s">
        <v>141</v>
      </c>
      <c r="CP33" s="208" t="s">
        <v>141</v>
      </c>
      <c r="CQ33" s="209" t="s">
        <v>141</v>
      </c>
      <c r="CR33" s="210" t="s">
        <v>141</v>
      </c>
      <c r="CS33" s="211" t="s">
        <v>141</v>
      </c>
      <c r="CT33" s="212" t="s">
        <v>141</v>
      </c>
      <c r="CU33" s="213" t="s">
        <v>141</v>
      </c>
      <c r="CV33" s="214" t="s">
        <v>141</v>
      </c>
      <c r="CW33" s="215" t="s">
        <v>141</v>
      </c>
      <c r="CX33" s="216">
        <v>37</v>
      </c>
      <c r="CY33" s="217" t="s">
        <v>640</v>
      </c>
      <c r="CZ33" s="218" t="s">
        <v>641</v>
      </c>
      <c r="DA33" s="219" t="s">
        <v>642</v>
      </c>
      <c r="DB33" s="220" t="s">
        <v>643</v>
      </c>
      <c r="DC33" s="221" t="s">
        <v>141</v>
      </c>
      <c r="DD33" s="222" t="s">
        <v>644</v>
      </c>
      <c r="DE33" s="223" t="s">
        <v>645</v>
      </c>
      <c r="DF33" s="224" t="s">
        <v>641</v>
      </c>
      <c r="DG33" s="225">
        <v>2014</v>
      </c>
      <c r="DH33" s="226" t="s">
        <v>646</v>
      </c>
      <c r="DI33" s="228" t="str">
        <f>HYPERLINK("https://my.pitchbook.com?c=118255-60T", "View company online")</f>
        <v>View company online</v>
      </c>
    </row>
    <row r="34" spans="1:113" x14ac:dyDescent="0.2">
      <c r="A34" s="3" t="s">
        <v>647</v>
      </c>
      <c r="B34" s="4" t="s">
        <v>648</v>
      </c>
      <c r="C34" s="5" t="s">
        <v>649</v>
      </c>
      <c r="D34" s="6" t="s">
        <v>650</v>
      </c>
      <c r="E34" s="7" t="s">
        <v>651</v>
      </c>
      <c r="F34" s="8" t="s">
        <v>126</v>
      </c>
      <c r="G34" s="9" t="s">
        <v>127</v>
      </c>
      <c r="H34" s="10" t="s">
        <v>128</v>
      </c>
      <c r="I34" s="11" t="s">
        <v>129</v>
      </c>
      <c r="J34" s="12" t="s">
        <v>652</v>
      </c>
      <c r="K34" s="13" t="s">
        <v>653</v>
      </c>
      <c r="L34" s="14" t="s">
        <v>193</v>
      </c>
      <c r="M34" s="15" t="s">
        <v>133</v>
      </c>
      <c r="N34" s="16" t="s">
        <v>231</v>
      </c>
      <c r="O34" s="17" t="s">
        <v>654</v>
      </c>
      <c r="P34" s="18" t="s">
        <v>655</v>
      </c>
      <c r="Q34" s="19" t="s">
        <v>656</v>
      </c>
      <c r="R34" s="20" t="s">
        <v>657</v>
      </c>
      <c r="S34" s="21" t="s">
        <v>658</v>
      </c>
      <c r="T34" s="22" t="s">
        <v>141</v>
      </c>
      <c r="U34" s="23">
        <v>1</v>
      </c>
      <c r="V34" s="24" t="s">
        <v>647</v>
      </c>
      <c r="W34" s="25" t="s">
        <v>141</v>
      </c>
      <c r="X34" s="26">
        <v>43739</v>
      </c>
      <c r="Y34" s="27" t="s">
        <v>141</v>
      </c>
      <c r="Z34" s="28" t="s">
        <v>141</v>
      </c>
      <c r="AA34" s="29" t="s">
        <v>141</v>
      </c>
      <c r="AB34" s="30" t="s">
        <v>141</v>
      </c>
      <c r="AC34" s="31" t="s">
        <v>141</v>
      </c>
      <c r="AD34" s="32">
        <v>1</v>
      </c>
      <c r="AE34" s="33" t="s">
        <v>141</v>
      </c>
      <c r="AF34" s="34" t="s">
        <v>141</v>
      </c>
      <c r="AG34" s="35" t="s">
        <v>141</v>
      </c>
      <c r="AH34" s="36" t="s">
        <v>141</v>
      </c>
      <c r="AI34" s="37" t="s">
        <v>141</v>
      </c>
      <c r="AJ34" s="38" t="s">
        <v>142</v>
      </c>
      <c r="AK34" s="39" t="s">
        <v>141</v>
      </c>
      <c r="AL34" s="40" t="s">
        <v>141</v>
      </c>
      <c r="AM34" s="41" t="s">
        <v>143</v>
      </c>
      <c r="AN34" s="42" t="s">
        <v>659</v>
      </c>
      <c r="AO34" s="43" t="s">
        <v>141</v>
      </c>
      <c r="AP34" s="44" t="s">
        <v>145</v>
      </c>
      <c r="AQ34" s="45" t="s">
        <v>141</v>
      </c>
      <c r="AR34" s="46" t="s">
        <v>141</v>
      </c>
      <c r="AS34" s="47" t="s">
        <v>141</v>
      </c>
      <c r="AT34" s="48" t="s">
        <v>141</v>
      </c>
      <c r="AU34" s="49" t="s">
        <v>141</v>
      </c>
      <c r="AV34" s="50" t="s">
        <v>141</v>
      </c>
      <c r="AW34" s="51" t="s">
        <v>141</v>
      </c>
      <c r="AX34" s="52" t="s">
        <v>141</v>
      </c>
      <c r="AY34" s="53" t="s">
        <v>141</v>
      </c>
      <c r="AZ34" s="54" t="s">
        <v>141</v>
      </c>
      <c r="BA34" s="55" t="s">
        <v>146</v>
      </c>
      <c r="BB34" s="56" t="s">
        <v>133</v>
      </c>
      <c r="BC34" s="57" t="s">
        <v>193</v>
      </c>
      <c r="BD34" s="58" t="s">
        <v>141</v>
      </c>
      <c r="BE34" s="59">
        <v>1</v>
      </c>
      <c r="BF34" s="60" t="s">
        <v>238</v>
      </c>
      <c r="BG34" s="61">
        <v>1</v>
      </c>
      <c r="BH34" s="62" t="s">
        <v>141</v>
      </c>
      <c r="BI34" s="63" t="s">
        <v>141</v>
      </c>
      <c r="BJ34" s="64" t="s">
        <v>141</v>
      </c>
      <c r="BK34" s="65" t="s">
        <v>239</v>
      </c>
      <c r="BL34" s="66" t="s">
        <v>238</v>
      </c>
      <c r="BM34" s="67" t="s">
        <v>238</v>
      </c>
      <c r="BN34" s="68" t="s">
        <v>141</v>
      </c>
      <c r="BO34" s="69" t="s">
        <v>141</v>
      </c>
      <c r="BP34" s="70" t="s">
        <v>141</v>
      </c>
      <c r="BQ34" s="71" t="s">
        <v>141</v>
      </c>
      <c r="BR34" s="72" t="s">
        <v>141</v>
      </c>
      <c r="BS34" s="73" t="s">
        <v>141</v>
      </c>
      <c r="BT34" s="74" t="s">
        <v>141</v>
      </c>
      <c r="BU34" s="75" t="s">
        <v>141</v>
      </c>
      <c r="BV34" s="76" t="s">
        <v>141</v>
      </c>
      <c r="BW34" s="77" t="s">
        <v>141</v>
      </c>
      <c r="BX34" s="78" t="s">
        <v>141</v>
      </c>
      <c r="BY34" s="79" t="s">
        <v>141</v>
      </c>
      <c r="BZ34" s="80" t="s">
        <v>141</v>
      </c>
      <c r="CA34" s="81" t="s">
        <v>141</v>
      </c>
      <c r="CB34" s="82" t="s">
        <v>141</v>
      </c>
      <c r="CC34" s="83" t="s">
        <v>141</v>
      </c>
      <c r="CD34" s="84" t="s">
        <v>141</v>
      </c>
      <c r="CE34" s="85" t="s">
        <v>141</v>
      </c>
      <c r="CF34" s="86" t="s">
        <v>141</v>
      </c>
      <c r="CG34" s="87" t="s">
        <v>141</v>
      </c>
      <c r="CH34" s="88" t="s">
        <v>141</v>
      </c>
      <c r="CI34" s="89" t="s">
        <v>141</v>
      </c>
      <c r="CJ34" s="90" t="s">
        <v>141</v>
      </c>
      <c r="CK34" s="91" t="s">
        <v>141</v>
      </c>
      <c r="CL34" s="92" t="s">
        <v>141</v>
      </c>
      <c r="CM34" s="93" t="s">
        <v>141</v>
      </c>
      <c r="CN34" s="94" t="s">
        <v>141</v>
      </c>
      <c r="CO34" s="95" t="s">
        <v>141</v>
      </c>
      <c r="CP34" s="96" t="s">
        <v>141</v>
      </c>
      <c r="CQ34" s="97" t="s">
        <v>141</v>
      </c>
      <c r="CR34" s="98" t="s">
        <v>141</v>
      </c>
      <c r="CS34" s="99" t="s">
        <v>141</v>
      </c>
      <c r="CT34" s="100" t="s">
        <v>141</v>
      </c>
      <c r="CU34" s="101" t="s">
        <v>141</v>
      </c>
      <c r="CV34" s="102" t="s">
        <v>141</v>
      </c>
      <c r="CW34" s="103" t="s">
        <v>141</v>
      </c>
      <c r="CX34" s="104">
        <v>7</v>
      </c>
      <c r="CY34" s="105" t="s">
        <v>150</v>
      </c>
      <c r="CZ34" s="106" t="s">
        <v>240</v>
      </c>
      <c r="DA34" s="107" t="s">
        <v>152</v>
      </c>
      <c r="DB34" s="108" t="s">
        <v>153</v>
      </c>
      <c r="DC34" s="109" t="s">
        <v>241</v>
      </c>
      <c r="DD34" s="110" t="s">
        <v>242</v>
      </c>
      <c r="DE34" s="111" t="s">
        <v>141</v>
      </c>
      <c r="DF34" s="112" t="s">
        <v>157</v>
      </c>
      <c r="DG34" s="113" t="s">
        <v>141</v>
      </c>
      <c r="DH34" s="114" t="s">
        <v>660</v>
      </c>
      <c r="DI34" s="227" t="str">
        <f>HYPERLINK("https://my.pitchbook.com?c=127163-44T", "View company online")</f>
        <v>View company online</v>
      </c>
    </row>
    <row r="35" spans="1:113" x14ac:dyDescent="0.2">
      <c r="A35" s="115" t="s">
        <v>661</v>
      </c>
      <c r="B35" s="116" t="s">
        <v>648</v>
      </c>
      <c r="C35" s="117" t="s">
        <v>649</v>
      </c>
      <c r="D35" s="118" t="s">
        <v>650</v>
      </c>
      <c r="E35" s="119" t="s">
        <v>651</v>
      </c>
      <c r="F35" s="120" t="s">
        <v>126</v>
      </c>
      <c r="G35" s="121" t="s">
        <v>127</v>
      </c>
      <c r="H35" s="122" t="s">
        <v>128</v>
      </c>
      <c r="I35" s="123" t="s">
        <v>129</v>
      </c>
      <c r="J35" s="124" t="s">
        <v>652</v>
      </c>
      <c r="K35" s="125" t="s">
        <v>653</v>
      </c>
      <c r="L35" s="126" t="s">
        <v>193</v>
      </c>
      <c r="M35" s="127" t="s">
        <v>133</v>
      </c>
      <c r="N35" s="128" t="s">
        <v>231</v>
      </c>
      <c r="O35" s="129" t="s">
        <v>654</v>
      </c>
      <c r="P35" s="130" t="s">
        <v>655</v>
      </c>
      <c r="Q35" s="131" t="s">
        <v>656</v>
      </c>
      <c r="R35" s="132" t="s">
        <v>657</v>
      </c>
      <c r="S35" s="133" t="s">
        <v>658</v>
      </c>
      <c r="T35" s="134" t="s">
        <v>141</v>
      </c>
      <c r="U35" s="135">
        <v>2</v>
      </c>
      <c r="V35" s="136" t="s">
        <v>661</v>
      </c>
      <c r="W35" s="137" t="s">
        <v>141</v>
      </c>
      <c r="X35" s="138">
        <v>43844</v>
      </c>
      <c r="Y35" s="139" t="s">
        <v>141</v>
      </c>
      <c r="Z35" s="140" t="s">
        <v>141</v>
      </c>
      <c r="AA35" s="141" t="s">
        <v>141</v>
      </c>
      <c r="AB35" s="142" t="s">
        <v>141</v>
      </c>
      <c r="AC35" s="143" t="s">
        <v>141</v>
      </c>
      <c r="AD35" s="144" t="s">
        <v>141</v>
      </c>
      <c r="AE35" s="145" t="s">
        <v>141</v>
      </c>
      <c r="AF35" s="146" t="s">
        <v>141</v>
      </c>
      <c r="AG35" s="147" t="s">
        <v>141</v>
      </c>
      <c r="AH35" s="148" t="s">
        <v>141</v>
      </c>
      <c r="AI35" s="149" t="s">
        <v>141</v>
      </c>
      <c r="AJ35" s="150" t="s">
        <v>142</v>
      </c>
      <c r="AK35" s="151" t="s">
        <v>141</v>
      </c>
      <c r="AL35" s="152" t="s">
        <v>141</v>
      </c>
      <c r="AM35" s="153" t="s">
        <v>143</v>
      </c>
      <c r="AN35" s="154" t="s">
        <v>662</v>
      </c>
      <c r="AO35" s="155" t="s">
        <v>141</v>
      </c>
      <c r="AP35" s="156" t="s">
        <v>145</v>
      </c>
      <c r="AQ35" s="157" t="s">
        <v>141</v>
      </c>
      <c r="AR35" s="158" t="s">
        <v>141</v>
      </c>
      <c r="AS35" s="159" t="s">
        <v>141</v>
      </c>
      <c r="AT35" s="160" t="s">
        <v>141</v>
      </c>
      <c r="AU35" s="161" t="s">
        <v>141</v>
      </c>
      <c r="AV35" s="162" t="s">
        <v>141</v>
      </c>
      <c r="AW35" s="163" t="s">
        <v>141</v>
      </c>
      <c r="AX35" s="164" t="s">
        <v>141</v>
      </c>
      <c r="AY35" s="165" t="s">
        <v>141</v>
      </c>
      <c r="AZ35" s="166" t="s">
        <v>141</v>
      </c>
      <c r="BA35" s="167" t="s">
        <v>146</v>
      </c>
      <c r="BB35" s="168" t="s">
        <v>133</v>
      </c>
      <c r="BC35" s="169" t="s">
        <v>193</v>
      </c>
      <c r="BD35" s="170" t="s">
        <v>141</v>
      </c>
      <c r="BE35" s="171">
        <v>1</v>
      </c>
      <c r="BF35" s="172" t="s">
        <v>245</v>
      </c>
      <c r="BG35" s="173">
        <v>1</v>
      </c>
      <c r="BH35" s="174" t="s">
        <v>141</v>
      </c>
      <c r="BI35" s="175" t="s">
        <v>141</v>
      </c>
      <c r="BJ35" s="176" t="s">
        <v>141</v>
      </c>
      <c r="BK35" s="177" t="s">
        <v>246</v>
      </c>
      <c r="BL35" s="178" t="s">
        <v>245</v>
      </c>
      <c r="BM35" s="179" t="s">
        <v>245</v>
      </c>
      <c r="BN35" s="180" t="s">
        <v>141</v>
      </c>
      <c r="BO35" s="181" t="s">
        <v>141</v>
      </c>
      <c r="BP35" s="182" t="s">
        <v>141</v>
      </c>
      <c r="BQ35" s="183" t="s">
        <v>141</v>
      </c>
      <c r="BR35" s="184" t="s">
        <v>141</v>
      </c>
      <c r="BS35" s="185" t="s">
        <v>141</v>
      </c>
      <c r="BT35" s="186" t="s">
        <v>141</v>
      </c>
      <c r="BU35" s="187" t="s">
        <v>141</v>
      </c>
      <c r="BV35" s="188" t="s">
        <v>141</v>
      </c>
      <c r="BW35" s="189" t="s">
        <v>141</v>
      </c>
      <c r="BX35" s="190" t="s">
        <v>141</v>
      </c>
      <c r="BY35" s="191" t="s">
        <v>141</v>
      </c>
      <c r="BZ35" s="192" t="s">
        <v>141</v>
      </c>
      <c r="CA35" s="193" t="s">
        <v>141</v>
      </c>
      <c r="CB35" s="194" t="s">
        <v>141</v>
      </c>
      <c r="CC35" s="195" t="s">
        <v>141</v>
      </c>
      <c r="CD35" s="196" t="s">
        <v>141</v>
      </c>
      <c r="CE35" s="197" t="s">
        <v>141</v>
      </c>
      <c r="CF35" s="198" t="s">
        <v>141</v>
      </c>
      <c r="CG35" s="199" t="s">
        <v>141</v>
      </c>
      <c r="CH35" s="200" t="s">
        <v>141</v>
      </c>
      <c r="CI35" s="201" t="s">
        <v>141</v>
      </c>
      <c r="CJ35" s="202" t="s">
        <v>141</v>
      </c>
      <c r="CK35" s="203" t="s">
        <v>141</v>
      </c>
      <c r="CL35" s="204" t="s">
        <v>141</v>
      </c>
      <c r="CM35" s="205" t="s">
        <v>141</v>
      </c>
      <c r="CN35" s="206" t="s">
        <v>141</v>
      </c>
      <c r="CO35" s="207" t="s">
        <v>141</v>
      </c>
      <c r="CP35" s="208" t="s">
        <v>141</v>
      </c>
      <c r="CQ35" s="209" t="s">
        <v>141</v>
      </c>
      <c r="CR35" s="210" t="s">
        <v>141</v>
      </c>
      <c r="CS35" s="211" t="s">
        <v>141</v>
      </c>
      <c r="CT35" s="212" t="s">
        <v>141</v>
      </c>
      <c r="CU35" s="213" t="s">
        <v>141</v>
      </c>
      <c r="CV35" s="214" t="s">
        <v>141</v>
      </c>
      <c r="CW35" s="215" t="s">
        <v>141</v>
      </c>
      <c r="CX35" s="216">
        <v>7</v>
      </c>
      <c r="CY35" s="217" t="s">
        <v>150</v>
      </c>
      <c r="CZ35" s="218" t="s">
        <v>240</v>
      </c>
      <c r="DA35" s="219" t="s">
        <v>152</v>
      </c>
      <c r="DB35" s="220" t="s">
        <v>153</v>
      </c>
      <c r="DC35" s="221" t="s">
        <v>241</v>
      </c>
      <c r="DD35" s="222" t="s">
        <v>242</v>
      </c>
      <c r="DE35" s="223" t="s">
        <v>141</v>
      </c>
      <c r="DF35" s="224" t="s">
        <v>157</v>
      </c>
      <c r="DG35" s="225" t="s">
        <v>141</v>
      </c>
      <c r="DH35" s="226" t="s">
        <v>660</v>
      </c>
      <c r="DI35" s="228" t="str">
        <f>HYPERLINK("https://my.pitchbook.com?c=132364-99T", "View company online")</f>
        <v>View company online</v>
      </c>
    </row>
    <row r="36" spans="1:113" x14ac:dyDescent="0.2">
      <c r="A36" s="3" t="s">
        <v>663</v>
      </c>
      <c r="B36" s="4" t="s">
        <v>664</v>
      </c>
      <c r="C36" s="5" t="s">
        <v>665</v>
      </c>
      <c r="D36" s="6" t="s">
        <v>666</v>
      </c>
      <c r="E36" s="7" t="s">
        <v>667</v>
      </c>
      <c r="F36" s="8" t="s">
        <v>126</v>
      </c>
      <c r="G36" s="9" t="s">
        <v>127</v>
      </c>
      <c r="H36" s="10" t="s">
        <v>128</v>
      </c>
      <c r="I36" s="11" t="s">
        <v>668</v>
      </c>
      <c r="J36" s="12" t="s">
        <v>141</v>
      </c>
      <c r="K36" s="13" t="s">
        <v>669</v>
      </c>
      <c r="L36" s="14" t="s">
        <v>132</v>
      </c>
      <c r="M36" s="15" t="s">
        <v>133</v>
      </c>
      <c r="N36" s="16" t="s">
        <v>134</v>
      </c>
      <c r="O36" s="17" t="s">
        <v>670</v>
      </c>
      <c r="P36" s="18" t="s">
        <v>671</v>
      </c>
      <c r="Q36" s="19" t="s">
        <v>672</v>
      </c>
      <c r="R36" s="20" t="s">
        <v>673</v>
      </c>
      <c r="S36" s="21" t="s">
        <v>674</v>
      </c>
      <c r="T36" s="22" t="s">
        <v>141</v>
      </c>
      <c r="U36" s="23">
        <v>1</v>
      </c>
      <c r="V36" s="24" t="s">
        <v>663</v>
      </c>
      <c r="W36" s="25" t="s">
        <v>141</v>
      </c>
      <c r="X36" s="26">
        <v>41870</v>
      </c>
      <c r="Y36" s="27">
        <v>0.12</v>
      </c>
      <c r="Z36" s="28" t="s">
        <v>177</v>
      </c>
      <c r="AA36" s="29">
        <v>1.59</v>
      </c>
      <c r="AB36" s="30">
        <v>1.71</v>
      </c>
      <c r="AC36" s="31" t="s">
        <v>177</v>
      </c>
      <c r="AD36" s="32">
        <v>7</v>
      </c>
      <c r="AE36" s="33">
        <v>0.12</v>
      </c>
      <c r="AF36" s="34" t="s">
        <v>141</v>
      </c>
      <c r="AG36" s="35" t="s">
        <v>141</v>
      </c>
      <c r="AH36" s="36" t="s">
        <v>141</v>
      </c>
      <c r="AI36" s="37" t="s">
        <v>141</v>
      </c>
      <c r="AJ36" s="38" t="s">
        <v>142</v>
      </c>
      <c r="AK36" s="39" t="s">
        <v>141</v>
      </c>
      <c r="AL36" s="40" t="s">
        <v>141</v>
      </c>
      <c r="AM36" s="41" t="s">
        <v>170</v>
      </c>
      <c r="AN36" s="42" t="s">
        <v>675</v>
      </c>
      <c r="AO36" s="43">
        <v>0.12</v>
      </c>
      <c r="AP36" s="44" t="s">
        <v>145</v>
      </c>
      <c r="AQ36" s="45" t="s">
        <v>141</v>
      </c>
      <c r="AR36" s="46" t="s">
        <v>141</v>
      </c>
      <c r="AS36" s="47" t="s">
        <v>141</v>
      </c>
      <c r="AT36" s="48" t="s">
        <v>141</v>
      </c>
      <c r="AU36" s="49" t="s">
        <v>141</v>
      </c>
      <c r="AV36" s="50" t="s">
        <v>141</v>
      </c>
      <c r="AW36" s="51" t="s">
        <v>141</v>
      </c>
      <c r="AX36" s="52" t="s">
        <v>141</v>
      </c>
      <c r="AY36" s="53" t="s">
        <v>141</v>
      </c>
      <c r="AZ36" s="54" t="s">
        <v>141</v>
      </c>
      <c r="BA36" s="55" t="s">
        <v>146</v>
      </c>
      <c r="BB36" s="56" t="s">
        <v>263</v>
      </c>
      <c r="BC36" s="57" t="s">
        <v>193</v>
      </c>
      <c r="BD36" s="58">
        <v>1</v>
      </c>
      <c r="BE36" s="59">
        <v>1</v>
      </c>
      <c r="BF36" s="60" t="s">
        <v>178</v>
      </c>
      <c r="BG36" s="61">
        <v>1</v>
      </c>
      <c r="BH36" s="62" t="s">
        <v>141</v>
      </c>
      <c r="BI36" s="63" t="s">
        <v>141</v>
      </c>
      <c r="BJ36" s="64" t="s">
        <v>141</v>
      </c>
      <c r="BK36" s="65" t="s">
        <v>179</v>
      </c>
      <c r="BL36" s="66" t="s">
        <v>178</v>
      </c>
      <c r="BM36" s="67" t="s">
        <v>178</v>
      </c>
      <c r="BN36" s="68" t="s">
        <v>264</v>
      </c>
      <c r="BO36" s="69" t="s">
        <v>141</v>
      </c>
      <c r="BP36" s="70" t="s">
        <v>141</v>
      </c>
      <c r="BQ36" s="71" t="s">
        <v>141</v>
      </c>
      <c r="BR36" s="72" t="s">
        <v>141</v>
      </c>
      <c r="BS36" s="73" t="s">
        <v>141</v>
      </c>
      <c r="BT36" s="74" t="s">
        <v>141</v>
      </c>
      <c r="BU36" s="75" t="s">
        <v>141</v>
      </c>
      <c r="BV36" s="76" t="s">
        <v>141</v>
      </c>
      <c r="BW36" s="77" t="s">
        <v>141</v>
      </c>
      <c r="BX36" s="78" t="s">
        <v>141</v>
      </c>
      <c r="BY36" s="79" t="s">
        <v>141</v>
      </c>
      <c r="BZ36" s="80" t="s">
        <v>141</v>
      </c>
      <c r="CA36" s="81" t="s">
        <v>141</v>
      </c>
      <c r="CB36" s="82" t="s">
        <v>141</v>
      </c>
      <c r="CC36" s="83" t="s">
        <v>141</v>
      </c>
      <c r="CD36" s="84" t="s">
        <v>141</v>
      </c>
      <c r="CE36" s="85" t="s">
        <v>141</v>
      </c>
      <c r="CF36" s="86" t="s">
        <v>141</v>
      </c>
      <c r="CG36" s="87" t="s">
        <v>141</v>
      </c>
      <c r="CH36" s="88" t="s">
        <v>141</v>
      </c>
      <c r="CI36" s="89" t="s">
        <v>141</v>
      </c>
      <c r="CJ36" s="90" t="s">
        <v>141</v>
      </c>
      <c r="CK36" s="91" t="s">
        <v>141</v>
      </c>
      <c r="CL36" s="92" t="s">
        <v>141</v>
      </c>
      <c r="CM36" s="93" t="s">
        <v>141</v>
      </c>
      <c r="CN36" s="94" t="s">
        <v>141</v>
      </c>
      <c r="CO36" s="95" t="s">
        <v>141</v>
      </c>
      <c r="CP36" s="96" t="s">
        <v>141</v>
      </c>
      <c r="CQ36" s="97" t="s">
        <v>141</v>
      </c>
      <c r="CR36" s="98" t="s">
        <v>141</v>
      </c>
      <c r="CS36" s="99" t="s">
        <v>141</v>
      </c>
      <c r="CT36" s="100" t="s">
        <v>141</v>
      </c>
      <c r="CU36" s="101" t="s">
        <v>141</v>
      </c>
      <c r="CV36" s="102" t="s">
        <v>141</v>
      </c>
      <c r="CW36" s="103" t="s">
        <v>141</v>
      </c>
      <c r="CX36" s="104">
        <v>91</v>
      </c>
      <c r="CY36" s="105" t="s">
        <v>150</v>
      </c>
      <c r="CZ36" s="106" t="s">
        <v>676</v>
      </c>
      <c r="DA36" s="107" t="s">
        <v>152</v>
      </c>
      <c r="DB36" s="108" t="s">
        <v>153</v>
      </c>
      <c r="DC36" s="109" t="s">
        <v>677</v>
      </c>
      <c r="DD36" s="110" t="s">
        <v>182</v>
      </c>
      <c r="DE36" s="111" t="s">
        <v>678</v>
      </c>
      <c r="DF36" s="112" t="s">
        <v>157</v>
      </c>
      <c r="DG36" s="113">
        <v>2014</v>
      </c>
      <c r="DH36" s="114" t="s">
        <v>679</v>
      </c>
      <c r="DI36" s="227" t="str">
        <f>HYPERLINK("https://my.pitchbook.com?c=38494-00T", "View company online")</f>
        <v>View company online</v>
      </c>
    </row>
    <row r="37" spans="1:113" x14ac:dyDescent="0.2">
      <c r="A37" s="115" t="s">
        <v>680</v>
      </c>
      <c r="B37" s="116" t="s">
        <v>681</v>
      </c>
      <c r="C37" s="117" t="s">
        <v>682</v>
      </c>
      <c r="D37" s="118" t="s">
        <v>683</v>
      </c>
      <c r="E37" s="119" t="s">
        <v>684</v>
      </c>
      <c r="F37" s="120" t="s">
        <v>126</v>
      </c>
      <c r="G37" s="121" t="s">
        <v>456</v>
      </c>
      <c r="H37" s="122" t="s">
        <v>457</v>
      </c>
      <c r="I37" s="123" t="s">
        <v>458</v>
      </c>
      <c r="J37" s="124" t="s">
        <v>685</v>
      </c>
      <c r="K37" s="125" t="s">
        <v>686</v>
      </c>
      <c r="L37" s="126" t="s">
        <v>132</v>
      </c>
      <c r="M37" s="127" t="s">
        <v>133</v>
      </c>
      <c r="N37" s="128" t="s">
        <v>170</v>
      </c>
      <c r="O37" s="129" t="s">
        <v>687</v>
      </c>
      <c r="P37" s="130" t="s">
        <v>688</v>
      </c>
      <c r="Q37" s="131" t="s">
        <v>141</v>
      </c>
      <c r="R37" s="132" t="s">
        <v>689</v>
      </c>
      <c r="S37" s="133" t="s">
        <v>690</v>
      </c>
      <c r="T37" s="134" t="s">
        <v>691</v>
      </c>
      <c r="U37" s="135">
        <v>2</v>
      </c>
      <c r="V37" s="136" t="s">
        <v>680</v>
      </c>
      <c r="W37" s="137" t="s">
        <v>141</v>
      </c>
      <c r="X37" s="138">
        <v>42933</v>
      </c>
      <c r="Y37" s="139" t="s">
        <v>141</v>
      </c>
      <c r="Z37" s="140" t="s">
        <v>141</v>
      </c>
      <c r="AA37" s="141" t="s">
        <v>141</v>
      </c>
      <c r="AB37" s="142" t="s">
        <v>141</v>
      </c>
      <c r="AC37" s="143" t="s">
        <v>141</v>
      </c>
      <c r="AD37" s="144" t="s">
        <v>141</v>
      </c>
      <c r="AE37" s="145" t="s">
        <v>141</v>
      </c>
      <c r="AF37" s="146" t="s">
        <v>141</v>
      </c>
      <c r="AG37" s="147" t="s">
        <v>141</v>
      </c>
      <c r="AH37" s="148" t="s">
        <v>141</v>
      </c>
      <c r="AI37" s="149" t="s">
        <v>141</v>
      </c>
      <c r="AJ37" s="150" t="s">
        <v>142</v>
      </c>
      <c r="AK37" s="151" t="s">
        <v>141</v>
      </c>
      <c r="AL37" s="152" t="s">
        <v>141</v>
      </c>
      <c r="AM37" s="153" t="s">
        <v>143</v>
      </c>
      <c r="AN37" s="154" t="s">
        <v>692</v>
      </c>
      <c r="AO37" s="155" t="s">
        <v>141</v>
      </c>
      <c r="AP37" s="156" t="s">
        <v>145</v>
      </c>
      <c r="AQ37" s="157" t="s">
        <v>141</v>
      </c>
      <c r="AR37" s="158" t="s">
        <v>141</v>
      </c>
      <c r="AS37" s="159" t="s">
        <v>141</v>
      </c>
      <c r="AT37" s="160" t="s">
        <v>141</v>
      </c>
      <c r="AU37" s="161" t="s">
        <v>141</v>
      </c>
      <c r="AV37" s="162" t="s">
        <v>141</v>
      </c>
      <c r="AW37" s="163" t="s">
        <v>141</v>
      </c>
      <c r="AX37" s="164" t="s">
        <v>141</v>
      </c>
      <c r="AY37" s="165" t="s">
        <v>141</v>
      </c>
      <c r="AZ37" s="166" t="s">
        <v>141</v>
      </c>
      <c r="BA37" s="167" t="s">
        <v>146</v>
      </c>
      <c r="BB37" s="168" t="s">
        <v>133</v>
      </c>
      <c r="BC37" s="169" t="s">
        <v>193</v>
      </c>
      <c r="BD37" s="170">
        <v>6</v>
      </c>
      <c r="BE37" s="171">
        <v>2</v>
      </c>
      <c r="BF37" s="172" t="s">
        <v>693</v>
      </c>
      <c r="BG37" s="173">
        <v>2</v>
      </c>
      <c r="BH37" s="174" t="s">
        <v>141</v>
      </c>
      <c r="BI37" s="175" t="s">
        <v>141</v>
      </c>
      <c r="BJ37" s="176" t="s">
        <v>141</v>
      </c>
      <c r="BK37" s="177" t="s">
        <v>694</v>
      </c>
      <c r="BL37" s="178" t="s">
        <v>695</v>
      </c>
      <c r="BM37" s="179" t="s">
        <v>141</v>
      </c>
      <c r="BN37" s="180" t="s">
        <v>696</v>
      </c>
      <c r="BO37" s="181" t="s">
        <v>141</v>
      </c>
      <c r="BP37" s="182" t="s">
        <v>141</v>
      </c>
      <c r="BQ37" s="183" t="s">
        <v>141</v>
      </c>
      <c r="BR37" s="184" t="s">
        <v>141</v>
      </c>
      <c r="BS37" s="185" t="s">
        <v>141</v>
      </c>
      <c r="BT37" s="186" t="s">
        <v>141</v>
      </c>
      <c r="BU37" s="187" t="s">
        <v>141</v>
      </c>
      <c r="BV37" s="188" t="s">
        <v>141</v>
      </c>
      <c r="BW37" s="189" t="s">
        <v>141</v>
      </c>
      <c r="BX37" s="190">
        <v>0.9</v>
      </c>
      <c r="BY37" s="191">
        <v>100</v>
      </c>
      <c r="BZ37" s="192" t="s">
        <v>141</v>
      </c>
      <c r="CA37" s="193" t="s">
        <v>141</v>
      </c>
      <c r="CB37" s="194" t="s">
        <v>141</v>
      </c>
      <c r="CC37" s="195" t="s">
        <v>141</v>
      </c>
      <c r="CD37" s="196" t="s">
        <v>141</v>
      </c>
      <c r="CE37" s="197">
        <v>2017</v>
      </c>
      <c r="CF37" s="198" t="s">
        <v>141</v>
      </c>
      <c r="CG37" s="199" t="s">
        <v>141</v>
      </c>
      <c r="CH37" s="200" t="s">
        <v>141</v>
      </c>
      <c r="CI37" s="201" t="s">
        <v>141</v>
      </c>
      <c r="CJ37" s="202" t="s">
        <v>141</v>
      </c>
      <c r="CK37" s="203" t="s">
        <v>141</v>
      </c>
      <c r="CL37" s="204" t="s">
        <v>141</v>
      </c>
      <c r="CM37" s="205" t="s">
        <v>141</v>
      </c>
      <c r="CN37" s="206" t="s">
        <v>141</v>
      </c>
      <c r="CO37" s="207" t="s">
        <v>141</v>
      </c>
      <c r="CP37" s="208" t="s">
        <v>141</v>
      </c>
      <c r="CQ37" s="209" t="s">
        <v>141</v>
      </c>
      <c r="CR37" s="210" t="s">
        <v>141</v>
      </c>
      <c r="CS37" s="211" t="s">
        <v>141</v>
      </c>
      <c r="CT37" s="212" t="s">
        <v>141</v>
      </c>
      <c r="CU37" s="213" t="s">
        <v>141</v>
      </c>
      <c r="CV37" s="214" t="s">
        <v>141</v>
      </c>
      <c r="CW37" s="215" t="s">
        <v>141</v>
      </c>
      <c r="CX37" s="216">
        <v>6</v>
      </c>
      <c r="CY37" s="217" t="s">
        <v>150</v>
      </c>
      <c r="CZ37" s="218" t="s">
        <v>697</v>
      </c>
      <c r="DA37" s="219" t="s">
        <v>152</v>
      </c>
      <c r="DB37" s="220" t="s">
        <v>153</v>
      </c>
      <c r="DC37" s="221" t="s">
        <v>698</v>
      </c>
      <c r="DD37" s="222" t="s">
        <v>699</v>
      </c>
      <c r="DE37" s="223" t="s">
        <v>700</v>
      </c>
      <c r="DF37" s="224" t="s">
        <v>157</v>
      </c>
      <c r="DG37" s="225">
        <v>2015</v>
      </c>
      <c r="DH37" s="226" t="s">
        <v>701</v>
      </c>
      <c r="DI37" s="228" t="str">
        <f>HYPERLINK("https://my.pitchbook.com?c=95492-62T", "View company online")</f>
        <v>View company online</v>
      </c>
    </row>
    <row r="38" spans="1:113" x14ac:dyDescent="0.2">
      <c r="A38" s="3" t="s">
        <v>702</v>
      </c>
      <c r="B38" s="4" t="s">
        <v>703</v>
      </c>
      <c r="C38" s="5" t="s">
        <v>704</v>
      </c>
      <c r="D38" s="6" t="s">
        <v>705</v>
      </c>
      <c r="E38" s="7" t="s">
        <v>706</v>
      </c>
      <c r="F38" s="8" t="s">
        <v>164</v>
      </c>
      <c r="G38" s="9" t="s">
        <v>165</v>
      </c>
      <c r="H38" s="10" t="s">
        <v>190</v>
      </c>
      <c r="I38" s="11" t="s">
        <v>707</v>
      </c>
      <c r="J38" s="12" t="s">
        <v>708</v>
      </c>
      <c r="K38" s="13" t="s">
        <v>709</v>
      </c>
      <c r="L38" s="14" t="s">
        <v>132</v>
      </c>
      <c r="M38" s="15" t="s">
        <v>133</v>
      </c>
      <c r="N38" s="16" t="s">
        <v>170</v>
      </c>
      <c r="O38" s="17" t="s">
        <v>710</v>
      </c>
      <c r="P38" s="18" t="s">
        <v>711</v>
      </c>
      <c r="Q38" s="19" t="s">
        <v>712</v>
      </c>
      <c r="R38" s="20" t="s">
        <v>713</v>
      </c>
      <c r="S38" s="21" t="s">
        <v>714</v>
      </c>
      <c r="T38" s="22" t="s">
        <v>715</v>
      </c>
      <c r="U38" s="23">
        <v>1</v>
      </c>
      <c r="V38" s="24" t="s">
        <v>702</v>
      </c>
      <c r="W38" s="25">
        <v>41974</v>
      </c>
      <c r="X38" s="26">
        <v>42086</v>
      </c>
      <c r="Y38" s="27">
        <v>0.12</v>
      </c>
      <c r="Z38" s="28" t="s">
        <v>177</v>
      </c>
      <c r="AA38" s="29">
        <v>1.59</v>
      </c>
      <c r="AB38" s="30">
        <v>1.71</v>
      </c>
      <c r="AC38" s="31" t="s">
        <v>177</v>
      </c>
      <c r="AD38" s="32">
        <v>7</v>
      </c>
      <c r="AE38" s="33">
        <v>0.12</v>
      </c>
      <c r="AF38" s="34" t="s">
        <v>141</v>
      </c>
      <c r="AG38" s="35" t="s">
        <v>141</v>
      </c>
      <c r="AH38" s="36" t="s">
        <v>141</v>
      </c>
      <c r="AI38" s="37" t="s">
        <v>141</v>
      </c>
      <c r="AJ38" s="38" t="s">
        <v>142</v>
      </c>
      <c r="AK38" s="39" t="s">
        <v>141</v>
      </c>
      <c r="AL38" s="40" t="s">
        <v>141</v>
      </c>
      <c r="AM38" s="41" t="s">
        <v>143</v>
      </c>
      <c r="AN38" s="42" t="s">
        <v>716</v>
      </c>
      <c r="AO38" s="43">
        <v>0.12</v>
      </c>
      <c r="AP38" s="44" t="s">
        <v>145</v>
      </c>
      <c r="AQ38" s="45" t="s">
        <v>141</v>
      </c>
      <c r="AR38" s="46" t="s">
        <v>141</v>
      </c>
      <c r="AS38" s="47" t="s">
        <v>141</v>
      </c>
      <c r="AT38" s="48" t="s">
        <v>141</v>
      </c>
      <c r="AU38" s="49" t="s">
        <v>141</v>
      </c>
      <c r="AV38" s="50" t="s">
        <v>141</v>
      </c>
      <c r="AW38" s="51" t="s">
        <v>141</v>
      </c>
      <c r="AX38" s="52" t="s">
        <v>141</v>
      </c>
      <c r="AY38" s="53" t="s">
        <v>141</v>
      </c>
      <c r="AZ38" s="54" t="s">
        <v>141</v>
      </c>
      <c r="BA38" s="55" t="s">
        <v>146</v>
      </c>
      <c r="BB38" s="56" t="s">
        <v>133</v>
      </c>
      <c r="BC38" s="57" t="s">
        <v>193</v>
      </c>
      <c r="BD38" s="58" t="s">
        <v>141</v>
      </c>
      <c r="BE38" s="59">
        <v>1</v>
      </c>
      <c r="BF38" s="60" t="s">
        <v>178</v>
      </c>
      <c r="BG38" s="61">
        <v>1</v>
      </c>
      <c r="BH38" s="62" t="s">
        <v>141</v>
      </c>
      <c r="BI38" s="63" t="s">
        <v>141</v>
      </c>
      <c r="BJ38" s="64" t="s">
        <v>141</v>
      </c>
      <c r="BK38" s="65" t="s">
        <v>179</v>
      </c>
      <c r="BL38" s="66" t="s">
        <v>178</v>
      </c>
      <c r="BM38" s="67" t="s">
        <v>178</v>
      </c>
      <c r="BN38" s="68" t="s">
        <v>141</v>
      </c>
      <c r="BO38" s="69" t="s">
        <v>141</v>
      </c>
      <c r="BP38" s="70" t="s">
        <v>141</v>
      </c>
      <c r="BQ38" s="71" t="s">
        <v>141</v>
      </c>
      <c r="BR38" s="72" t="s">
        <v>141</v>
      </c>
      <c r="BS38" s="73" t="s">
        <v>141</v>
      </c>
      <c r="BT38" s="74" t="s">
        <v>141</v>
      </c>
      <c r="BU38" s="75" t="s">
        <v>141</v>
      </c>
      <c r="BV38" s="76" t="s">
        <v>141</v>
      </c>
      <c r="BW38" s="77" t="s">
        <v>141</v>
      </c>
      <c r="BX38" s="78" t="s">
        <v>141</v>
      </c>
      <c r="BY38" s="79" t="s">
        <v>141</v>
      </c>
      <c r="BZ38" s="80" t="s">
        <v>141</v>
      </c>
      <c r="CA38" s="81" t="s">
        <v>141</v>
      </c>
      <c r="CB38" s="82" t="s">
        <v>141</v>
      </c>
      <c r="CC38" s="83" t="s">
        <v>141</v>
      </c>
      <c r="CD38" s="84" t="s">
        <v>141</v>
      </c>
      <c r="CE38" s="85" t="s">
        <v>141</v>
      </c>
      <c r="CF38" s="86" t="s">
        <v>141</v>
      </c>
      <c r="CG38" s="87" t="s">
        <v>141</v>
      </c>
      <c r="CH38" s="88" t="s">
        <v>141</v>
      </c>
      <c r="CI38" s="89" t="s">
        <v>141</v>
      </c>
      <c r="CJ38" s="90" t="s">
        <v>141</v>
      </c>
      <c r="CK38" s="91" t="s">
        <v>141</v>
      </c>
      <c r="CL38" s="92" t="s">
        <v>141</v>
      </c>
      <c r="CM38" s="93" t="s">
        <v>141</v>
      </c>
      <c r="CN38" s="94" t="s">
        <v>141</v>
      </c>
      <c r="CO38" s="95" t="s">
        <v>141</v>
      </c>
      <c r="CP38" s="96" t="s">
        <v>141</v>
      </c>
      <c r="CQ38" s="97" t="s">
        <v>141</v>
      </c>
      <c r="CR38" s="98" t="s">
        <v>141</v>
      </c>
      <c r="CS38" s="99" t="s">
        <v>141</v>
      </c>
      <c r="CT38" s="100" t="s">
        <v>141</v>
      </c>
      <c r="CU38" s="101" t="s">
        <v>141</v>
      </c>
      <c r="CV38" s="102" t="s">
        <v>141</v>
      </c>
      <c r="CW38" s="103" t="s">
        <v>141</v>
      </c>
      <c r="CX38" s="104">
        <v>6</v>
      </c>
      <c r="CY38" s="105" t="s">
        <v>150</v>
      </c>
      <c r="CZ38" s="106" t="s">
        <v>180</v>
      </c>
      <c r="DA38" s="107" t="s">
        <v>152</v>
      </c>
      <c r="DB38" s="108" t="s">
        <v>153</v>
      </c>
      <c r="DC38" s="109" t="s">
        <v>181</v>
      </c>
      <c r="DD38" s="110" t="s">
        <v>182</v>
      </c>
      <c r="DE38" s="111" t="s">
        <v>373</v>
      </c>
      <c r="DF38" s="112" t="s">
        <v>157</v>
      </c>
      <c r="DG38" s="113">
        <v>2015</v>
      </c>
      <c r="DH38" s="114" t="s">
        <v>717</v>
      </c>
      <c r="DI38" s="227" t="str">
        <f>HYPERLINK("https://my.pitchbook.com?c=47352-70T", "View company online")</f>
        <v>View company online</v>
      </c>
    </row>
    <row r="39" spans="1:113" x14ac:dyDescent="0.2">
      <c r="A39" s="115" t="s">
        <v>718</v>
      </c>
      <c r="B39" s="116" t="s">
        <v>719</v>
      </c>
      <c r="C39" s="117" t="s">
        <v>720</v>
      </c>
      <c r="D39" s="118" t="s">
        <v>721</v>
      </c>
      <c r="E39" s="119" t="s">
        <v>722</v>
      </c>
      <c r="F39" s="120" t="s">
        <v>126</v>
      </c>
      <c r="G39" s="121" t="s">
        <v>127</v>
      </c>
      <c r="H39" s="122" t="s">
        <v>128</v>
      </c>
      <c r="I39" s="123" t="s">
        <v>129</v>
      </c>
      <c r="J39" s="124" t="s">
        <v>130</v>
      </c>
      <c r="K39" s="125" t="s">
        <v>723</v>
      </c>
      <c r="L39" s="126" t="s">
        <v>132</v>
      </c>
      <c r="M39" s="127" t="s">
        <v>133</v>
      </c>
      <c r="N39" s="128" t="s">
        <v>170</v>
      </c>
      <c r="O39" s="129" t="s">
        <v>724</v>
      </c>
      <c r="P39" s="130" t="s">
        <v>725</v>
      </c>
      <c r="Q39" s="131" t="s">
        <v>726</v>
      </c>
      <c r="R39" s="132" t="s">
        <v>727</v>
      </c>
      <c r="S39" s="133" t="s">
        <v>728</v>
      </c>
      <c r="T39" s="134" t="s">
        <v>141</v>
      </c>
      <c r="U39" s="135">
        <v>2</v>
      </c>
      <c r="V39" s="136" t="s">
        <v>718</v>
      </c>
      <c r="W39" s="137" t="s">
        <v>141</v>
      </c>
      <c r="X39" s="138">
        <v>43238</v>
      </c>
      <c r="Y39" s="139">
        <v>0.02</v>
      </c>
      <c r="Z39" s="140" t="s">
        <v>177</v>
      </c>
      <c r="AA39" s="141">
        <v>0.31</v>
      </c>
      <c r="AB39" s="142">
        <v>0.33</v>
      </c>
      <c r="AC39" s="143" t="s">
        <v>177</v>
      </c>
      <c r="AD39" s="144">
        <v>6</v>
      </c>
      <c r="AE39" s="145">
        <v>0.02</v>
      </c>
      <c r="AF39" s="146" t="s">
        <v>141</v>
      </c>
      <c r="AG39" s="147" t="s">
        <v>141</v>
      </c>
      <c r="AH39" s="148" t="s">
        <v>141</v>
      </c>
      <c r="AI39" s="149" t="s">
        <v>141</v>
      </c>
      <c r="AJ39" s="150" t="s">
        <v>142</v>
      </c>
      <c r="AK39" s="151" t="s">
        <v>141</v>
      </c>
      <c r="AL39" s="152" t="s">
        <v>141</v>
      </c>
      <c r="AM39" s="153" t="s">
        <v>143</v>
      </c>
      <c r="AN39" s="154" t="s">
        <v>729</v>
      </c>
      <c r="AO39" s="155">
        <v>0.02</v>
      </c>
      <c r="AP39" s="156" t="s">
        <v>145</v>
      </c>
      <c r="AQ39" s="157" t="s">
        <v>141</v>
      </c>
      <c r="AR39" s="158" t="s">
        <v>141</v>
      </c>
      <c r="AS39" s="159" t="s">
        <v>141</v>
      </c>
      <c r="AT39" s="160" t="s">
        <v>141</v>
      </c>
      <c r="AU39" s="161" t="s">
        <v>141</v>
      </c>
      <c r="AV39" s="162" t="s">
        <v>141</v>
      </c>
      <c r="AW39" s="163" t="s">
        <v>141</v>
      </c>
      <c r="AX39" s="164" t="s">
        <v>141</v>
      </c>
      <c r="AY39" s="165" t="s">
        <v>141</v>
      </c>
      <c r="AZ39" s="166" t="s">
        <v>141</v>
      </c>
      <c r="BA39" s="167" t="s">
        <v>146</v>
      </c>
      <c r="BB39" s="168" t="s">
        <v>133</v>
      </c>
      <c r="BC39" s="169" t="s">
        <v>132</v>
      </c>
      <c r="BD39" s="170" t="s">
        <v>141</v>
      </c>
      <c r="BE39" s="171">
        <v>1</v>
      </c>
      <c r="BF39" s="172" t="s">
        <v>730</v>
      </c>
      <c r="BG39" s="173">
        <v>1</v>
      </c>
      <c r="BH39" s="174" t="s">
        <v>141</v>
      </c>
      <c r="BI39" s="175" t="s">
        <v>141</v>
      </c>
      <c r="BJ39" s="176" t="s">
        <v>141</v>
      </c>
      <c r="BK39" s="177" t="s">
        <v>731</v>
      </c>
      <c r="BL39" s="178" t="s">
        <v>732</v>
      </c>
      <c r="BM39" s="179" t="s">
        <v>732</v>
      </c>
      <c r="BN39" s="180" t="s">
        <v>141</v>
      </c>
      <c r="BO39" s="181" t="s">
        <v>141</v>
      </c>
      <c r="BP39" s="182" t="s">
        <v>141</v>
      </c>
      <c r="BQ39" s="183" t="s">
        <v>141</v>
      </c>
      <c r="BR39" s="184" t="s">
        <v>141</v>
      </c>
      <c r="BS39" s="185" t="s">
        <v>141</v>
      </c>
      <c r="BT39" s="186" t="s">
        <v>141</v>
      </c>
      <c r="BU39" s="187" t="s">
        <v>141</v>
      </c>
      <c r="BV39" s="188" t="s">
        <v>141</v>
      </c>
      <c r="BW39" s="189" t="s">
        <v>141</v>
      </c>
      <c r="BX39" s="190" t="s">
        <v>141</v>
      </c>
      <c r="BY39" s="191" t="s">
        <v>141</v>
      </c>
      <c r="BZ39" s="192" t="s">
        <v>141</v>
      </c>
      <c r="CA39" s="193" t="s">
        <v>141</v>
      </c>
      <c r="CB39" s="194" t="s">
        <v>141</v>
      </c>
      <c r="CC39" s="195" t="s">
        <v>141</v>
      </c>
      <c r="CD39" s="196" t="s">
        <v>141</v>
      </c>
      <c r="CE39" s="197" t="s">
        <v>141</v>
      </c>
      <c r="CF39" s="198" t="s">
        <v>141</v>
      </c>
      <c r="CG39" s="199" t="s">
        <v>141</v>
      </c>
      <c r="CH39" s="200" t="s">
        <v>141</v>
      </c>
      <c r="CI39" s="201" t="s">
        <v>141</v>
      </c>
      <c r="CJ39" s="202" t="s">
        <v>141</v>
      </c>
      <c r="CK39" s="203" t="s">
        <v>141</v>
      </c>
      <c r="CL39" s="204" t="s">
        <v>141</v>
      </c>
      <c r="CM39" s="205" t="s">
        <v>141</v>
      </c>
      <c r="CN39" s="206" t="s">
        <v>141</v>
      </c>
      <c r="CO39" s="207" t="s">
        <v>141</v>
      </c>
      <c r="CP39" s="208" t="s">
        <v>141</v>
      </c>
      <c r="CQ39" s="209" t="s">
        <v>141</v>
      </c>
      <c r="CR39" s="210" t="s">
        <v>141</v>
      </c>
      <c r="CS39" s="211" t="s">
        <v>141</v>
      </c>
      <c r="CT39" s="212" t="s">
        <v>141</v>
      </c>
      <c r="CU39" s="213" t="s">
        <v>141</v>
      </c>
      <c r="CV39" s="214" t="s">
        <v>141</v>
      </c>
      <c r="CW39" s="215" t="s">
        <v>141</v>
      </c>
      <c r="CX39" s="216">
        <v>2</v>
      </c>
      <c r="CY39" s="217" t="s">
        <v>150</v>
      </c>
      <c r="CZ39" s="218" t="s">
        <v>200</v>
      </c>
      <c r="DA39" s="219" t="s">
        <v>152</v>
      </c>
      <c r="DB39" s="220" t="s">
        <v>153</v>
      </c>
      <c r="DC39" s="221" t="s">
        <v>201</v>
      </c>
      <c r="DD39" s="222" t="s">
        <v>201</v>
      </c>
      <c r="DE39" s="223" t="s">
        <v>141</v>
      </c>
      <c r="DF39" s="224" t="s">
        <v>157</v>
      </c>
      <c r="DG39" s="225">
        <v>2018</v>
      </c>
      <c r="DH39" s="226" t="s">
        <v>733</v>
      </c>
      <c r="DI39" s="228" t="str">
        <f>HYPERLINK("https://my.pitchbook.com?c=110524-87T", "View company online")</f>
        <v>View company online</v>
      </c>
    </row>
    <row r="40" spans="1:113" x14ac:dyDescent="0.2">
      <c r="A40" s="3" t="s">
        <v>734</v>
      </c>
      <c r="B40" s="4" t="s">
        <v>735</v>
      </c>
      <c r="C40" s="5" t="s">
        <v>736</v>
      </c>
      <c r="D40" s="6" t="s">
        <v>737</v>
      </c>
      <c r="E40" s="7" t="s">
        <v>738</v>
      </c>
      <c r="F40" s="8" t="s">
        <v>126</v>
      </c>
      <c r="G40" s="9" t="s">
        <v>456</v>
      </c>
      <c r="H40" s="10" t="s">
        <v>457</v>
      </c>
      <c r="I40" s="11" t="s">
        <v>515</v>
      </c>
      <c r="J40" s="12" t="s">
        <v>211</v>
      </c>
      <c r="K40" s="13" t="s">
        <v>739</v>
      </c>
      <c r="L40" s="14" t="s">
        <v>740</v>
      </c>
      <c r="M40" s="15" t="s">
        <v>133</v>
      </c>
      <c r="N40" s="16" t="s">
        <v>741</v>
      </c>
      <c r="O40" s="17" t="s">
        <v>742</v>
      </c>
      <c r="P40" s="18" t="s">
        <v>743</v>
      </c>
      <c r="Q40" s="19" t="s">
        <v>744</v>
      </c>
      <c r="R40" s="20" t="s">
        <v>141</v>
      </c>
      <c r="S40" s="21" t="s">
        <v>745</v>
      </c>
      <c r="T40" s="22" t="s">
        <v>746</v>
      </c>
      <c r="U40" s="23">
        <v>2</v>
      </c>
      <c r="V40" s="24" t="s">
        <v>734</v>
      </c>
      <c r="W40" s="25" t="s">
        <v>141</v>
      </c>
      <c r="X40" s="26">
        <v>41275</v>
      </c>
      <c r="Y40" s="27">
        <v>0.12</v>
      </c>
      <c r="Z40" s="28" t="s">
        <v>177</v>
      </c>
      <c r="AA40" s="29">
        <v>1.88</v>
      </c>
      <c r="AB40" s="30">
        <v>2</v>
      </c>
      <c r="AC40" s="31" t="s">
        <v>177</v>
      </c>
      <c r="AD40" s="32">
        <v>6</v>
      </c>
      <c r="AE40" s="33">
        <v>0.5</v>
      </c>
      <c r="AF40" s="34" t="s">
        <v>141</v>
      </c>
      <c r="AG40" s="35" t="s">
        <v>141</v>
      </c>
      <c r="AH40" s="36" t="s">
        <v>141</v>
      </c>
      <c r="AI40" s="37" t="s">
        <v>141</v>
      </c>
      <c r="AJ40" s="38" t="s">
        <v>142</v>
      </c>
      <c r="AK40" s="39" t="s">
        <v>141</v>
      </c>
      <c r="AL40" s="40" t="s">
        <v>141</v>
      </c>
      <c r="AM40" s="41" t="s">
        <v>143</v>
      </c>
      <c r="AN40" s="42" t="s">
        <v>747</v>
      </c>
      <c r="AO40" s="43">
        <v>0.02</v>
      </c>
      <c r="AP40" s="44" t="s">
        <v>145</v>
      </c>
      <c r="AQ40" s="45" t="s">
        <v>141</v>
      </c>
      <c r="AR40" s="46" t="s">
        <v>141</v>
      </c>
      <c r="AS40" s="47" t="s">
        <v>281</v>
      </c>
      <c r="AT40" s="48" t="s">
        <v>141</v>
      </c>
      <c r="AU40" s="49" t="s">
        <v>141</v>
      </c>
      <c r="AV40" s="50">
        <v>0.1</v>
      </c>
      <c r="AW40" s="51" t="s">
        <v>141</v>
      </c>
      <c r="AX40" s="52" t="s">
        <v>141</v>
      </c>
      <c r="AY40" s="53">
        <v>0.1</v>
      </c>
      <c r="AZ40" s="54" t="s">
        <v>141</v>
      </c>
      <c r="BA40" s="55" t="s">
        <v>146</v>
      </c>
      <c r="BB40" s="56" t="s">
        <v>263</v>
      </c>
      <c r="BC40" s="57" t="s">
        <v>132</v>
      </c>
      <c r="BD40" s="58" t="s">
        <v>141</v>
      </c>
      <c r="BE40" s="59">
        <v>1</v>
      </c>
      <c r="BF40" s="60" t="s">
        <v>141</v>
      </c>
      <c r="BG40" s="61" t="s">
        <v>141</v>
      </c>
      <c r="BH40" s="62" t="s">
        <v>147</v>
      </c>
      <c r="BI40" s="63">
        <v>1</v>
      </c>
      <c r="BJ40" s="64" t="s">
        <v>141</v>
      </c>
      <c r="BK40" s="65" t="s">
        <v>148</v>
      </c>
      <c r="BL40" s="66" t="s">
        <v>147</v>
      </c>
      <c r="BM40" s="67" t="s">
        <v>147</v>
      </c>
      <c r="BN40" s="68" t="s">
        <v>748</v>
      </c>
      <c r="BO40" s="69" t="s">
        <v>141</v>
      </c>
      <c r="BP40" s="70" t="s">
        <v>141</v>
      </c>
      <c r="BQ40" s="71" t="s">
        <v>141</v>
      </c>
      <c r="BR40" s="72" t="s">
        <v>141</v>
      </c>
      <c r="BS40" s="73" t="s">
        <v>141</v>
      </c>
      <c r="BT40" s="74" t="s">
        <v>141</v>
      </c>
      <c r="BU40" s="75" t="s">
        <v>141</v>
      </c>
      <c r="BV40" s="76" t="s">
        <v>141</v>
      </c>
      <c r="BW40" s="77" t="s">
        <v>141</v>
      </c>
      <c r="BX40" s="78" t="s">
        <v>141</v>
      </c>
      <c r="BY40" s="79" t="s">
        <v>141</v>
      </c>
      <c r="BZ40" s="80" t="s">
        <v>141</v>
      </c>
      <c r="CA40" s="81" t="s">
        <v>141</v>
      </c>
      <c r="CB40" s="82" t="s">
        <v>141</v>
      </c>
      <c r="CC40" s="83" t="s">
        <v>141</v>
      </c>
      <c r="CD40" s="84" t="s">
        <v>141</v>
      </c>
      <c r="CE40" s="85" t="s">
        <v>141</v>
      </c>
      <c r="CF40" s="86" t="s">
        <v>141</v>
      </c>
      <c r="CG40" s="87" t="s">
        <v>141</v>
      </c>
      <c r="CH40" s="88" t="s">
        <v>141</v>
      </c>
      <c r="CI40" s="89" t="s">
        <v>141</v>
      </c>
      <c r="CJ40" s="90" t="s">
        <v>141</v>
      </c>
      <c r="CK40" s="91" t="s">
        <v>141</v>
      </c>
      <c r="CL40" s="92" t="s">
        <v>141</v>
      </c>
      <c r="CM40" s="93" t="s">
        <v>141</v>
      </c>
      <c r="CN40" s="94" t="s">
        <v>141</v>
      </c>
      <c r="CO40" s="95" t="s">
        <v>141</v>
      </c>
      <c r="CP40" s="96" t="s">
        <v>141</v>
      </c>
      <c r="CQ40" s="97">
        <v>5</v>
      </c>
      <c r="CR40" s="98" t="s">
        <v>141</v>
      </c>
      <c r="CS40" s="99" t="s">
        <v>141</v>
      </c>
      <c r="CT40" s="100" t="s">
        <v>141</v>
      </c>
      <c r="CU40" s="101" t="s">
        <v>141</v>
      </c>
      <c r="CV40" s="102" t="s">
        <v>141</v>
      </c>
      <c r="CW40" s="103" t="s">
        <v>141</v>
      </c>
      <c r="CX40" s="104">
        <v>501</v>
      </c>
      <c r="CY40" s="105" t="s">
        <v>150</v>
      </c>
      <c r="CZ40" s="106" t="s">
        <v>200</v>
      </c>
      <c r="DA40" s="107" t="s">
        <v>152</v>
      </c>
      <c r="DB40" s="108" t="s">
        <v>153</v>
      </c>
      <c r="DC40" s="109" t="s">
        <v>201</v>
      </c>
      <c r="DD40" s="110" t="s">
        <v>201</v>
      </c>
      <c r="DE40" s="111" t="s">
        <v>141</v>
      </c>
      <c r="DF40" s="112" t="s">
        <v>157</v>
      </c>
      <c r="DG40" s="113">
        <v>2012</v>
      </c>
      <c r="DH40" s="114" t="s">
        <v>749</v>
      </c>
      <c r="DI40" s="227" t="str">
        <f>HYPERLINK("https://my.pitchbook.com?c=93899-89T", "View company online")</f>
        <v>View company online</v>
      </c>
    </row>
    <row r="41" spans="1:113" x14ac:dyDescent="0.2">
      <c r="A41" s="115" t="s">
        <v>750</v>
      </c>
      <c r="B41" s="116" t="s">
        <v>751</v>
      </c>
      <c r="C41" s="117" t="s">
        <v>752</v>
      </c>
      <c r="D41" s="118" t="s">
        <v>753</v>
      </c>
      <c r="E41" s="119" t="s">
        <v>754</v>
      </c>
      <c r="F41" s="120" t="s">
        <v>126</v>
      </c>
      <c r="G41" s="121" t="s">
        <v>252</v>
      </c>
      <c r="H41" s="122" t="s">
        <v>253</v>
      </c>
      <c r="I41" s="123" t="s">
        <v>755</v>
      </c>
      <c r="J41" s="124" t="s">
        <v>756</v>
      </c>
      <c r="K41" s="125" t="s">
        <v>757</v>
      </c>
      <c r="L41" s="126" t="s">
        <v>132</v>
      </c>
      <c r="M41" s="127" t="s">
        <v>133</v>
      </c>
      <c r="N41" s="128" t="s">
        <v>134</v>
      </c>
      <c r="O41" s="129" t="s">
        <v>758</v>
      </c>
      <c r="P41" s="130" t="s">
        <v>759</v>
      </c>
      <c r="Q41" s="131" t="s">
        <v>760</v>
      </c>
      <c r="R41" s="132" t="s">
        <v>761</v>
      </c>
      <c r="S41" s="133" t="s">
        <v>762</v>
      </c>
      <c r="T41" s="134" t="s">
        <v>763</v>
      </c>
      <c r="U41" s="135">
        <v>5</v>
      </c>
      <c r="V41" s="136" t="s">
        <v>750</v>
      </c>
      <c r="W41" s="137" t="s">
        <v>141</v>
      </c>
      <c r="X41" s="138">
        <v>42235</v>
      </c>
      <c r="Y41" s="139">
        <v>0.12</v>
      </c>
      <c r="Z41" s="140" t="s">
        <v>177</v>
      </c>
      <c r="AA41" s="141">
        <v>1.59</v>
      </c>
      <c r="AB41" s="142">
        <v>1.71</v>
      </c>
      <c r="AC41" s="143" t="s">
        <v>177</v>
      </c>
      <c r="AD41" s="144">
        <v>7</v>
      </c>
      <c r="AE41" s="145">
        <v>2.67</v>
      </c>
      <c r="AF41" s="146" t="s">
        <v>141</v>
      </c>
      <c r="AG41" s="147" t="s">
        <v>141</v>
      </c>
      <c r="AH41" s="148" t="s">
        <v>141</v>
      </c>
      <c r="AI41" s="149" t="s">
        <v>141</v>
      </c>
      <c r="AJ41" s="150" t="s">
        <v>142</v>
      </c>
      <c r="AK41" s="151" t="s">
        <v>141</v>
      </c>
      <c r="AL41" s="152" t="s">
        <v>141</v>
      </c>
      <c r="AM41" s="153" t="s">
        <v>143</v>
      </c>
      <c r="AN41" s="154" t="s">
        <v>764</v>
      </c>
      <c r="AO41" s="155">
        <v>0.12</v>
      </c>
      <c r="AP41" s="156" t="s">
        <v>145</v>
      </c>
      <c r="AQ41" s="157" t="s">
        <v>141</v>
      </c>
      <c r="AR41" s="158" t="s">
        <v>141</v>
      </c>
      <c r="AS41" s="159" t="s">
        <v>141</v>
      </c>
      <c r="AT41" s="160" t="s">
        <v>141</v>
      </c>
      <c r="AU41" s="161" t="s">
        <v>141</v>
      </c>
      <c r="AV41" s="162" t="s">
        <v>141</v>
      </c>
      <c r="AW41" s="163" t="s">
        <v>141</v>
      </c>
      <c r="AX41" s="164" t="s">
        <v>141</v>
      </c>
      <c r="AY41" s="165" t="s">
        <v>141</v>
      </c>
      <c r="AZ41" s="166" t="s">
        <v>141</v>
      </c>
      <c r="BA41" s="167" t="s">
        <v>146</v>
      </c>
      <c r="BB41" s="168" t="s">
        <v>133</v>
      </c>
      <c r="BC41" s="169" t="s">
        <v>193</v>
      </c>
      <c r="BD41" s="170" t="s">
        <v>141</v>
      </c>
      <c r="BE41" s="171">
        <v>1</v>
      </c>
      <c r="BF41" s="172" t="s">
        <v>178</v>
      </c>
      <c r="BG41" s="173">
        <v>1</v>
      </c>
      <c r="BH41" s="174" t="s">
        <v>141</v>
      </c>
      <c r="BI41" s="175" t="s">
        <v>141</v>
      </c>
      <c r="BJ41" s="176" t="s">
        <v>141</v>
      </c>
      <c r="BK41" s="177" t="s">
        <v>179</v>
      </c>
      <c r="BL41" s="178" t="s">
        <v>178</v>
      </c>
      <c r="BM41" s="179" t="s">
        <v>178</v>
      </c>
      <c r="BN41" s="180" t="s">
        <v>765</v>
      </c>
      <c r="BO41" s="181" t="s">
        <v>141</v>
      </c>
      <c r="BP41" s="182" t="s">
        <v>141</v>
      </c>
      <c r="BQ41" s="183" t="s">
        <v>141</v>
      </c>
      <c r="BR41" s="184" t="s">
        <v>766</v>
      </c>
      <c r="BS41" s="185" t="s">
        <v>766</v>
      </c>
      <c r="BT41" s="186" t="s">
        <v>141</v>
      </c>
      <c r="BU41" s="187" t="s">
        <v>141</v>
      </c>
      <c r="BV41" s="188" t="s">
        <v>141</v>
      </c>
      <c r="BW41" s="189" t="s">
        <v>141</v>
      </c>
      <c r="BX41" s="190" t="s">
        <v>141</v>
      </c>
      <c r="BY41" s="191" t="s">
        <v>141</v>
      </c>
      <c r="BZ41" s="192" t="s">
        <v>141</v>
      </c>
      <c r="CA41" s="193" t="s">
        <v>141</v>
      </c>
      <c r="CB41" s="194" t="s">
        <v>141</v>
      </c>
      <c r="CC41" s="195" t="s">
        <v>141</v>
      </c>
      <c r="CD41" s="196" t="s">
        <v>141</v>
      </c>
      <c r="CE41" s="197" t="s">
        <v>141</v>
      </c>
      <c r="CF41" s="198" t="s">
        <v>141</v>
      </c>
      <c r="CG41" s="199" t="s">
        <v>141</v>
      </c>
      <c r="CH41" s="200" t="s">
        <v>141</v>
      </c>
      <c r="CI41" s="201" t="s">
        <v>141</v>
      </c>
      <c r="CJ41" s="202" t="s">
        <v>141</v>
      </c>
      <c r="CK41" s="203" t="s">
        <v>141</v>
      </c>
      <c r="CL41" s="204" t="s">
        <v>141</v>
      </c>
      <c r="CM41" s="205" t="s">
        <v>141</v>
      </c>
      <c r="CN41" s="206" t="s">
        <v>141</v>
      </c>
      <c r="CO41" s="207" t="s">
        <v>141</v>
      </c>
      <c r="CP41" s="208" t="s">
        <v>141</v>
      </c>
      <c r="CQ41" s="209" t="s">
        <v>141</v>
      </c>
      <c r="CR41" s="210" t="s">
        <v>141</v>
      </c>
      <c r="CS41" s="211" t="s">
        <v>141</v>
      </c>
      <c r="CT41" s="212" t="s">
        <v>141</v>
      </c>
      <c r="CU41" s="213" t="s">
        <v>141</v>
      </c>
      <c r="CV41" s="214" t="s">
        <v>141</v>
      </c>
      <c r="CW41" s="215" t="s">
        <v>141</v>
      </c>
      <c r="CX41" s="216">
        <v>13</v>
      </c>
      <c r="CY41" s="217" t="s">
        <v>150</v>
      </c>
      <c r="CZ41" s="218" t="s">
        <v>180</v>
      </c>
      <c r="DA41" s="219" t="s">
        <v>152</v>
      </c>
      <c r="DB41" s="220" t="s">
        <v>153</v>
      </c>
      <c r="DC41" s="221" t="s">
        <v>181</v>
      </c>
      <c r="DD41" s="222" t="s">
        <v>182</v>
      </c>
      <c r="DE41" s="223" t="s">
        <v>469</v>
      </c>
      <c r="DF41" s="224" t="s">
        <v>157</v>
      </c>
      <c r="DG41" s="225">
        <v>2012</v>
      </c>
      <c r="DH41" s="226" t="s">
        <v>767</v>
      </c>
      <c r="DI41" s="228" t="str">
        <f>HYPERLINK("https://my.pitchbook.com?c=96641-56T", "View company online")</f>
        <v>View company online</v>
      </c>
    </row>
    <row r="42" spans="1:113" x14ac:dyDescent="0.2">
      <c r="A42" s="3" t="s">
        <v>768</v>
      </c>
      <c r="B42" s="4" t="s">
        <v>769</v>
      </c>
      <c r="C42" s="5" t="s">
        <v>770</v>
      </c>
      <c r="D42" s="6" t="s">
        <v>771</v>
      </c>
      <c r="E42" s="7" t="s">
        <v>772</v>
      </c>
      <c r="F42" s="8" t="s">
        <v>126</v>
      </c>
      <c r="G42" s="9" t="s">
        <v>127</v>
      </c>
      <c r="H42" s="10" t="s">
        <v>128</v>
      </c>
      <c r="I42" s="11" t="s">
        <v>129</v>
      </c>
      <c r="J42" s="12" t="s">
        <v>773</v>
      </c>
      <c r="K42" s="13" t="s">
        <v>774</v>
      </c>
      <c r="L42" s="14" t="s">
        <v>132</v>
      </c>
      <c r="M42" s="15" t="s">
        <v>133</v>
      </c>
      <c r="N42" s="16" t="s">
        <v>170</v>
      </c>
      <c r="O42" s="17" t="s">
        <v>775</v>
      </c>
      <c r="P42" s="18" t="s">
        <v>776</v>
      </c>
      <c r="Q42" s="19" t="s">
        <v>777</v>
      </c>
      <c r="R42" s="20" t="s">
        <v>778</v>
      </c>
      <c r="S42" s="21" t="s">
        <v>779</v>
      </c>
      <c r="T42" s="22" t="s">
        <v>141</v>
      </c>
      <c r="U42" s="23">
        <v>1</v>
      </c>
      <c r="V42" s="24" t="s">
        <v>768</v>
      </c>
      <c r="W42" s="25" t="s">
        <v>141</v>
      </c>
      <c r="X42" s="26" t="s">
        <v>141</v>
      </c>
      <c r="Y42" s="27" t="s">
        <v>141</v>
      </c>
      <c r="Z42" s="28" t="s">
        <v>141</v>
      </c>
      <c r="AA42" s="29" t="s">
        <v>141</v>
      </c>
      <c r="AB42" s="30" t="s">
        <v>141</v>
      </c>
      <c r="AC42" s="31" t="s">
        <v>141</v>
      </c>
      <c r="AD42" s="32" t="s">
        <v>141</v>
      </c>
      <c r="AE42" s="33" t="s">
        <v>141</v>
      </c>
      <c r="AF42" s="34" t="s">
        <v>141</v>
      </c>
      <c r="AG42" s="35" t="s">
        <v>141</v>
      </c>
      <c r="AH42" s="36" t="s">
        <v>141</v>
      </c>
      <c r="AI42" s="37" t="s">
        <v>141</v>
      </c>
      <c r="AJ42" s="38" t="s">
        <v>142</v>
      </c>
      <c r="AK42" s="39" t="s">
        <v>141</v>
      </c>
      <c r="AL42" s="40" t="s">
        <v>141</v>
      </c>
      <c r="AM42" s="41" t="s">
        <v>143</v>
      </c>
      <c r="AN42" s="42" t="s">
        <v>780</v>
      </c>
      <c r="AO42" s="43" t="s">
        <v>141</v>
      </c>
      <c r="AP42" s="44" t="s">
        <v>145</v>
      </c>
      <c r="AQ42" s="45" t="s">
        <v>141</v>
      </c>
      <c r="AR42" s="46" t="s">
        <v>141</v>
      </c>
      <c r="AS42" s="47" t="s">
        <v>141</v>
      </c>
      <c r="AT42" s="48" t="s">
        <v>141</v>
      </c>
      <c r="AU42" s="49" t="s">
        <v>141</v>
      </c>
      <c r="AV42" s="50" t="s">
        <v>141</v>
      </c>
      <c r="AW42" s="51" t="s">
        <v>141</v>
      </c>
      <c r="AX42" s="52" t="s">
        <v>141</v>
      </c>
      <c r="AY42" s="53" t="s">
        <v>141</v>
      </c>
      <c r="AZ42" s="54" t="s">
        <v>141</v>
      </c>
      <c r="BA42" s="55" t="s">
        <v>146</v>
      </c>
      <c r="BB42" s="56" t="s">
        <v>263</v>
      </c>
      <c r="BC42" s="57" t="s">
        <v>193</v>
      </c>
      <c r="BD42" s="58" t="s">
        <v>141</v>
      </c>
      <c r="BE42" s="59">
        <v>1</v>
      </c>
      <c r="BF42" s="60" t="s">
        <v>781</v>
      </c>
      <c r="BG42" s="61">
        <v>1</v>
      </c>
      <c r="BH42" s="62" t="s">
        <v>141</v>
      </c>
      <c r="BI42" s="63" t="s">
        <v>141</v>
      </c>
      <c r="BJ42" s="64" t="s">
        <v>141</v>
      </c>
      <c r="BK42" s="65" t="s">
        <v>782</v>
      </c>
      <c r="BL42" s="66" t="s">
        <v>781</v>
      </c>
      <c r="BM42" s="67" t="s">
        <v>781</v>
      </c>
      <c r="BN42" s="68" t="s">
        <v>141</v>
      </c>
      <c r="BO42" s="69" t="s">
        <v>141</v>
      </c>
      <c r="BP42" s="70" t="s">
        <v>141</v>
      </c>
      <c r="BQ42" s="71" t="s">
        <v>141</v>
      </c>
      <c r="BR42" s="72" t="s">
        <v>141</v>
      </c>
      <c r="BS42" s="73" t="s">
        <v>141</v>
      </c>
      <c r="BT42" s="74" t="s">
        <v>141</v>
      </c>
      <c r="BU42" s="75" t="s">
        <v>141</v>
      </c>
      <c r="BV42" s="76" t="s">
        <v>141</v>
      </c>
      <c r="BW42" s="77" t="s">
        <v>141</v>
      </c>
      <c r="BX42" s="78" t="s">
        <v>141</v>
      </c>
      <c r="BY42" s="79" t="s">
        <v>141</v>
      </c>
      <c r="BZ42" s="80" t="s">
        <v>141</v>
      </c>
      <c r="CA42" s="81" t="s">
        <v>141</v>
      </c>
      <c r="CB42" s="82" t="s">
        <v>141</v>
      </c>
      <c r="CC42" s="83" t="s">
        <v>141</v>
      </c>
      <c r="CD42" s="84" t="s">
        <v>141</v>
      </c>
      <c r="CE42" s="85" t="s">
        <v>141</v>
      </c>
      <c r="CF42" s="86" t="s">
        <v>141</v>
      </c>
      <c r="CG42" s="87" t="s">
        <v>141</v>
      </c>
      <c r="CH42" s="88" t="s">
        <v>141</v>
      </c>
      <c r="CI42" s="89" t="s">
        <v>141</v>
      </c>
      <c r="CJ42" s="90" t="s">
        <v>141</v>
      </c>
      <c r="CK42" s="91" t="s">
        <v>141</v>
      </c>
      <c r="CL42" s="92" t="s">
        <v>141</v>
      </c>
      <c r="CM42" s="93" t="s">
        <v>141</v>
      </c>
      <c r="CN42" s="94" t="s">
        <v>141</v>
      </c>
      <c r="CO42" s="95" t="s">
        <v>141</v>
      </c>
      <c r="CP42" s="96" t="s">
        <v>141</v>
      </c>
      <c r="CQ42" s="97" t="s">
        <v>141</v>
      </c>
      <c r="CR42" s="98" t="s">
        <v>141</v>
      </c>
      <c r="CS42" s="99" t="s">
        <v>141</v>
      </c>
      <c r="CT42" s="100" t="s">
        <v>141</v>
      </c>
      <c r="CU42" s="101" t="s">
        <v>141</v>
      </c>
      <c r="CV42" s="102" t="s">
        <v>141</v>
      </c>
      <c r="CW42" s="103" t="s">
        <v>141</v>
      </c>
      <c r="CX42" s="104">
        <v>11</v>
      </c>
      <c r="CY42" s="105" t="s">
        <v>150</v>
      </c>
      <c r="CZ42" s="106" t="s">
        <v>783</v>
      </c>
      <c r="DA42" s="107" t="s">
        <v>152</v>
      </c>
      <c r="DB42" s="108" t="s">
        <v>153</v>
      </c>
      <c r="DC42" s="109" t="s">
        <v>784</v>
      </c>
      <c r="DD42" s="110" t="s">
        <v>785</v>
      </c>
      <c r="DE42" s="111" t="s">
        <v>786</v>
      </c>
      <c r="DF42" s="112" t="s">
        <v>157</v>
      </c>
      <c r="DG42" s="113">
        <v>2017</v>
      </c>
      <c r="DH42" s="114" t="s">
        <v>787</v>
      </c>
      <c r="DI42" s="227" t="str">
        <f>HYPERLINK("https://my.pitchbook.com?c=103237-57T", "View company online")</f>
        <v>View company online</v>
      </c>
    </row>
    <row r="43" spans="1:113" x14ac:dyDescent="0.2">
      <c r="A43" s="115" t="s">
        <v>788</v>
      </c>
      <c r="B43" s="116" t="s">
        <v>769</v>
      </c>
      <c r="C43" s="117" t="s">
        <v>770</v>
      </c>
      <c r="D43" s="118" t="s">
        <v>771</v>
      </c>
      <c r="E43" s="119" t="s">
        <v>772</v>
      </c>
      <c r="F43" s="120" t="s">
        <v>126</v>
      </c>
      <c r="G43" s="121" t="s">
        <v>127</v>
      </c>
      <c r="H43" s="122" t="s">
        <v>128</v>
      </c>
      <c r="I43" s="123" t="s">
        <v>129</v>
      </c>
      <c r="J43" s="124" t="s">
        <v>773</v>
      </c>
      <c r="K43" s="125" t="s">
        <v>774</v>
      </c>
      <c r="L43" s="126" t="s">
        <v>132</v>
      </c>
      <c r="M43" s="127" t="s">
        <v>133</v>
      </c>
      <c r="N43" s="128" t="s">
        <v>170</v>
      </c>
      <c r="O43" s="129" t="s">
        <v>775</v>
      </c>
      <c r="P43" s="130" t="s">
        <v>776</v>
      </c>
      <c r="Q43" s="131" t="s">
        <v>777</v>
      </c>
      <c r="R43" s="132" t="s">
        <v>778</v>
      </c>
      <c r="S43" s="133" t="s">
        <v>779</v>
      </c>
      <c r="T43" s="134" t="s">
        <v>141</v>
      </c>
      <c r="U43" s="135">
        <v>5</v>
      </c>
      <c r="V43" s="136" t="s">
        <v>788</v>
      </c>
      <c r="W43" s="137" t="s">
        <v>141</v>
      </c>
      <c r="X43" s="138">
        <v>43539</v>
      </c>
      <c r="Y43" s="139">
        <v>0.1</v>
      </c>
      <c r="Z43" s="140" t="s">
        <v>177</v>
      </c>
      <c r="AA43" s="141">
        <v>1.9</v>
      </c>
      <c r="AB43" s="142">
        <v>2</v>
      </c>
      <c r="AC43" s="143" t="s">
        <v>177</v>
      </c>
      <c r="AD43" s="144">
        <v>5</v>
      </c>
      <c r="AE43" s="145">
        <v>0.63</v>
      </c>
      <c r="AF43" s="146" t="s">
        <v>141</v>
      </c>
      <c r="AG43" s="147" t="s">
        <v>141</v>
      </c>
      <c r="AH43" s="148" t="s">
        <v>141</v>
      </c>
      <c r="AI43" s="149" t="s">
        <v>141</v>
      </c>
      <c r="AJ43" s="150" t="s">
        <v>142</v>
      </c>
      <c r="AK43" s="151" t="s">
        <v>141</v>
      </c>
      <c r="AL43" s="152" t="s">
        <v>141</v>
      </c>
      <c r="AM43" s="153" t="s">
        <v>143</v>
      </c>
      <c r="AN43" s="154" t="s">
        <v>789</v>
      </c>
      <c r="AO43" s="155">
        <v>0.1</v>
      </c>
      <c r="AP43" s="156" t="s">
        <v>145</v>
      </c>
      <c r="AQ43" s="157" t="s">
        <v>141</v>
      </c>
      <c r="AR43" s="158" t="s">
        <v>141</v>
      </c>
      <c r="AS43" s="159" t="s">
        <v>141</v>
      </c>
      <c r="AT43" s="160" t="s">
        <v>141</v>
      </c>
      <c r="AU43" s="161" t="s">
        <v>141</v>
      </c>
      <c r="AV43" s="162" t="s">
        <v>141</v>
      </c>
      <c r="AW43" s="163" t="s">
        <v>141</v>
      </c>
      <c r="AX43" s="164" t="s">
        <v>141</v>
      </c>
      <c r="AY43" s="165" t="s">
        <v>141</v>
      </c>
      <c r="AZ43" s="166" t="s">
        <v>141</v>
      </c>
      <c r="BA43" s="167" t="s">
        <v>146</v>
      </c>
      <c r="BB43" s="168" t="s">
        <v>133</v>
      </c>
      <c r="BC43" s="169" t="s">
        <v>193</v>
      </c>
      <c r="BD43" s="170" t="s">
        <v>141</v>
      </c>
      <c r="BE43" s="171">
        <v>1</v>
      </c>
      <c r="BF43" s="172" t="s">
        <v>141</v>
      </c>
      <c r="BG43" s="173" t="s">
        <v>141</v>
      </c>
      <c r="BH43" s="174" t="s">
        <v>790</v>
      </c>
      <c r="BI43" s="175">
        <v>1</v>
      </c>
      <c r="BJ43" s="176" t="s">
        <v>141</v>
      </c>
      <c r="BK43" s="177" t="s">
        <v>791</v>
      </c>
      <c r="BL43" s="178" t="s">
        <v>790</v>
      </c>
      <c r="BM43" s="179" t="s">
        <v>790</v>
      </c>
      <c r="BN43" s="180" t="s">
        <v>141</v>
      </c>
      <c r="BO43" s="181" t="s">
        <v>141</v>
      </c>
      <c r="BP43" s="182" t="s">
        <v>141</v>
      </c>
      <c r="BQ43" s="183" t="s">
        <v>141</v>
      </c>
      <c r="BR43" s="184" t="s">
        <v>141</v>
      </c>
      <c r="BS43" s="185" t="s">
        <v>141</v>
      </c>
      <c r="BT43" s="186" t="s">
        <v>141</v>
      </c>
      <c r="BU43" s="187" t="s">
        <v>141</v>
      </c>
      <c r="BV43" s="188" t="s">
        <v>141</v>
      </c>
      <c r="BW43" s="189" t="s">
        <v>141</v>
      </c>
      <c r="BX43" s="190" t="s">
        <v>141</v>
      </c>
      <c r="BY43" s="191" t="s">
        <v>141</v>
      </c>
      <c r="BZ43" s="192" t="s">
        <v>141</v>
      </c>
      <c r="CA43" s="193" t="s">
        <v>141</v>
      </c>
      <c r="CB43" s="194" t="s">
        <v>141</v>
      </c>
      <c r="CC43" s="195" t="s">
        <v>141</v>
      </c>
      <c r="CD43" s="196" t="s">
        <v>141</v>
      </c>
      <c r="CE43" s="197" t="s">
        <v>141</v>
      </c>
      <c r="CF43" s="198" t="s">
        <v>141</v>
      </c>
      <c r="CG43" s="199" t="s">
        <v>141</v>
      </c>
      <c r="CH43" s="200" t="s">
        <v>141</v>
      </c>
      <c r="CI43" s="201" t="s">
        <v>141</v>
      </c>
      <c r="CJ43" s="202" t="s">
        <v>141</v>
      </c>
      <c r="CK43" s="203" t="s">
        <v>141</v>
      </c>
      <c r="CL43" s="204" t="s">
        <v>141</v>
      </c>
      <c r="CM43" s="205" t="s">
        <v>141</v>
      </c>
      <c r="CN43" s="206" t="s">
        <v>141</v>
      </c>
      <c r="CO43" s="207" t="s">
        <v>141</v>
      </c>
      <c r="CP43" s="208" t="s">
        <v>141</v>
      </c>
      <c r="CQ43" s="209" t="s">
        <v>141</v>
      </c>
      <c r="CR43" s="210" t="s">
        <v>141</v>
      </c>
      <c r="CS43" s="211" t="s">
        <v>141</v>
      </c>
      <c r="CT43" s="212" t="s">
        <v>141</v>
      </c>
      <c r="CU43" s="213" t="s">
        <v>141</v>
      </c>
      <c r="CV43" s="214" t="s">
        <v>141</v>
      </c>
      <c r="CW43" s="215" t="s">
        <v>141</v>
      </c>
      <c r="CX43" s="216">
        <v>11</v>
      </c>
      <c r="CY43" s="217" t="s">
        <v>150</v>
      </c>
      <c r="CZ43" s="218" t="s">
        <v>783</v>
      </c>
      <c r="DA43" s="219" t="s">
        <v>152</v>
      </c>
      <c r="DB43" s="220" t="s">
        <v>153</v>
      </c>
      <c r="DC43" s="221" t="s">
        <v>784</v>
      </c>
      <c r="DD43" s="222" t="s">
        <v>785</v>
      </c>
      <c r="DE43" s="223" t="s">
        <v>786</v>
      </c>
      <c r="DF43" s="224" t="s">
        <v>157</v>
      </c>
      <c r="DG43" s="225">
        <v>2017</v>
      </c>
      <c r="DH43" s="226" t="s">
        <v>787</v>
      </c>
      <c r="DI43" s="228" t="str">
        <f>HYPERLINK("https://my.pitchbook.com?c=123294-25T", "View company online")</f>
        <v>View company online</v>
      </c>
    </row>
    <row r="44" spans="1:113" x14ac:dyDescent="0.2">
      <c r="A44" s="3" t="s">
        <v>792</v>
      </c>
      <c r="B44" s="4" t="s">
        <v>769</v>
      </c>
      <c r="C44" s="5" t="s">
        <v>770</v>
      </c>
      <c r="D44" s="6" t="s">
        <v>771</v>
      </c>
      <c r="E44" s="7" t="s">
        <v>772</v>
      </c>
      <c r="F44" s="8" t="s">
        <v>126</v>
      </c>
      <c r="G44" s="9" t="s">
        <v>127</v>
      </c>
      <c r="H44" s="10" t="s">
        <v>128</v>
      </c>
      <c r="I44" s="11" t="s">
        <v>129</v>
      </c>
      <c r="J44" s="12" t="s">
        <v>773</v>
      </c>
      <c r="K44" s="13" t="s">
        <v>774</v>
      </c>
      <c r="L44" s="14" t="s">
        <v>132</v>
      </c>
      <c r="M44" s="15" t="s">
        <v>133</v>
      </c>
      <c r="N44" s="16" t="s">
        <v>170</v>
      </c>
      <c r="O44" s="17" t="s">
        <v>775</v>
      </c>
      <c r="P44" s="18" t="s">
        <v>776</v>
      </c>
      <c r="Q44" s="19" t="s">
        <v>777</v>
      </c>
      <c r="R44" s="20" t="s">
        <v>778</v>
      </c>
      <c r="S44" s="21" t="s">
        <v>779</v>
      </c>
      <c r="T44" s="22" t="s">
        <v>141</v>
      </c>
      <c r="U44" s="23">
        <v>8</v>
      </c>
      <c r="V44" s="24" t="s">
        <v>792</v>
      </c>
      <c r="W44" s="25" t="s">
        <v>141</v>
      </c>
      <c r="X44" s="26">
        <v>44025</v>
      </c>
      <c r="Y44" s="27">
        <v>0.02</v>
      </c>
      <c r="Z44" s="28" t="s">
        <v>177</v>
      </c>
      <c r="AA44" s="29">
        <v>0.31</v>
      </c>
      <c r="AB44" s="30">
        <v>0.33</v>
      </c>
      <c r="AC44" s="31" t="s">
        <v>177</v>
      </c>
      <c r="AD44" s="32">
        <v>6</v>
      </c>
      <c r="AE44" s="33">
        <v>0.65</v>
      </c>
      <c r="AF44" s="34" t="s">
        <v>141</v>
      </c>
      <c r="AG44" s="35" t="s">
        <v>141</v>
      </c>
      <c r="AH44" s="36" t="s">
        <v>141</v>
      </c>
      <c r="AI44" s="37" t="s">
        <v>141</v>
      </c>
      <c r="AJ44" s="38" t="s">
        <v>142</v>
      </c>
      <c r="AK44" s="39" t="s">
        <v>141</v>
      </c>
      <c r="AL44" s="40" t="s">
        <v>141</v>
      </c>
      <c r="AM44" s="41" t="s">
        <v>143</v>
      </c>
      <c r="AN44" s="42" t="s">
        <v>793</v>
      </c>
      <c r="AO44" s="43">
        <v>0.02</v>
      </c>
      <c r="AP44" s="44" t="s">
        <v>145</v>
      </c>
      <c r="AQ44" s="45" t="s">
        <v>141</v>
      </c>
      <c r="AR44" s="46" t="s">
        <v>141</v>
      </c>
      <c r="AS44" s="47" t="s">
        <v>141</v>
      </c>
      <c r="AT44" s="48" t="s">
        <v>141</v>
      </c>
      <c r="AU44" s="49" t="s">
        <v>141</v>
      </c>
      <c r="AV44" s="50" t="s">
        <v>141</v>
      </c>
      <c r="AW44" s="51" t="s">
        <v>141</v>
      </c>
      <c r="AX44" s="52" t="s">
        <v>141</v>
      </c>
      <c r="AY44" s="53" t="s">
        <v>141</v>
      </c>
      <c r="AZ44" s="54" t="s">
        <v>141</v>
      </c>
      <c r="BA44" s="55" t="s">
        <v>146</v>
      </c>
      <c r="BB44" s="56" t="s">
        <v>133</v>
      </c>
      <c r="BC44" s="57" t="s">
        <v>132</v>
      </c>
      <c r="BD44" s="58">
        <v>11</v>
      </c>
      <c r="BE44" s="59">
        <v>1</v>
      </c>
      <c r="BF44" s="60" t="s">
        <v>147</v>
      </c>
      <c r="BG44" s="61">
        <v>1</v>
      </c>
      <c r="BH44" s="62" t="s">
        <v>141</v>
      </c>
      <c r="BI44" s="63" t="s">
        <v>141</v>
      </c>
      <c r="BJ44" s="64" t="s">
        <v>141</v>
      </c>
      <c r="BK44" s="65" t="s">
        <v>148</v>
      </c>
      <c r="BL44" s="66" t="s">
        <v>147</v>
      </c>
      <c r="BM44" s="67" t="s">
        <v>147</v>
      </c>
      <c r="BN44" s="68" t="s">
        <v>141</v>
      </c>
      <c r="BO44" s="69" t="s">
        <v>141</v>
      </c>
      <c r="BP44" s="70" t="s">
        <v>141</v>
      </c>
      <c r="BQ44" s="71" t="s">
        <v>141</v>
      </c>
      <c r="BR44" s="72" t="s">
        <v>141</v>
      </c>
      <c r="BS44" s="73" t="s">
        <v>141</v>
      </c>
      <c r="BT44" s="74" t="s">
        <v>141</v>
      </c>
      <c r="BU44" s="75" t="s">
        <v>141</v>
      </c>
      <c r="BV44" s="76" t="s">
        <v>141</v>
      </c>
      <c r="BW44" s="77" t="s">
        <v>141</v>
      </c>
      <c r="BX44" s="78" t="s">
        <v>141</v>
      </c>
      <c r="BY44" s="79" t="s">
        <v>141</v>
      </c>
      <c r="BZ44" s="80" t="s">
        <v>141</v>
      </c>
      <c r="CA44" s="81" t="s">
        <v>141</v>
      </c>
      <c r="CB44" s="82" t="s">
        <v>141</v>
      </c>
      <c r="CC44" s="83" t="s">
        <v>141</v>
      </c>
      <c r="CD44" s="84" t="s">
        <v>141</v>
      </c>
      <c r="CE44" s="85" t="s">
        <v>141</v>
      </c>
      <c r="CF44" s="86" t="s">
        <v>141</v>
      </c>
      <c r="CG44" s="87" t="s">
        <v>141</v>
      </c>
      <c r="CH44" s="88" t="s">
        <v>141</v>
      </c>
      <c r="CI44" s="89" t="s">
        <v>141</v>
      </c>
      <c r="CJ44" s="90" t="s">
        <v>141</v>
      </c>
      <c r="CK44" s="91" t="s">
        <v>141</v>
      </c>
      <c r="CL44" s="92" t="s">
        <v>141</v>
      </c>
      <c r="CM44" s="93" t="s">
        <v>141</v>
      </c>
      <c r="CN44" s="94" t="s">
        <v>141</v>
      </c>
      <c r="CO44" s="95" t="s">
        <v>141</v>
      </c>
      <c r="CP44" s="96" t="s">
        <v>141</v>
      </c>
      <c r="CQ44" s="97" t="s">
        <v>141</v>
      </c>
      <c r="CR44" s="98" t="s">
        <v>141</v>
      </c>
      <c r="CS44" s="99" t="s">
        <v>141</v>
      </c>
      <c r="CT44" s="100" t="s">
        <v>141</v>
      </c>
      <c r="CU44" s="101" t="s">
        <v>141</v>
      </c>
      <c r="CV44" s="102" t="s">
        <v>141</v>
      </c>
      <c r="CW44" s="103" t="s">
        <v>141</v>
      </c>
      <c r="CX44" s="104">
        <v>11</v>
      </c>
      <c r="CY44" s="105" t="s">
        <v>150</v>
      </c>
      <c r="CZ44" s="106" t="s">
        <v>783</v>
      </c>
      <c r="DA44" s="107" t="s">
        <v>152</v>
      </c>
      <c r="DB44" s="108" t="s">
        <v>153</v>
      </c>
      <c r="DC44" s="109" t="s">
        <v>784</v>
      </c>
      <c r="DD44" s="110" t="s">
        <v>785</v>
      </c>
      <c r="DE44" s="111" t="s">
        <v>786</v>
      </c>
      <c r="DF44" s="112" t="s">
        <v>157</v>
      </c>
      <c r="DG44" s="113">
        <v>2017</v>
      </c>
      <c r="DH44" s="114" t="s">
        <v>787</v>
      </c>
      <c r="DI44" s="227" t="str">
        <f>HYPERLINK("https://my.pitchbook.com?c=156584-89T", "View company online")</f>
        <v>View company online</v>
      </c>
    </row>
    <row r="45" spans="1:113" x14ac:dyDescent="0.2">
      <c r="A45" s="115" t="s">
        <v>794</v>
      </c>
      <c r="B45" s="116" t="s">
        <v>795</v>
      </c>
      <c r="C45" s="117" t="s">
        <v>796</v>
      </c>
      <c r="D45" s="118" t="s">
        <v>797</v>
      </c>
      <c r="E45" s="119" t="s">
        <v>798</v>
      </c>
      <c r="F45" s="120" t="s">
        <v>126</v>
      </c>
      <c r="G45" s="121" t="s">
        <v>127</v>
      </c>
      <c r="H45" s="122" t="s">
        <v>128</v>
      </c>
      <c r="I45" s="123" t="s">
        <v>129</v>
      </c>
      <c r="J45" s="124" t="s">
        <v>141</v>
      </c>
      <c r="K45" s="125" t="s">
        <v>799</v>
      </c>
      <c r="L45" s="126" t="s">
        <v>132</v>
      </c>
      <c r="M45" s="127" t="s">
        <v>133</v>
      </c>
      <c r="N45" s="128" t="s">
        <v>134</v>
      </c>
      <c r="O45" s="129" t="s">
        <v>800</v>
      </c>
      <c r="P45" s="130" t="s">
        <v>801</v>
      </c>
      <c r="Q45" s="131" t="s">
        <v>802</v>
      </c>
      <c r="R45" s="132" t="s">
        <v>803</v>
      </c>
      <c r="S45" s="133" t="s">
        <v>804</v>
      </c>
      <c r="T45" s="134" t="s">
        <v>805</v>
      </c>
      <c r="U45" s="135">
        <v>7</v>
      </c>
      <c r="V45" s="136" t="s">
        <v>794</v>
      </c>
      <c r="W45" s="137" t="s">
        <v>141</v>
      </c>
      <c r="X45" s="138">
        <v>43489</v>
      </c>
      <c r="Y45" s="139" t="s">
        <v>141</v>
      </c>
      <c r="Z45" s="140" t="s">
        <v>141</v>
      </c>
      <c r="AA45" s="141" t="s">
        <v>141</v>
      </c>
      <c r="AB45" s="142" t="s">
        <v>141</v>
      </c>
      <c r="AC45" s="143" t="s">
        <v>141</v>
      </c>
      <c r="AD45" s="144" t="s">
        <v>141</v>
      </c>
      <c r="AE45" s="145">
        <v>98.85</v>
      </c>
      <c r="AF45" s="146" t="s">
        <v>141</v>
      </c>
      <c r="AG45" s="147" t="s">
        <v>141</v>
      </c>
      <c r="AH45" s="148" t="s">
        <v>141</v>
      </c>
      <c r="AI45" s="149" t="s">
        <v>141</v>
      </c>
      <c r="AJ45" s="150" t="s">
        <v>142</v>
      </c>
      <c r="AK45" s="151" t="s">
        <v>141</v>
      </c>
      <c r="AL45" s="152" t="s">
        <v>141</v>
      </c>
      <c r="AM45" s="153" t="s">
        <v>143</v>
      </c>
      <c r="AN45" s="154" t="s">
        <v>806</v>
      </c>
      <c r="AO45" s="155" t="s">
        <v>141</v>
      </c>
      <c r="AP45" s="156" t="s">
        <v>145</v>
      </c>
      <c r="AQ45" s="157" t="s">
        <v>141</v>
      </c>
      <c r="AR45" s="158" t="s">
        <v>141</v>
      </c>
      <c r="AS45" s="159" t="s">
        <v>141</v>
      </c>
      <c r="AT45" s="160" t="s">
        <v>141</v>
      </c>
      <c r="AU45" s="161" t="s">
        <v>141</v>
      </c>
      <c r="AV45" s="162" t="s">
        <v>141</v>
      </c>
      <c r="AW45" s="163" t="s">
        <v>141</v>
      </c>
      <c r="AX45" s="164" t="s">
        <v>141</v>
      </c>
      <c r="AY45" s="165" t="s">
        <v>141</v>
      </c>
      <c r="AZ45" s="166" t="s">
        <v>141</v>
      </c>
      <c r="BA45" s="167" t="s">
        <v>146</v>
      </c>
      <c r="BB45" s="168" t="s">
        <v>133</v>
      </c>
      <c r="BC45" s="169" t="s">
        <v>193</v>
      </c>
      <c r="BD45" s="170">
        <v>500</v>
      </c>
      <c r="BE45" s="171">
        <v>1</v>
      </c>
      <c r="BF45" s="172" t="s">
        <v>807</v>
      </c>
      <c r="BG45" s="173">
        <v>1</v>
      </c>
      <c r="BH45" s="174" t="s">
        <v>141</v>
      </c>
      <c r="BI45" s="175" t="s">
        <v>141</v>
      </c>
      <c r="BJ45" s="176" t="s">
        <v>141</v>
      </c>
      <c r="BK45" s="177" t="s">
        <v>808</v>
      </c>
      <c r="BL45" s="178" t="s">
        <v>809</v>
      </c>
      <c r="BM45" s="179" t="s">
        <v>809</v>
      </c>
      <c r="BN45" s="180" t="s">
        <v>141</v>
      </c>
      <c r="BO45" s="181" t="s">
        <v>141</v>
      </c>
      <c r="BP45" s="182" t="s">
        <v>141</v>
      </c>
      <c r="BQ45" s="183" t="s">
        <v>141</v>
      </c>
      <c r="BR45" s="184" t="s">
        <v>810</v>
      </c>
      <c r="BS45" s="185" t="s">
        <v>810</v>
      </c>
      <c r="BT45" s="186" t="s">
        <v>141</v>
      </c>
      <c r="BU45" s="187" t="s">
        <v>141</v>
      </c>
      <c r="BV45" s="188" t="s">
        <v>141</v>
      </c>
      <c r="BW45" s="189" t="s">
        <v>141</v>
      </c>
      <c r="BX45" s="190">
        <v>36</v>
      </c>
      <c r="BY45" s="191" t="s">
        <v>141</v>
      </c>
      <c r="BZ45" s="192" t="s">
        <v>141</v>
      </c>
      <c r="CA45" s="193">
        <v>-50</v>
      </c>
      <c r="CB45" s="194" t="s">
        <v>141</v>
      </c>
      <c r="CC45" s="195" t="s">
        <v>141</v>
      </c>
      <c r="CD45" s="196" t="s">
        <v>141</v>
      </c>
      <c r="CE45" s="197">
        <v>2018</v>
      </c>
      <c r="CF45" s="198" t="s">
        <v>141</v>
      </c>
      <c r="CG45" s="199" t="s">
        <v>141</v>
      </c>
      <c r="CH45" s="200" t="s">
        <v>141</v>
      </c>
      <c r="CI45" s="201" t="s">
        <v>141</v>
      </c>
      <c r="CJ45" s="202" t="s">
        <v>141</v>
      </c>
      <c r="CK45" s="203" t="s">
        <v>141</v>
      </c>
      <c r="CL45" s="204" t="s">
        <v>141</v>
      </c>
      <c r="CM45" s="205" t="s">
        <v>141</v>
      </c>
      <c r="CN45" s="206" t="s">
        <v>141</v>
      </c>
      <c r="CO45" s="207" t="s">
        <v>141</v>
      </c>
      <c r="CP45" s="208" t="s">
        <v>141</v>
      </c>
      <c r="CQ45" s="209" t="s">
        <v>141</v>
      </c>
      <c r="CR45" s="210" t="s">
        <v>141</v>
      </c>
      <c r="CS45" s="211" t="s">
        <v>141</v>
      </c>
      <c r="CT45" s="212" t="s">
        <v>141</v>
      </c>
      <c r="CU45" s="213" t="s">
        <v>141</v>
      </c>
      <c r="CV45" s="214" t="s">
        <v>141</v>
      </c>
      <c r="CW45" s="215" t="s">
        <v>141</v>
      </c>
      <c r="CX45" s="216">
        <v>900</v>
      </c>
      <c r="CY45" s="217" t="s">
        <v>150</v>
      </c>
      <c r="CZ45" s="218" t="s">
        <v>811</v>
      </c>
      <c r="DA45" s="219" t="s">
        <v>152</v>
      </c>
      <c r="DB45" s="220" t="s">
        <v>153</v>
      </c>
      <c r="DC45" s="221" t="s">
        <v>812</v>
      </c>
      <c r="DD45" s="222" t="s">
        <v>618</v>
      </c>
      <c r="DE45" s="223" t="s">
        <v>813</v>
      </c>
      <c r="DF45" s="224" t="s">
        <v>157</v>
      </c>
      <c r="DG45" s="225">
        <v>2013</v>
      </c>
      <c r="DH45" s="226" t="s">
        <v>814</v>
      </c>
      <c r="DI45" s="228" t="str">
        <f>HYPERLINK("https://my.pitchbook.com?c=116980-57T", "View company online")</f>
        <v>View company online</v>
      </c>
    </row>
    <row r="46" spans="1:113" x14ac:dyDescent="0.2">
      <c r="A46" s="3" t="s">
        <v>815</v>
      </c>
      <c r="B46" s="4" t="s">
        <v>816</v>
      </c>
      <c r="C46" s="5" t="s">
        <v>817</v>
      </c>
      <c r="D46" s="6" t="s">
        <v>818</v>
      </c>
      <c r="E46" s="7" t="s">
        <v>819</v>
      </c>
      <c r="F46" s="8" t="s">
        <v>126</v>
      </c>
      <c r="G46" s="9" t="s">
        <v>127</v>
      </c>
      <c r="H46" s="10" t="s">
        <v>128</v>
      </c>
      <c r="I46" s="11" t="s">
        <v>820</v>
      </c>
      <c r="J46" s="12" t="s">
        <v>821</v>
      </c>
      <c r="K46" s="13" t="s">
        <v>822</v>
      </c>
      <c r="L46" s="14" t="s">
        <v>740</v>
      </c>
      <c r="M46" s="15" t="s">
        <v>133</v>
      </c>
      <c r="N46" s="16" t="s">
        <v>823</v>
      </c>
      <c r="O46" s="17" t="s">
        <v>824</v>
      </c>
      <c r="P46" s="18" t="s">
        <v>825</v>
      </c>
      <c r="Q46" s="19" t="s">
        <v>141</v>
      </c>
      <c r="R46" s="20" t="s">
        <v>826</v>
      </c>
      <c r="S46" s="21" t="s">
        <v>827</v>
      </c>
      <c r="T46" s="22" t="s">
        <v>141</v>
      </c>
      <c r="U46" s="23">
        <v>1</v>
      </c>
      <c r="V46" s="24" t="s">
        <v>815</v>
      </c>
      <c r="W46" s="25" t="s">
        <v>141</v>
      </c>
      <c r="X46" s="26">
        <v>40603</v>
      </c>
      <c r="Y46" s="27">
        <v>0.06</v>
      </c>
      <c r="Z46" s="28" t="s">
        <v>177</v>
      </c>
      <c r="AA46" s="29" t="s">
        <v>141</v>
      </c>
      <c r="AB46" s="30" t="s">
        <v>141</v>
      </c>
      <c r="AC46" s="31" t="s">
        <v>141</v>
      </c>
      <c r="AD46" s="32" t="s">
        <v>141</v>
      </c>
      <c r="AE46" s="33">
        <v>0.06</v>
      </c>
      <c r="AF46" s="34" t="s">
        <v>141</v>
      </c>
      <c r="AG46" s="35" t="s">
        <v>141</v>
      </c>
      <c r="AH46" s="36" t="s">
        <v>141</v>
      </c>
      <c r="AI46" s="37" t="s">
        <v>141</v>
      </c>
      <c r="AJ46" s="38" t="s">
        <v>142</v>
      </c>
      <c r="AK46" s="39" t="s">
        <v>141</v>
      </c>
      <c r="AL46" s="40" t="s">
        <v>141</v>
      </c>
      <c r="AM46" s="41" t="s">
        <v>143</v>
      </c>
      <c r="AN46" s="42" t="s">
        <v>828</v>
      </c>
      <c r="AO46" s="43">
        <v>0.06</v>
      </c>
      <c r="AP46" s="44" t="s">
        <v>145</v>
      </c>
      <c r="AQ46" s="45" t="s">
        <v>141</v>
      </c>
      <c r="AR46" s="46" t="s">
        <v>141</v>
      </c>
      <c r="AS46" s="47" t="s">
        <v>141</v>
      </c>
      <c r="AT46" s="48" t="s">
        <v>141</v>
      </c>
      <c r="AU46" s="49" t="s">
        <v>141</v>
      </c>
      <c r="AV46" s="50" t="s">
        <v>141</v>
      </c>
      <c r="AW46" s="51" t="s">
        <v>141</v>
      </c>
      <c r="AX46" s="52" t="s">
        <v>141</v>
      </c>
      <c r="AY46" s="53" t="s">
        <v>141</v>
      </c>
      <c r="AZ46" s="54" t="s">
        <v>141</v>
      </c>
      <c r="BA46" s="55" t="s">
        <v>146</v>
      </c>
      <c r="BB46" s="56" t="s">
        <v>263</v>
      </c>
      <c r="BC46" s="57" t="s">
        <v>193</v>
      </c>
      <c r="BD46" s="58" t="s">
        <v>141</v>
      </c>
      <c r="BE46" s="59">
        <v>1</v>
      </c>
      <c r="BF46" s="60" t="s">
        <v>829</v>
      </c>
      <c r="BG46" s="61">
        <v>1</v>
      </c>
      <c r="BH46" s="62" t="s">
        <v>141</v>
      </c>
      <c r="BI46" s="63" t="s">
        <v>141</v>
      </c>
      <c r="BJ46" s="64" t="s">
        <v>141</v>
      </c>
      <c r="BK46" s="65" t="s">
        <v>830</v>
      </c>
      <c r="BL46" s="66" t="s">
        <v>831</v>
      </c>
      <c r="BM46" s="67" t="s">
        <v>831</v>
      </c>
      <c r="BN46" s="68" t="s">
        <v>141</v>
      </c>
      <c r="BO46" s="69" t="s">
        <v>141</v>
      </c>
      <c r="BP46" s="70" t="s">
        <v>141</v>
      </c>
      <c r="BQ46" s="71" t="s">
        <v>141</v>
      </c>
      <c r="BR46" s="72" t="s">
        <v>221</v>
      </c>
      <c r="BS46" s="73" t="s">
        <v>221</v>
      </c>
      <c r="BT46" s="74" t="s">
        <v>141</v>
      </c>
      <c r="BU46" s="75" t="s">
        <v>141</v>
      </c>
      <c r="BV46" s="76" t="s">
        <v>141</v>
      </c>
      <c r="BW46" s="77" t="s">
        <v>141</v>
      </c>
      <c r="BX46" s="78" t="s">
        <v>141</v>
      </c>
      <c r="BY46" s="79" t="s">
        <v>141</v>
      </c>
      <c r="BZ46" s="80" t="s">
        <v>141</v>
      </c>
      <c r="CA46" s="81" t="s">
        <v>141</v>
      </c>
      <c r="CB46" s="82" t="s">
        <v>141</v>
      </c>
      <c r="CC46" s="83" t="s">
        <v>141</v>
      </c>
      <c r="CD46" s="84" t="s">
        <v>141</v>
      </c>
      <c r="CE46" s="85" t="s">
        <v>141</v>
      </c>
      <c r="CF46" s="86" t="s">
        <v>141</v>
      </c>
      <c r="CG46" s="87" t="s">
        <v>141</v>
      </c>
      <c r="CH46" s="88" t="s">
        <v>141</v>
      </c>
      <c r="CI46" s="89" t="s">
        <v>141</v>
      </c>
      <c r="CJ46" s="90" t="s">
        <v>141</v>
      </c>
      <c r="CK46" s="91" t="s">
        <v>141</v>
      </c>
      <c r="CL46" s="92" t="s">
        <v>141</v>
      </c>
      <c r="CM46" s="93" t="s">
        <v>141</v>
      </c>
      <c r="CN46" s="94" t="s">
        <v>141</v>
      </c>
      <c r="CO46" s="95" t="s">
        <v>141</v>
      </c>
      <c r="CP46" s="96" t="s">
        <v>141</v>
      </c>
      <c r="CQ46" s="97" t="s">
        <v>141</v>
      </c>
      <c r="CR46" s="98" t="s">
        <v>141</v>
      </c>
      <c r="CS46" s="99" t="s">
        <v>141</v>
      </c>
      <c r="CT46" s="100" t="s">
        <v>141</v>
      </c>
      <c r="CU46" s="101" t="s">
        <v>141</v>
      </c>
      <c r="CV46" s="102" t="s">
        <v>141</v>
      </c>
      <c r="CW46" s="103" t="s">
        <v>141</v>
      </c>
      <c r="CX46" s="104">
        <v>1000</v>
      </c>
      <c r="CY46" s="105" t="s">
        <v>150</v>
      </c>
      <c r="CZ46" s="106" t="s">
        <v>180</v>
      </c>
      <c r="DA46" s="107" t="s">
        <v>152</v>
      </c>
      <c r="DB46" s="108" t="s">
        <v>153</v>
      </c>
      <c r="DC46" s="109" t="s">
        <v>181</v>
      </c>
      <c r="DD46" s="110" t="s">
        <v>182</v>
      </c>
      <c r="DE46" s="111" t="s">
        <v>469</v>
      </c>
      <c r="DF46" s="112" t="s">
        <v>157</v>
      </c>
      <c r="DG46" s="113">
        <v>2010</v>
      </c>
      <c r="DH46" s="114" t="s">
        <v>832</v>
      </c>
      <c r="DI46" s="227" t="str">
        <f>HYPERLINK("https://my.pitchbook.com?c=75376-99T", "View company online")</f>
        <v>View company online</v>
      </c>
    </row>
    <row r="47" spans="1:113" x14ac:dyDescent="0.2">
      <c r="A47" s="115" t="s">
        <v>833</v>
      </c>
      <c r="B47" s="116" t="s">
        <v>834</v>
      </c>
      <c r="C47" s="117" t="s">
        <v>835</v>
      </c>
      <c r="D47" s="118" t="s">
        <v>836</v>
      </c>
      <c r="E47" s="119" t="s">
        <v>837</v>
      </c>
      <c r="F47" s="120" t="s">
        <v>126</v>
      </c>
      <c r="G47" s="121" t="s">
        <v>127</v>
      </c>
      <c r="H47" s="122" t="s">
        <v>128</v>
      </c>
      <c r="I47" s="123" t="s">
        <v>318</v>
      </c>
      <c r="J47" s="124" t="s">
        <v>838</v>
      </c>
      <c r="K47" s="125" t="s">
        <v>839</v>
      </c>
      <c r="L47" s="126" t="s">
        <v>132</v>
      </c>
      <c r="M47" s="127" t="s">
        <v>133</v>
      </c>
      <c r="N47" s="128" t="s">
        <v>134</v>
      </c>
      <c r="O47" s="129" t="s">
        <v>840</v>
      </c>
      <c r="P47" s="130" t="s">
        <v>841</v>
      </c>
      <c r="Q47" s="131" t="s">
        <v>842</v>
      </c>
      <c r="R47" s="132" t="s">
        <v>843</v>
      </c>
      <c r="S47" s="133" t="s">
        <v>844</v>
      </c>
      <c r="T47" s="134" t="s">
        <v>845</v>
      </c>
      <c r="U47" s="135">
        <v>1</v>
      </c>
      <c r="V47" s="136" t="s">
        <v>833</v>
      </c>
      <c r="W47" s="137" t="s">
        <v>141</v>
      </c>
      <c r="X47" s="138" t="s">
        <v>141</v>
      </c>
      <c r="Y47" s="139" t="s">
        <v>141</v>
      </c>
      <c r="Z47" s="140" t="s">
        <v>141</v>
      </c>
      <c r="AA47" s="141" t="s">
        <v>141</v>
      </c>
      <c r="AB47" s="142" t="s">
        <v>141</v>
      </c>
      <c r="AC47" s="143" t="s">
        <v>141</v>
      </c>
      <c r="AD47" s="144">
        <v>2</v>
      </c>
      <c r="AE47" s="145" t="s">
        <v>141</v>
      </c>
      <c r="AF47" s="146" t="s">
        <v>141</v>
      </c>
      <c r="AG47" s="147" t="s">
        <v>141</v>
      </c>
      <c r="AH47" s="148" t="s">
        <v>141</v>
      </c>
      <c r="AI47" s="149" t="s">
        <v>141</v>
      </c>
      <c r="AJ47" s="150" t="s">
        <v>142</v>
      </c>
      <c r="AK47" s="151" t="s">
        <v>141</v>
      </c>
      <c r="AL47" s="152" t="s">
        <v>141</v>
      </c>
      <c r="AM47" s="153" t="s">
        <v>143</v>
      </c>
      <c r="AN47" s="154" t="s">
        <v>846</v>
      </c>
      <c r="AO47" s="155" t="s">
        <v>141</v>
      </c>
      <c r="AP47" s="156" t="s">
        <v>145</v>
      </c>
      <c r="AQ47" s="157" t="s">
        <v>141</v>
      </c>
      <c r="AR47" s="158" t="s">
        <v>141</v>
      </c>
      <c r="AS47" s="159" t="s">
        <v>141</v>
      </c>
      <c r="AT47" s="160" t="s">
        <v>141</v>
      </c>
      <c r="AU47" s="161" t="s">
        <v>141</v>
      </c>
      <c r="AV47" s="162" t="s">
        <v>141</v>
      </c>
      <c r="AW47" s="163" t="s">
        <v>141</v>
      </c>
      <c r="AX47" s="164" t="s">
        <v>141</v>
      </c>
      <c r="AY47" s="165" t="s">
        <v>141</v>
      </c>
      <c r="AZ47" s="166" t="s">
        <v>141</v>
      </c>
      <c r="BA47" s="167" t="s">
        <v>146</v>
      </c>
      <c r="BB47" s="168" t="s">
        <v>263</v>
      </c>
      <c r="BC47" s="169" t="s">
        <v>193</v>
      </c>
      <c r="BD47" s="170" t="s">
        <v>141</v>
      </c>
      <c r="BE47" s="171">
        <v>2</v>
      </c>
      <c r="BF47" s="172" t="s">
        <v>847</v>
      </c>
      <c r="BG47" s="173">
        <v>2</v>
      </c>
      <c r="BH47" s="174" t="s">
        <v>141</v>
      </c>
      <c r="BI47" s="175" t="s">
        <v>141</v>
      </c>
      <c r="BJ47" s="176" t="s">
        <v>141</v>
      </c>
      <c r="BK47" s="177" t="s">
        <v>848</v>
      </c>
      <c r="BL47" s="178" t="s">
        <v>847</v>
      </c>
      <c r="BM47" s="179" t="s">
        <v>238</v>
      </c>
      <c r="BN47" s="180" t="s">
        <v>141</v>
      </c>
      <c r="BO47" s="181" t="s">
        <v>141</v>
      </c>
      <c r="BP47" s="182" t="s">
        <v>141</v>
      </c>
      <c r="BQ47" s="183" t="s">
        <v>141</v>
      </c>
      <c r="BR47" s="184" t="s">
        <v>141</v>
      </c>
      <c r="BS47" s="185" t="s">
        <v>141</v>
      </c>
      <c r="BT47" s="186" t="s">
        <v>141</v>
      </c>
      <c r="BU47" s="187" t="s">
        <v>141</v>
      </c>
      <c r="BV47" s="188" t="s">
        <v>141</v>
      </c>
      <c r="BW47" s="189" t="s">
        <v>141</v>
      </c>
      <c r="BX47" s="190" t="s">
        <v>141</v>
      </c>
      <c r="BY47" s="191" t="s">
        <v>141</v>
      </c>
      <c r="BZ47" s="192" t="s">
        <v>141</v>
      </c>
      <c r="CA47" s="193" t="s">
        <v>141</v>
      </c>
      <c r="CB47" s="194" t="s">
        <v>141</v>
      </c>
      <c r="CC47" s="195" t="s">
        <v>141</v>
      </c>
      <c r="CD47" s="196" t="s">
        <v>141</v>
      </c>
      <c r="CE47" s="197" t="s">
        <v>141</v>
      </c>
      <c r="CF47" s="198" t="s">
        <v>141</v>
      </c>
      <c r="CG47" s="199" t="s">
        <v>141</v>
      </c>
      <c r="CH47" s="200" t="s">
        <v>141</v>
      </c>
      <c r="CI47" s="201" t="s">
        <v>141</v>
      </c>
      <c r="CJ47" s="202" t="s">
        <v>141</v>
      </c>
      <c r="CK47" s="203" t="s">
        <v>141</v>
      </c>
      <c r="CL47" s="204" t="s">
        <v>141</v>
      </c>
      <c r="CM47" s="205" t="s">
        <v>141</v>
      </c>
      <c r="CN47" s="206" t="s">
        <v>141</v>
      </c>
      <c r="CO47" s="207" t="s">
        <v>141</v>
      </c>
      <c r="CP47" s="208" t="s">
        <v>141</v>
      </c>
      <c r="CQ47" s="209" t="s">
        <v>141</v>
      </c>
      <c r="CR47" s="210" t="s">
        <v>141</v>
      </c>
      <c r="CS47" s="211" t="s">
        <v>141</v>
      </c>
      <c r="CT47" s="212" t="s">
        <v>141</v>
      </c>
      <c r="CU47" s="213" t="s">
        <v>141</v>
      </c>
      <c r="CV47" s="214" t="s">
        <v>141</v>
      </c>
      <c r="CW47" s="215" t="s">
        <v>141</v>
      </c>
      <c r="CX47" s="216">
        <v>5</v>
      </c>
      <c r="CY47" s="217" t="s">
        <v>150</v>
      </c>
      <c r="CZ47" s="218" t="s">
        <v>240</v>
      </c>
      <c r="DA47" s="219" t="s">
        <v>152</v>
      </c>
      <c r="DB47" s="220" t="s">
        <v>153</v>
      </c>
      <c r="DC47" s="221" t="s">
        <v>241</v>
      </c>
      <c r="DD47" s="222" t="s">
        <v>242</v>
      </c>
      <c r="DE47" s="223" t="s">
        <v>849</v>
      </c>
      <c r="DF47" s="224" t="s">
        <v>157</v>
      </c>
      <c r="DG47" s="225">
        <v>2013</v>
      </c>
      <c r="DH47" s="226" t="s">
        <v>850</v>
      </c>
      <c r="DI47" s="228" t="str">
        <f>HYPERLINK("https://my.pitchbook.com?c=71202-70T", "View company online")</f>
        <v>View company online</v>
      </c>
    </row>
    <row r="48" spans="1:113" x14ac:dyDescent="0.2">
      <c r="A48" s="3" t="s">
        <v>851</v>
      </c>
      <c r="B48" s="4" t="s">
        <v>834</v>
      </c>
      <c r="C48" s="5" t="s">
        <v>835</v>
      </c>
      <c r="D48" s="6" t="s">
        <v>836</v>
      </c>
      <c r="E48" s="7" t="s">
        <v>837</v>
      </c>
      <c r="F48" s="8" t="s">
        <v>126</v>
      </c>
      <c r="G48" s="9" t="s">
        <v>127</v>
      </c>
      <c r="H48" s="10" t="s">
        <v>128</v>
      </c>
      <c r="I48" s="11" t="s">
        <v>318</v>
      </c>
      <c r="J48" s="12" t="s">
        <v>838</v>
      </c>
      <c r="K48" s="13" t="s">
        <v>839</v>
      </c>
      <c r="L48" s="14" t="s">
        <v>132</v>
      </c>
      <c r="M48" s="15" t="s">
        <v>133</v>
      </c>
      <c r="N48" s="16" t="s">
        <v>134</v>
      </c>
      <c r="O48" s="17" t="s">
        <v>840</v>
      </c>
      <c r="P48" s="18" t="s">
        <v>841</v>
      </c>
      <c r="Q48" s="19" t="s">
        <v>842</v>
      </c>
      <c r="R48" s="20" t="s">
        <v>843</v>
      </c>
      <c r="S48" s="21" t="s">
        <v>844</v>
      </c>
      <c r="T48" s="22" t="s">
        <v>845</v>
      </c>
      <c r="U48" s="23">
        <v>2</v>
      </c>
      <c r="V48" s="24" t="s">
        <v>851</v>
      </c>
      <c r="W48" s="25" t="s">
        <v>141</v>
      </c>
      <c r="X48" s="26">
        <v>42759</v>
      </c>
      <c r="Y48" s="27">
        <v>0.51</v>
      </c>
      <c r="Z48" s="28" t="s">
        <v>177</v>
      </c>
      <c r="AA48" s="29" t="s">
        <v>141</v>
      </c>
      <c r="AB48" s="30" t="s">
        <v>141</v>
      </c>
      <c r="AC48" s="31" t="s">
        <v>141</v>
      </c>
      <c r="AD48" s="32" t="s">
        <v>141</v>
      </c>
      <c r="AE48" s="33">
        <v>0.51</v>
      </c>
      <c r="AF48" s="34" t="s">
        <v>141</v>
      </c>
      <c r="AG48" s="35" t="s">
        <v>141</v>
      </c>
      <c r="AH48" s="36" t="s">
        <v>141</v>
      </c>
      <c r="AI48" s="37" t="s">
        <v>141</v>
      </c>
      <c r="AJ48" s="38" t="s">
        <v>142</v>
      </c>
      <c r="AK48" s="39" t="s">
        <v>141</v>
      </c>
      <c r="AL48" s="40" t="s">
        <v>141</v>
      </c>
      <c r="AM48" s="41" t="s">
        <v>143</v>
      </c>
      <c r="AN48" s="42" t="s">
        <v>852</v>
      </c>
      <c r="AO48" s="43">
        <v>0.51</v>
      </c>
      <c r="AP48" s="44" t="s">
        <v>145</v>
      </c>
      <c r="AQ48" s="45" t="s">
        <v>141</v>
      </c>
      <c r="AR48" s="46" t="s">
        <v>141</v>
      </c>
      <c r="AS48" s="47" t="s">
        <v>141</v>
      </c>
      <c r="AT48" s="48" t="s">
        <v>141</v>
      </c>
      <c r="AU48" s="49" t="s">
        <v>141</v>
      </c>
      <c r="AV48" s="50" t="s">
        <v>141</v>
      </c>
      <c r="AW48" s="51" t="s">
        <v>141</v>
      </c>
      <c r="AX48" s="52" t="s">
        <v>141</v>
      </c>
      <c r="AY48" s="53" t="s">
        <v>141</v>
      </c>
      <c r="AZ48" s="54" t="s">
        <v>141</v>
      </c>
      <c r="BA48" s="55" t="s">
        <v>146</v>
      </c>
      <c r="BB48" s="56" t="s">
        <v>133</v>
      </c>
      <c r="BC48" s="57" t="s">
        <v>132</v>
      </c>
      <c r="BD48" s="58" t="s">
        <v>141</v>
      </c>
      <c r="BE48" s="59">
        <v>1</v>
      </c>
      <c r="BF48" s="60" t="s">
        <v>147</v>
      </c>
      <c r="BG48" s="61">
        <v>1</v>
      </c>
      <c r="BH48" s="62" t="s">
        <v>141</v>
      </c>
      <c r="BI48" s="63" t="s">
        <v>141</v>
      </c>
      <c r="BJ48" s="64" t="s">
        <v>141</v>
      </c>
      <c r="BK48" s="65" t="s">
        <v>148</v>
      </c>
      <c r="BL48" s="66" t="s">
        <v>147</v>
      </c>
      <c r="BM48" s="67" t="s">
        <v>147</v>
      </c>
      <c r="BN48" s="68" t="s">
        <v>141</v>
      </c>
      <c r="BO48" s="69" t="s">
        <v>141</v>
      </c>
      <c r="BP48" s="70" t="s">
        <v>141</v>
      </c>
      <c r="BQ48" s="71" t="s">
        <v>141</v>
      </c>
      <c r="BR48" s="72" t="s">
        <v>141</v>
      </c>
      <c r="BS48" s="73" t="s">
        <v>141</v>
      </c>
      <c r="BT48" s="74" t="s">
        <v>141</v>
      </c>
      <c r="BU48" s="75" t="s">
        <v>141</v>
      </c>
      <c r="BV48" s="76" t="s">
        <v>141</v>
      </c>
      <c r="BW48" s="77" t="s">
        <v>141</v>
      </c>
      <c r="BX48" s="78" t="s">
        <v>141</v>
      </c>
      <c r="BY48" s="79" t="s">
        <v>141</v>
      </c>
      <c r="BZ48" s="80" t="s">
        <v>141</v>
      </c>
      <c r="CA48" s="81" t="s">
        <v>141</v>
      </c>
      <c r="CB48" s="82" t="s">
        <v>141</v>
      </c>
      <c r="CC48" s="83" t="s">
        <v>141</v>
      </c>
      <c r="CD48" s="84" t="s">
        <v>141</v>
      </c>
      <c r="CE48" s="85" t="s">
        <v>141</v>
      </c>
      <c r="CF48" s="86" t="s">
        <v>141</v>
      </c>
      <c r="CG48" s="87" t="s">
        <v>141</v>
      </c>
      <c r="CH48" s="88" t="s">
        <v>141</v>
      </c>
      <c r="CI48" s="89" t="s">
        <v>141</v>
      </c>
      <c r="CJ48" s="90" t="s">
        <v>141</v>
      </c>
      <c r="CK48" s="91" t="s">
        <v>141</v>
      </c>
      <c r="CL48" s="92" t="s">
        <v>141</v>
      </c>
      <c r="CM48" s="93" t="s">
        <v>141</v>
      </c>
      <c r="CN48" s="94" t="s">
        <v>141</v>
      </c>
      <c r="CO48" s="95" t="s">
        <v>141</v>
      </c>
      <c r="CP48" s="96" t="s">
        <v>141</v>
      </c>
      <c r="CQ48" s="97" t="s">
        <v>141</v>
      </c>
      <c r="CR48" s="98" t="s">
        <v>141</v>
      </c>
      <c r="CS48" s="99" t="s">
        <v>141</v>
      </c>
      <c r="CT48" s="100" t="s">
        <v>141</v>
      </c>
      <c r="CU48" s="101" t="s">
        <v>141</v>
      </c>
      <c r="CV48" s="102" t="s">
        <v>141</v>
      </c>
      <c r="CW48" s="103" t="s">
        <v>141</v>
      </c>
      <c r="CX48" s="104">
        <v>5</v>
      </c>
      <c r="CY48" s="105" t="s">
        <v>150</v>
      </c>
      <c r="CZ48" s="106" t="s">
        <v>240</v>
      </c>
      <c r="DA48" s="107" t="s">
        <v>152</v>
      </c>
      <c r="DB48" s="108" t="s">
        <v>153</v>
      </c>
      <c r="DC48" s="109" t="s">
        <v>241</v>
      </c>
      <c r="DD48" s="110" t="s">
        <v>242</v>
      </c>
      <c r="DE48" s="111" t="s">
        <v>849</v>
      </c>
      <c r="DF48" s="112" t="s">
        <v>157</v>
      </c>
      <c r="DG48" s="113">
        <v>2013</v>
      </c>
      <c r="DH48" s="114" t="s">
        <v>850</v>
      </c>
      <c r="DI48" s="227" t="str">
        <f>HYPERLINK("https://my.pitchbook.com?c=92666-35T", "View company online")</f>
        <v>View company online</v>
      </c>
    </row>
    <row r="49" spans="1:113" x14ac:dyDescent="0.2">
      <c r="A49" s="115" t="s">
        <v>853</v>
      </c>
      <c r="B49" s="116" t="s">
        <v>854</v>
      </c>
      <c r="C49" s="117" t="s">
        <v>855</v>
      </c>
      <c r="D49" s="118" t="s">
        <v>856</v>
      </c>
      <c r="E49" s="119" t="s">
        <v>857</v>
      </c>
      <c r="F49" s="120" t="s">
        <v>126</v>
      </c>
      <c r="G49" s="121" t="s">
        <v>127</v>
      </c>
      <c r="H49" s="122" t="s">
        <v>128</v>
      </c>
      <c r="I49" s="123" t="s">
        <v>129</v>
      </c>
      <c r="J49" s="124" t="s">
        <v>130</v>
      </c>
      <c r="K49" s="125" t="s">
        <v>858</v>
      </c>
      <c r="L49" s="126" t="s">
        <v>132</v>
      </c>
      <c r="M49" s="127" t="s">
        <v>133</v>
      </c>
      <c r="N49" s="128" t="s">
        <v>170</v>
      </c>
      <c r="O49" s="129" t="s">
        <v>859</v>
      </c>
      <c r="P49" s="130" t="s">
        <v>860</v>
      </c>
      <c r="Q49" s="131" t="s">
        <v>861</v>
      </c>
      <c r="R49" s="132" t="s">
        <v>862</v>
      </c>
      <c r="S49" s="133" t="s">
        <v>863</v>
      </c>
      <c r="T49" s="134" t="s">
        <v>141</v>
      </c>
      <c r="U49" s="135">
        <v>1</v>
      </c>
      <c r="V49" s="136" t="s">
        <v>853</v>
      </c>
      <c r="W49" s="137" t="s">
        <v>141</v>
      </c>
      <c r="X49" s="138">
        <v>42370</v>
      </c>
      <c r="Y49" s="139" t="s">
        <v>141</v>
      </c>
      <c r="Z49" s="140" t="s">
        <v>141</v>
      </c>
      <c r="AA49" s="141" t="s">
        <v>141</v>
      </c>
      <c r="AB49" s="142" t="s">
        <v>141</v>
      </c>
      <c r="AC49" s="143" t="s">
        <v>141</v>
      </c>
      <c r="AD49" s="144" t="s">
        <v>141</v>
      </c>
      <c r="AE49" s="145" t="s">
        <v>141</v>
      </c>
      <c r="AF49" s="146" t="s">
        <v>141</v>
      </c>
      <c r="AG49" s="147" t="s">
        <v>141</v>
      </c>
      <c r="AH49" s="148" t="s">
        <v>141</v>
      </c>
      <c r="AI49" s="149" t="s">
        <v>141</v>
      </c>
      <c r="AJ49" s="150" t="s">
        <v>142</v>
      </c>
      <c r="AK49" s="151" t="s">
        <v>141</v>
      </c>
      <c r="AL49" s="152" t="s">
        <v>141</v>
      </c>
      <c r="AM49" s="153" t="s">
        <v>143</v>
      </c>
      <c r="AN49" s="154" t="s">
        <v>864</v>
      </c>
      <c r="AO49" s="155" t="s">
        <v>141</v>
      </c>
      <c r="AP49" s="156" t="s">
        <v>145</v>
      </c>
      <c r="AQ49" s="157" t="s">
        <v>141</v>
      </c>
      <c r="AR49" s="158" t="s">
        <v>141</v>
      </c>
      <c r="AS49" s="159" t="s">
        <v>141</v>
      </c>
      <c r="AT49" s="160" t="s">
        <v>141</v>
      </c>
      <c r="AU49" s="161" t="s">
        <v>141</v>
      </c>
      <c r="AV49" s="162" t="s">
        <v>141</v>
      </c>
      <c r="AW49" s="163" t="s">
        <v>141</v>
      </c>
      <c r="AX49" s="164" t="s">
        <v>141</v>
      </c>
      <c r="AY49" s="165" t="s">
        <v>141</v>
      </c>
      <c r="AZ49" s="166" t="s">
        <v>141</v>
      </c>
      <c r="BA49" s="167" t="s">
        <v>146</v>
      </c>
      <c r="BB49" s="168" t="s">
        <v>133</v>
      </c>
      <c r="BC49" s="169" t="s">
        <v>193</v>
      </c>
      <c r="BD49" s="170" t="s">
        <v>141</v>
      </c>
      <c r="BE49" s="171">
        <v>1</v>
      </c>
      <c r="BF49" s="172" t="s">
        <v>292</v>
      </c>
      <c r="BG49" s="173">
        <v>1</v>
      </c>
      <c r="BH49" s="174" t="s">
        <v>141</v>
      </c>
      <c r="BI49" s="175" t="s">
        <v>141</v>
      </c>
      <c r="BJ49" s="176" t="s">
        <v>141</v>
      </c>
      <c r="BK49" s="177" t="s">
        <v>293</v>
      </c>
      <c r="BL49" s="178" t="s">
        <v>292</v>
      </c>
      <c r="BM49" s="179" t="s">
        <v>292</v>
      </c>
      <c r="BN49" s="180" t="s">
        <v>141</v>
      </c>
      <c r="BO49" s="181" t="s">
        <v>141</v>
      </c>
      <c r="BP49" s="182" t="s">
        <v>141</v>
      </c>
      <c r="BQ49" s="183" t="s">
        <v>141</v>
      </c>
      <c r="BR49" s="184" t="s">
        <v>141</v>
      </c>
      <c r="BS49" s="185" t="s">
        <v>141</v>
      </c>
      <c r="BT49" s="186" t="s">
        <v>141</v>
      </c>
      <c r="BU49" s="187" t="s">
        <v>141</v>
      </c>
      <c r="BV49" s="188" t="s">
        <v>141</v>
      </c>
      <c r="BW49" s="189" t="s">
        <v>141</v>
      </c>
      <c r="BX49" s="190" t="s">
        <v>141</v>
      </c>
      <c r="BY49" s="191" t="s">
        <v>141</v>
      </c>
      <c r="BZ49" s="192" t="s">
        <v>141</v>
      </c>
      <c r="CA49" s="193" t="s">
        <v>141</v>
      </c>
      <c r="CB49" s="194" t="s">
        <v>141</v>
      </c>
      <c r="CC49" s="195" t="s">
        <v>141</v>
      </c>
      <c r="CD49" s="196" t="s">
        <v>141</v>
      </c>
      <c r="CE49" s="197" t="s">
        <v>141</v>
      </c>
      <c r="CF49" s="198" t="s">
        <v>141</v>
      </c>
      <c r="CG49" s="199" t="s">
        <v>141</v>
      </c>
      <c r="CH49" s="200" t="s">
        <v>141</v>
      </c>
      <c r="CI49" s="201" t="s">
        <v>141</v>
      </c>
      <c r="CJ49" s="202" t="s">
        <v>141</v>
      </c>
      <c r="CK49" s="203" t="s">
        <v>141</v>
      </c>
      <c r="CL49" s="204" t="s">
        <v>141</v>
      </c>
      <c r="CM49" s="205" t="s">
        <v>141</v>
      </c>
      <c r="CN49" s="206" t="s">
        <v>141</v>
      </c>
      <c r="CO49" s="207" t="s">
        <v>141</v>
      </c>
      <c r="CP49" s="208" t="s">
        <v>141</v>
      </c>
      <c r="CQ49" s="209" t="s">
        <v>141</v>
      </c>
      <c r="CR49" s="210" t="s">
        <v>141</v>
      </c>
      <c r="CS49" s="211" t="s">
        <v>141</v>
      </c>
      <c r="CT49" s="212" t="s">
        <v>141</v>
      </c>
      <c r="CU49" s="213" t="s">
        <v>141</v>
      </c>
      <c r="CV49" s="214" t="s">
        <v>141</v>
      </c>
      <c r="CW49" s="215" t="s">
        <v>141</v>
      </c>
      <c r="CX49" s="216" t="s">
        <v>141</v>
      </c>
      <c r="CY49" s="217" t="s">
        <v>150</v>
      </c>
      <c r="CZ49" s="218" t="s">
        <v>240</v>
      </c>
      <c r="DA49" s="219" t="s">
        <v>152</v>
      </c>
      <c r="DB49" s="220" t="s">
        <v>153</v>
      </c>
      <c r="DC49" s="221" t="s">
        <v>241</v>
      </c>
      <c r="DD49" s="222" t="s">
        <v>242</v>
      </c>
      <c r="DE49" s="223" t="s">
        <v>283</v>
      </c>
      <c r="DF49" s="224" t="s">
        <v>157</v>
      </c>
      <c r="DG49" s="225">
        <v>2015</v>
      </c>
      <c r="DH49" s="226" t="s">
        <v>865</v>
      </c>
      <c r="DI49" s="228" t="str">
        <f>HYPERLINK("https://my.pitchbook.com?c=98964-55T", "View company online")</f>
        <v>View company online</v>
      </c>
    </row>
    <row r="50" spans="1:113" x14ac:dyDescent="0.2">
      <c r="A50" s="3" t="s">
        <v>866</v>
      </c>
      <c r="B50" s="4" t="s">
        <v>854</v>
      </c>
      <c r="C50" s="5" t="s">
        <v>855</v>
      </c>
      <c r="D50" s="6" t="s">
        <v>856</v>
      </c>
      <c r="E50" s="7" t="s">
        <v>857</v>
      </c>
      <c r="F50" s="8" t="s">
        <v>126</v>
      </c>
      <c r="G50" s="9" t="s">
        <v>127</v>
      </c>
      <c r="H50" s="10" t="s">
        <v>128</v>
      </c>
      <c r="I50" s="11" t="s">
        <v>129</v>
      </c>
      <c r="J50" s="12" t="s">
        <v>130</v>
      </c>
      <c r="K50" s="13" t="s">
        <v>858</v>
      </c>
      <c r="L50" s="14" t="s">
        <v>132</v>
      </c>
      <c r="M50" s="15" t="s">
        <v>133</v>
      </c>
      <c r="N50" s="16" t="s">
        <v>170</v>
      </c>
      <c r="O50" s="17" t="s">
        <v>859</v>
      </c>
      <c r="P50" s="18" t="s">
        <v>860</v>
      </c>
      <c r="Q50" s="19" t="s">
        <v>861</v>
      </c>
      <c r="R50" s="20" t="s">
        <v>862</v>
      </c>
      <c r="S50" s="21" t="s">
        <v>863</v>
      </c>
      <c r="T50" s="22" t="s">
        <v>141</v>
      </c>
      <c r="U50" s="23">
        <v>2</v>
      </c>
      <c r="V50" s="24" t="s">
        <v>866</v>
      </c>
      <c r="W50" s="25" t="s">
        <v>141</v>
      </c>
      <c r="X50" s="26">
        <v>42736</v>
      </c>
      <c r="Y50" s="27" t="s">
        <v>141</v>
      </c>
      <c r="Z50" s="28" t="s">
        <v>141</v>
      </c>
      <c r="AA50" s="29" t="s">
        <v>141</v>
      </c>
      <c r="AB50" s="30" t="s">
        <v>141</v>
      </c>
      <c r="AC50" s="31" t="s">
        <v>141</v>
      </c>
      <c r="AD50" s="32">
        <v>1</v>
      </c>
      <c r="AE50" s="33" t="s">
        <v>141</v>
      </c>
      <c r="AF50" s="34" t="s">
        <v>141</v>
      </c>
      <c r="AG50" s="35" t="s">
        <v>141</v>
      </c>
      <c r="AH50" s="36" t="s">
        <v>141</v>
      </c>
      <c r="AI50" s="37" t="s">
        <v>141</v>
      </c>
      <c r="AJ50" s="38" t="s">
        <v>142</v>
      </c>
      <c r="AK50" s="39" t="s">
        <v>141</v>
      </c>
      <c r="AL50" s="40" t="s">
        <v>141</v>
      </c>
      <c r="AM50" s="41" t="s">
        <v>143</v>
      </c>
      <c r="AN50" s="42" t="s">
        <v>867</v>
      </c>
      <c r="AO50" s="43" t="s">
        <v>141</v>
      </c>
      <c r="AP50" s="44" t="s">
        <v>145</v>
      </c>
      <c r="AQ50" s="45" t="s">
        <v>141</v>
      </c>
      <c r="AR50" s="46" t="s">
        <v>141</v>
      </c>
      <c r="AS50" s="47" t="s">
        <v>141</v>
      </c>
      <c r="AT50" s="48" t="s">
        <v>141</v>
      </c>
      <c r="AU50" s="49" t="s">
        <v>141</v>
      </c>
      <c r="AV50" s="50" t="s">
        <v>141</v>
      </c>
      <c r="AW50" s="51" t="s">
        <v>141</v>
      </c>
      <c r="AX50" s="52" t="s">
        <v>141</v>
      </c>
      <c r="AY50" s="53" t="s">
        <v>141</v>
      </c>
      <c r="AZ50" s="54" t="s">
        <v>141</v>
      </c>
      <c r="BA50" s="55" t="s">
        <v>146</v>
      </c>
      <c r="BB50" s="56" t="s">
        <v>133</v>
      </c>
      <c r="BC50" s="57" t="s">
        <v>193</v>
      </c>
      <c r="BD50" s="58" t="s">
        <v>141</v>
      </c>
      <c r="BE50" s="59">
        <v>1</v>
      </c>
      <c r="BF50" s="60" t="s">
        <v>238</v>
      </c>
      <c r="BG50" s="61">
        <v>1</v>
      </c>
      <c r="BH50" s="62" t="s">
        <v>141</v>
      </c>
      <c r="BI50" s="63" t="s">
        <v>141</v>
      </c>
      <c r="BJ50" s="64" t="s">
        <v>141</v>
      </c>
      <c r="BK50" s="65" t="s">
        <v>239</v>
      </c>
      <c r="BL50" s="66" t="s">
        <v>238</v>
      </c>
      <c r="BM50" s="67" t="s">
        <v>238</v>
      </c>
      <c r="BN50" s="68" t="s">
        <v>868</v>
      </c>
      <c r="BO50" s="69" t="s">
        <v>141</v>
      </c>
      <c r="BP50" s="70" t="s">
        <v>141</v>
      </c>
      <c r="BQ50" s="71" t="s">
        <v>141</v>
      </c>
      <c r="BR50" s="72" t="s">
        <v>141</v>
      </c>
      <c r="BS50" s="73" t="s">
        <v>141</v>
      </c>
      <c r="BT50" s="74" t="s">
        <v>141</v>
      </c>
      <c r="BU50" s="75" t="s">
        <v>141</v>
      </c>
      <c r="BV50" s="76" t="s">
        <v>141</v>
      </c>
      <c r="BW50" s="77" t="s">
        <v>141</v>
      </c>
      <c r="BX50" s="78" t="s">
        <v>141</v>
      </c>
      <c r="BY50" s="79" t="s">
        <v>141</v>
      </c>
      <c r="BZ50" s="80" t="s">
        <v>141</v>
      </c>
      <c r="CA50" s="81" t="s">
        <v>141</v>
      </c>
      <c r="CB50" s="82" t="s">
        <v>141</v>
      </c>
      <c r="CC50" s="83" t="s">
        <v>141</v>
      </c>
      <c r="CD50" s="84" t="s">
        <v>141</v>
      </c>
      <c r="CE50" s="85" t="s">
        <v>141</v>
      </c>
      <c r="CF50" s="86" t="s">
        <v>141</v>
      </c>
      <c r="CG50" s="87" t="s">
        <v>141</v>
      </c>
      <c r="CH50" s="88" t="s">
        <v>141</v>
      </c>
      <c r="CI50" s="89" t="s">
        <v>141</v>
      </c>
      <c r="CJ50" s="90" t="s">
        <v>141</v>
      </c>
      <c r="CK50" s="91" t="s">
        <v>141</v>
      </c>
      <c r="CL50" s="92" t="s">
        <v>141</v>
      </c>
      <c r="CM50" s="93" t="s">
        <v>141</v>
      </c>
      <c r="CN50" s="94" t="s">
        <v>141</v>
      </c>
      <c r="CO50" s="95" t="s">
        <v>141</v>
      </c>
      <c r="CP50" s="96" t="s">
        <v>141</v>
      </c>
      <c r="CQ50" s="97" t="s">
        <v>141</v>
      </c>
      <c r="CR50" s="98" t="s">
        <v>141</v>
      </c>
      <c r="CS50" s="99" t="s">
        <v>141</v>
      </c>
      <c r="CT50" s="100" t="s">
        <v>141</v>
      </c>
      <c r="CU50" s="101" t="s">
        <v>141</v>
      </c>
      <c r="CV50" s="102" t="s">
        <v>141</v>
      </c>
      <c r="CW50" s="103" t="s">
        <v>141</v>
      </c>
      <c r="CX50" s="104" t="s">
        <v>141</v>
      </c>
      <c r="CY50" s="105" t="s">
        <v>150</v>
      </c>
      <c r="CZ50" s="106" t="s">
        <v>240</v>
      </c>
      <c r="DA50" s="107" t="s">
        <v>152</v>
      </c>
      <c r="DB50" s="108" t="s">
        <v>153</v>
      </c>
      <c r="DC50" s="109" t="s">
        <v>241</v>
      </c>
      <c r="DD50" s="110" t="s">
        <v>242</v>
      </c>
      <c r="DE50" s="111" t="s">
        <v>283</v>
      </c>
      <c r="DF50" s="112" t="s">
        <v>157</v>
      </c>
      <c r="DG50" s="113">
        <v>2015</v>
      </c>
      <c r="DH50" s="114" t="s">
        <v>865</v>
      </c>
      <c r="DI50" s="227" t="str">
        <f>HYPERLINK("https://my.pitchbook.com?c=98964-82T", "View company online")</f>
        <v>View company online</v>
      </c>
    </row>
    <row r="51" spans="1:113" x14ac:dyDescent="0.2">
      <c r="A51" s="115" t="s">
        <v>869</v>
      </c>
      <c r="B51" s="116" t="s">
        <v>870</v>
      </c>
      <c r="C51" s="117" t="s">
        <v>871</v>
      </c>
      <c r="D51" s="118" t="s">
        <v>872</v>
      </c>
      <c r="E51" s="119" t="s">
        <v>873</v>
      </c>
      <c r="F51" s="120" t="s">
        <v>126</v>
      </c>
      <c r="G51" s="121" t="s">
        <v>127</v>
      </c>
      <c r="H51" s="122" t="s">
        <v>128</v>
      </c>
      <c r="I51" s="123" t="s">
        <v>129</v>
      </c>
      <c r="J51" s="124" t="s">
        <v>708</v>
      </c>
      <c r="K51" s="125" t="s">
        <v>874</v>
      </c>
      <c r="L51" s="126" t="s">
        <v>193</v>
      </c>
      <c r="M51" s="127" t="s">
        <v>263</v>
      </c>
      <c r="N51" s="128" t="s">
        <v>875</v>
      </c>
      <c r="O51" s="129" t="s">
        <v>876</v>
      </c>
      <c r="P51" s="130" t="s">
        <v>877</v>
      </c>
      <c r="Q51" s="131" t="s">
        <v>141</v>
      </c>
      <c r="R51" s="132" t="s">
        <v>141</v>
      </c>
      <c r="S51" s="133" t="s">
        <v>878</v>
      </c>
      <c r="T51" s="134" t="s">
        <v>141</v>
      </c>
      <c r="U51" s="135">
        <v>3</v>
      </c>
      <c r="V51" s="136" t="s">
        <v>869</v>
      </c>
      <c r="W51" s="137" t="s">
        <v>141</v>
      </c>
      <c r="X51" s="138">
        <v>42655</v>
      </c>
      <c r="Y51" s="139" t="s">
        <v>141</v>
      </c>
      <c r="Z51" s="140" t="s">
        <v>141</v>
      </c>
      <c r="AA51" s="141" t="s">
        <v>141</v>
      </c>
      <c r="AB51" s="142" t="s">
        <v>141</v>
      </c>
      <c r="AC51" s="143" t="s">
        <v>141</v>
      </c>
      <c r="AD51" s="144" t="s">
        <v>141</v>
      </c>
      <c r="AE51" s="145">
        <v>0.05</v>
      </c>
      <c r="AF51" s="146" t="s">
        <v>141</v>
      </c>
      <c r="AG51" s="147" t="s">
        <v>141</v>
      </c>
      <c r="AH51" s="148" t="s">
        <v>141</v>
      </c>
      <c r="AI51" s="149" t="s">
        <v>141</v>
      </c>
      <c r="AJ51" s="150" t="s">
        <v>142</v>
      </c>
      <c r="AK51" s="151" t="s">
        <v>141</v>
      </c>
      <c r="AL51" s="152" t="s">
        <v>141</v>
      </c>
      <c r="AM51" s="153" t="s">
        <v>143</v>
      </c>
      <c r="AN51" s="154" t="s">
        <v>879</v>
      </c>
      <c r="AO51" s="155" t="s">
        <v>141</v>
      </c>
      <c r="AP51" s="156" t="s">
        <v>145</v>
      </c>
      <c r="AQ51" s="157" t="s">
        <v>141</v>
      </c>
      <c r="AR51" s="158" t="s">
        <v>141</v>
      </c>
      <c r="AS51" s="159" t="s">
        <v>141</v>
      </c>
      <c r="AT51" s="160" t="s">
        <v>141</v>
      </c>
      <c r="AU51" s="161" t="s">
        <v>141</v>
      </c>
      <c r="AV51" s="162" t="s">
        <v>141</v>
      </c>
      <c r="AW51" s="163" t="s">
        <v>141</v>
      </c>
      <c r="AX51" s="164" t="s">
        <v>141</v>
      </c>
      <c r="AY51" s="165" t="s">
        <v>141</v>
      </c>
      <c r="AZ51" s="166" t="s">
        <v>141</v>
      </c>
      <c r="BA51" s="167" t="s">
        <v>146</v>
      </c>
      <c r="BB51" s="168" t="s">
        <v>263</v>
      </c>
      <c r="BC51" s="169" t="s">
        <v>193</v>
      </c>
      <c r="BD51" s="170" t="s">
        <v>141</v>
      </c>
      <c r="BE51" s="171">
        <v>1</v>
      </c>
      <c r="BF51" s="172" t="s">
        <v>880</v>
      </c>
      <c r="BG51" s="173">
        <v>1</v>
      </c>
      <c r="BH51" s="174" t="s">
        <v>141</v>
      </c>
      <c r="BI51" s="175" t="s">
        <v>141</v>
      </c>
      <c r="BJ51" s="176" t="s">
        <v>141</v>
      </c>
      <c r="BK51" s="177" t="s">
        <v>881</v>
      </c>
      <c r="BL51" s="178" t="s">
        <v>880</v>
      </c>
      <c r="BM51" s="179" t="s">
        <v>880</v>
      </c>
      <c r="BN51" s="180" t="s">
        <v>141</v>
      </c>
      <c r="BO51" s="181" t="s">
        <v>141</v>
      </c>
      <c r="BP51" s="182" t="s">
        <v>141</v>
      </c>
      <c r="BQ51" s="183" t="s">
        <v>141</v>
      </c>
      <c r="BR51" s="184" t="s">
        <v>141</v>
      </c>
      <c r="BS51" s="185" t="s">
        <v>141</v>
      </c>
      <c r="BT51" s="186" t="s">
        <v>141</v>
      </c>
      <c r="BU51" s="187" t="s">
        <v>141</v>
      </c>
      <c r="BV51" s="188" t="s">
        <v>141</v>
      </c>
      <c r="BW51" s="189" t="s">
        <v>141</v>
      </c>
      <c r="BX51" s="190" t="s">
        <v>141</v>
      </c>
      <c r="BY51" s="191" t="s">
        <v>141</v>
      </c>
      <c r="BZ51" s="192" t="s">
        <v>141</v>
      </c>
      <c r="CA51" s="193" t="s">
        <v>141</v>
      </c>
      <c r="CB51" s="194" t="s">
        <v>141</v>
      </c>
      <c r="CC51" s="195" t="s">
        <v>141</v>
      </c>
      <c r="CD51" s="196" t="s">
        <v>141</v>
      </c>
      <c r="CE51" s="197" t="s">
        <v>141</v>
      </c>
      <c r="CF51" s="198" t="s">
        <v>141</v>
      </c>
      <c r="CG51" s="199" t="s">
        <v>141</v>
      </c>
      <c r="CH51" s="200" t="s">
        <v>141</v>
      </c>
      <c r="CI51" s="201" t="s">
        <v>141</v>
      </c>
      <c r="CJ51" s="202" t="s">
        <v>141</v>
      </c>
      <c r="CK51" s="203" t="s">
        <v>141</v>
      </c>
      <c r="CL51" s="204" t="s">
        <v>141</v>
      </c>
      <c r="CM51" s="205" t="s">
        <v>141</v>
      </c>
      <c r="CN51" s="206" t="s">
        <v>141</v>
      </c>
      <c r="CO51" s="207" t="s">
        <v>141</v>
      </c>
      <c r="CP51" s="208" t="s">
        <v>141</v>
      </c>
      <c r="CQ51" s="209" t="s">
        <v>141</v>
      </c>
      <c r="CR51" s="210" t="s">
        <v>141</v>
      </c>
      <c r="CS51" s="211" t="s">
        <v>141</v>
      </c>
      <c r="CT51" s="212" t="s">
        <v>141</v>
      </c>
      <c r="CU51" s="213" t="s">
        <v>141</v>
      </c>
      <c r="CV51" s="214" t="s">
        <v>141</v>
      </c>
      <c r="CW51" s="215" t="s">
        <v>141</v>
      </c>
      <c r="CX51" s="216" t="s">
        <v>141</v>
      </c>
      <c r="CY51" s="217" t="s">
        <v>150</v>
      </c>
      <c r="CZ51" s="218" t="s">
        <v>882</v>
      </c>
      <c r="DA51" s="219" t="s">
        <v>152</v>
      </c>
      <c r="DB51" s="220" t="s">
        <v>153</v>
      </c>
      <c r="DC51" s="221" t="s">
        <v>883</v>
      </c>
      <c r="DD51" s="222" t="s">
        <v>884</v>
      </c>
      <c r="DE51" s="223" t="s">
        <v>141</v>
      </c>
      <c r="DF51" s="224" t="s">
        <v>157</v>
      </c>
      <c r="DG51" s="225">
        <v>2015</v>
      </c>
      <c r="DH51" s="226" t="s">
        <v>885</v>
      </c>
      <c r="DI51" s="228" t="str">
        <f>HYPERLINK("https://my.pitchbook.com?c=78880-78T", "View company online")</f>
        <v>View company online</v>
      </c>
    </row>
    <row r="52" spans="1:113" x14ac:dyDescent="0.2">
      <c r="A52" s="3" t="s">
        <v>886</v>
      </c>
      <c r="B52" s="4" t="s">
        <v>870</v>
      </c>
      <c r="C52" s="5" t="s">
        <v>871</v>
      </c>
      <c r="D52" s="6" t="s">
        <v>872</v>
      </c>
      <c r="E52" s="7" t="s">
        <v>873</v>
      </c>
      <c r="F52" s="8" t="s">
        <v>126</v>
      </c>
      <c r="G52" s="9" t="s">
        <v>127</v>
      </c>
      <c r="H52" s="10" t="s">
        <v>128</v>
      </c>
      <c r="I52" s="11" t="s">
        <v>129</v>
      </c>
      <c r="J52" s="12" t="s">
        <v>708</v>
      </c>
      <c r="K52" s="13" t="s">
        <v>874</v>
      </c>
      <c r="L52" s="14" t="s">
        <v>193</v>
      </c>
      <c r="M52" s="15" t="s">
        <v>263</v>
      </c>
      <c r="N52" s="16" t="s">
        <v>875</v>
      </c>
      <c r="O52" s="17" t="s">
        <v>876</v>
      </c>
      <c r="P52" s="18" t="s">
        <v>877</v>
      </c>
      <c r="Q52" s="19" t="s">
        <v>141</v>
      </c>
      <c r="R52" s="20" t="s">
        <v>141</v>
      </c>
      <c r="S52" s="21" t="s">
        <v>878</v>
      </c>
      <c r="T52" s="22" t="s">
        <v>141</v>
      </c>
      <c r="U52" s="23">
        <v>2</v>
      </c>
      <c r="V52" s="24" t="s">
        <v>886</v>
      </c>
      <c r="W52" s="25" t="s">
        <v>141</v>
      </c>
      <c r="X52" s="26">
        <v>42637</v>
      </c>
      <c r="Y52" s="27">
        <v>0.02</v>
      </c>
      <c r="Z52" s="28" t="s">
        <v>887</v>
      </c>
      <c r="AA52" s="29" t="s">
        <v>141</v>
      </c>
      <c r="AB52" s="30" t="s">
        <v>141</v>
      </c>
      <c r="AC52" s="31" t="s">
        <v>141</v>
      </c>
      <c r="AD52" s="32" t="s">
        <v>141</v>
      </c>
      <c r="AE52" s="33">
        <v>0.05</v>
      </c>
      <c r="AF52" s="34" t="s">
        <v>141</v>
      </c>
      <c r="AG52" s="35" t="s">
        <v>141</v>
      </c>
      <c r="AH52" s="36" t="s">
        <v>141</v>
      </c>
      <c r="AI52" s="37" t="s">
        <v>141</v>
      </c>
      <c r="AJ52" s="38" t="s">
        <v>142</v>
      </c>
      <c r="AK52" s="39" t="s">
        <v>141</v>
      </c>
      <c r="AL52" s="40" t="s">
        <v>141</v>
      </c>
      <c r="AM52" s="41" t="s">
        <v>143</v>
      </c>
      <c r="AN52" s="42" t="s">
        <v>888</v>
      </c>
      <c r="AO52" s="43">
        <v>0.02</v>
      </c>
      <c r="AP52" s="44" t="s">
        <v>145</v>
      </c>
      <c r="AQ52" s="45" t="s">
        <v>141</v>
      </c>
      <c r="AR52" s="46" t="s">
        <v>141</v>
      </c>
      <c r="AS52" s="47" t="s">
        <v>141</v>
      </c>
      <c r="AT52" s="48" t="s">
        <v>141</v>
      </c>
      <c r="AU52" s="49" t="s">
        <v>141</v>
      </c>
      <c r="AV52" s="50" t="s">
        <v>141</v>
      </c>
      <c r="AW52" s="51" t="s">
        <v>141</v>
      </c>
      <c r="AX52" s="52" t="s">
        <v>141</v>
      </c>
      <c r="AY52" s="53" t="s">
        <v>141</v>
      </c>
      <c r="AZ52" s="54" t="s">
        <v>141</v>
      </c>
      <c r="BA52" s="55" t="s">
        <v>146</v>
      </c>
      <c r="BB52" s="56" t="s">
        <v>263</v>
      </c>
      <c r="BC52" s="57" t="s">
        <v>193</v>
      </c>
      <c r="BD52" s="58" t="s">
        <v>141</v>
      </c>
      <c r="BE52" s="59">
        <v>1</v>
      </c>
      <c r="BF52" s="60" t="s">
        <v>889</v>
      </c>
      <c r="BG52" s="61">
        <v>1</v>
      </c>
      <c r="BH52" s="62" t="s">
        <v>141</v>
      </c>
      <c r="BI52" s="63" t="s">
        <v>141</v>
      </c>
      <c r="BJ52" s="64" t="s">
        <v>141</v>
      </c>
      <c r="BK52" s="65" t="s">
        <v>890</v>
      </c>
      <c r="BL52" s="66" t="s">
        <v>889</v>
      </c>
      <c r="BM52" s="67" t="s">
        <v>889</v>
      </c>
      <c r="BN52" s="68" t="s">
        <v>141</v>
      </c>
      <c r="BO52" s="69" t="s">
        <v>141</v>
      </c>
      <c r="BP52" s="70" t="s">
        <v>141</v>
      </c>
      <c r="BQ52" s="71" t="s">
        <v>141</v>
      </c>
      <c r="BR52" s="72" t="s">
        <v>141</v>
      </c>
      <c r="BS52" s="73" t="s">
        <v>141</v>
      </c>
      <c r="BT52" s="74" t="s">
        <v>141</v>
      </c>
      <c r="BU52" s="75" t="s">
        <v>141</v>
      </c>
      <c r="BV52" s="76" t="s">
        <v>141</v>
      </c>
      <c r="BW52" s="77" t="s">
        <v>141</v>
      </c>
      <c r="BX52" s="78" t="s">
        <v>141</v>
      </c>
      <c r="BY52" s="79" t="s">
        <v>141</v>
      </c>
      <c r="BZ52" s="80" t="s">
        <v>141</v>
      </c>
      <c r="CA52" s="81" t="s">
        <v>141</v>
      </c>
      <c r="CB52" s="82" t="s">
        <v>141</v>
      </c>
      <c r="CC52" s="83" t="s">
        <v>141</v>
      </c>
      <c r="CD52" s="84" t="s">
        <v>141</v>
      </c>
      <c r="CE52" s="85" t="s">
        <v>141</v>
      </c>
      <c r="CF52" s="86" t="s">
        <v>141</v>
      </c>
      <c r="CG52" s="87" t="s">
        <v>141</v>
      </c>
      <c r="CH52" s="88" t="s">
        <v>141</v>
      </c>
      <c r="CI52" s="89" t="s">
        <v>141</v>
      </c>
      <c r="CJ52" s="90" t="s">
        <v>141</v>
      </c>
      <c r="CK52" s="91" t="s">
        <v>141</v>
      </c>
      <c r="CL52" s="92" t="s">
        <v>141</v>
      </c>
      <c r="CM52" s="93" t="s">
        <v>141</v>
      </c>
      <c r="CN52" s="94" t="s">
        <v>141</v>
      </c>
      <c r="CO52" s="95" t="s">
        <v>141</v>
      </c>
      <c r="CP52" s="96" t="s">
        <v>141</v>
      </c>
      <c r="CQ52" s="97" t="s">
        <v>141</v>
      </c>
      <c r="CR52" s="98" t="s">
        <v>141</v>
      </c>
      <c r="CS52" s="99" t="s">
        <v>141</v>
      </c>
      <c r="CT52" s="100" t="s">
        <v>141</v>
      </c>
      <c r="CU52" s="101" t="s">
        <v>141</v>
      </c>
      <c r="CV52" s="102" t="s">
        <v>141</v>
      </c>
      <c r="CW52" s="103" t="s">
        <v>141</v>
      </c>
      <c r="CX52" s="104" t="s">
        <v>141</v>
      </c>
      <c r="CY52" s="105" t="s">
        <v>150</v>
      </c>
      <c r="CZ52" s="106" t="s">
        <v>882</v>
      </c>
      <c r="DA52" s="107" t="s">
        <v>152</v>
      </c>
      <c r="DB52" s="108" t="s">
        <v>153</v>
      </c>
      <c r="DC52" s="109" t="s">
        <v>883</v>
      </c>
      <c r="DD52" s="110" t="s">
        <v>884</v>
      </c>
      <c r="DE52" s="111" t="s">
        <v>141</v>
      </c>
      <c r="DF52" s="112" t="s">
        <v>157</v>
      </c>
      <c r="DG52" s="113">
        <v>2015</v>
      </c>
      <c r="DH52" s="114" t="s">
        <v>885</v>
      </c>
      <c r="DI52" s="227" t="str">
        <f>HYPERLINK("https://my.pitchbook.com?c=78880-87T", "View company online")</f>
        <v>View company online</v>
      </c>
    </row>
    <row r="53" spans="1:113" x14ac:dyDescent="0.2">
      <c r="A53" s="115" t="s">
        <v>891</v>
      </c>
      <c r="B53" s="116" t="s">
        <v>892</v>
      </c>
      <c r="C53" s="117" t="s">
        <v>893</v>
      </c>
      <c r="D53" s="118" t="s">
        <v>894</v>
      </c>
      <c r="E53" s="119" t="s">
        <v>895</v>
      </c>
      <c r="F53" s="120" t="s">
        <v>164</v>
      </c>
      <c r="G53" s="121" t="s">
        <v>165</v>
      </c>
      <c r="H53" s="122" t="s">
        <v>418</v>
      </c>
      <c r="I53" s="123" t="s">
        <v>896</v>
      </c>
      <c r="J53" s="124" t="s">
        <v>897</v>
      </c>
      <c r="K53" s="125" t="s">
        <v>898</v>
      </c>
      <c r="L53" s="126" t="s">
        <v>402</v>
      </c>
      <c r="M53" s="127" t="s">
        <v>133</v>
      </c>
      <c r="N53" s="128" t="s">
        <v>231</v>
      </c>
      <c r="O53" s="129" t="s">
        <v>899</v>
      </c>
      <c r="P53" s="130" t="s">
        <v>900</v>
      </c>
      <c r="Q53" s="131" t="s">
        <v>901</v>
      </c>
      <c r="R53" s="132" t="s">
        <v>902</v>
      </c>
      <c r="S53" s="133" t="s">
        <v>903</v>
      </c>
      <c r="T53" s="134" t="s">
        <v>904</v>
      </c>
      <c r="U53" s="135">
        <v>3</v>
      </c>
      <c r="V53" s="136" t="s">
        <v>891</v>
      </c>
      <c r="W53" s="137" t="s">
        <v>141</v>
      </c>
      <c r="X53" s="138">
        <v>42578</v>
      </c>
      <c r="Y53" s="139" t="s">
        <v>141</v>
      </c>
      <c r="Z53" s="140" t="s">
        <v>141</v>
      </c>
      <c r="AA53" s="141" t="s">
        <v>141</v>
      </c>
      <c r="AB53" s="142" t="s">
        <v>141</v>
      </c>
      <c r="AC53" s="143" t="s">
        <v>141</v>
      </c>
      <c r="AD53" s="144" t="s">
        <v>141</v>
      </c>
      <c r="AE53" s="145" t="s">
        <v>141</v>
      </c>
      <c r="AF53" s="146" t="s">
        <v>141</v>
      </c>
      <c r="AG53" s="147" t="s">
        <v>141</v>
      </c>
      <c r="AH53" s="148" t="s">
        <v>141</v>
      </c>
      <c r="AI53" s="149" t="s">
        <v>141</v>
      </c>
      <c r="AJ53" s="150" t="s">
        <v>142</v>
      </c>
      <c r="AK53" s="151" t="s">
        <v>141</v>
      </c>
      <c r="AL53" s="152" t="s">
        <v>141</v>
      </c>
      <c r="AM53" s="153" t="s">
        <v>143</v>
      </c>
      <c r="AN53" s="154" t="s">
        <v>905</v>
      </c>
      <c r="AO53" s="155" t="s">
        <v>141</v>
      </c>
      <c r="AP53" s="156" t="s">
        <v>145</v>
      </c>
      <c r="AQ53" s="157" t="s">
        <v>141</v>
      </c>
      <c r="AR53" s="158" t="s">
        <v>141</v>
      </c>
      <c r="AS53" s="159" t="s">
        <v>141</v>
      </c>
      <c r="AT53" s="160" t="s">
        <v>141</v>
      </c>
      <c r="AU53" s="161" t="s">
        <v>141</v>
      </c>
      <c r="AV53" s="162" t="s">
        <v>141</v>
      </c>
      <c r="AW53" s="163" t="s">
        <v>141</v>
      </c>
      <c r="AX53" s="164" t="s">
        <v>141</v>
      </c>
      <c r="AY53" s="165" t="s">
        <v>141</v>
      </c>
      <c r="AZ53" s="166" t="s">
        <v>141</v>
      </c>
      <c r="BA53" s="167" t="s">
        <v>146</v>
      </c>
      <c r="BB53" s="168" t="s">
        <v>133</v>
      </c>
      <c r="BC53" s="169" t="s">
        <v>193</v>
      </c>
      <c r="BD53" s="170">
        <v>6</v>
      </c>
      <c r="BE53" s="171">
        <v>1</v>
      </c>
      <c r="BF53" s="172" t="s">
        <v>906</v>
      </c>
      <c r="BG53" s="173">
        <v>1</v>
      </c>
      <c r="BH53" s="174" t="s">
        <v>141</v>
      </c>
      <c r="BI53" s="175" t="s">
        <v>141</v>
      </c>
      <c r="BJ53" s="176" t="s">
        <v>141</v>
      </c>
      <c r="BK53" s="177" t="s">
        <v>907</v>
      </c>
      <c r="BL53" s="178" t="s">
        <v>906</v>
      </c>
      <c r="BM53" s="179" t="s">
        <v>906</v>
      </c>
      <c r="BN53" s="180" t="s">
        <v>141</v>
      </c>
      <c r="BO53" s="181" t="s">
        <v>141</v>
      </c>
      <c r="BP53" s="182" t="s">
        <v>141</v>
      </c>
      <c r="BQ53" s="183" t="s">
        <v>141</v>
      </c>
      <c r="BR53" s="184" t="s">
        <v>141</v>
      </c>
      <c r="BS53" s="185" t="s">
        <v>141</v>
      </c>
      <c r="BT53" s="186" t="s">
        <v>141</v>
      </c>
      <c r="BU53" s="187" t="s">
        <v>141</v>
      </c>
      <c r="BV53" s="188" t="s">
        <v>141</v>
      </c>
      <c r="BW53" s="189" t="s">
        <v>141</v>
      </c>
      <c r="BX53" s="190" t="s">
        <v>141</v>
      </c>
      <c r="BY53" s="191" t="s">
        <v>141</v>
      </c>
      <c r="BZ53" s="192" t="s">
        <v>141</v>
      </c>
      <c r="CA53" s="193" t="s">
        <v>141</v>
      </c>
      <c r="CB53" s="194" t="s">
        <v>141</v>
      </c>
      <c r="CC53" s="195" t="s">
        <v>141</v>
      </c>
      <c r="CD53" s="196" t="s">
        <v>141</v>
      </c>
      <c r="CE53" s="197" t="s">
        <v>141</v>
      </c>
      <c r="CF53" s="198" t="s">
        <v>141</v>
      </c>
      <c r="CG53" s="199" t="s">
        <v>141</v>
      </c>
      <c r="CH53" s="200" t="s">
        <v>141</v>
      </c>
      <c r="CI53" s="201" t="s">
        <v>141</v>
      </c>
      <c r="CJ53" s="202" t="s">
        <v>141</v>
      </c>
      <c r="CK53" s="203" t="s">
        <v>141</v>
      </c>
      <c r="CL53" s="204" t="s">
        <v>141</v>
      </c>
      <c r="CM53" s="205" t="s">
        <v>141</v>
      </c>
      <c r="CN53" s="206" t="s">
        <v>141</v>
      </c>
      <c r="CO53" s="207" t="s">
        <v>141</v>
      </c>
      <c r="CP53" s="208" t="s">
        <v>141</v>
      </c>
      <c r="CQ53" s="209" t="s">
        <v>141</v>
      </c>
      <c r="CR53" s="210" t="s">
        <v>141</v>
      </c>
      <c r="CS53" s="211" t="s">
        <v>141</v>
      </c>
      <c r="CT53" s="212" t="s">
        <v>141</v>
      </c>
      <c r="CU53" s="213" t="s">
        <v>141</v>
      </c>
      <c r="CV53" s="214" t="s">
        <v>141</v>
      </c>
      <c r="CW53" s="215" t="s">
        <v>141</v>
      </c>
      <c r="CX53" s="216">
        <v>14</v>
      </c>
      <c r="CY53" s="217" t="s">
        <v>150</v>
      </c>
      <c r="CZ53" s="218" t="s">
        <v>908</v>
      </c>
      <c r="DA53" s="219" t="s">
        <v>152</v>
      </c>
      <c r="DB53" s="220" t="s">
        <v>153</v>
      </c>
      <c r="DC53" s="221" t="s">
        <v>909</v>
      </c>
      <c r="DD53" s="222" t="s">
        <v>910</v>
      </c>
      <c r="DE53" s="223" t="s">
        <v>911</v>
      </c>
      <c r="DF53" s="224" t="s">
        <v>157</v>
      </c>
      <c r="DG53" s="225">
        <v>2015</v>
      </c>
      <c r="DH53" s="226" t="s">
        <v>912</v>
      </c>
      <c r="DI53" s="228" t="str">
        <f>HYPERLINK("https://my.pitchbook.com?c=96672-34T", "View company online")</f>
        <v>View company online</v>
      </c>
    </row>
    <row r="54" spans="1:113" x14ac:dyDescent="0.2">
      <c r="A54" s="3" t="s">
        <v>913</v>
      </c>
      <c r="B54" s="4" t="s">
        <v>914</v>
      </c>
      <c r="C54" s="5" t="s">
        <v>915</v>
      </c>
      <c r="D54" s="6" t="s">
        <v>916</v>
      </c>
      <c r="E54" s="7" t="s">
        <v>917</v>
      </c>
      <c r="F54" s="8" t="s">
        <v>126</v>
      </c>
      <c r="G54" s="9" t="s">
        <v>127</v>
      </c>
      <c r="H54" s="10" t="s">
        <v>128</v>
      </c>
      <c r="I54" s="11" t="s">
        <v>129</v>
      </c>
      <c r="J54" s="12" t="s">
        <v>918</v>
      </c>
      <c r="K54" s="13" t="s">
        <v>919</v>
      </c>
      <c r="L54" s="14" t="s">
        <v>132</v>
      </c>
      <c r="M54" s="15" t="s">
        <v>133</v>
      </c>
      <c r="N54" s="16" t="s">
        <v>134</v>
      </c>
      <c r="O54" s="17" t="s">
        <v>920</v>
      </c>
      <c r="P54" s="18" t="s">
        <v>921</v>
      </c>
      <c r="Q54" s="19" t="s">
        <v>922</v>
      </c>
      <c r="R54" s="20" t="s">
        <v>923</v>
      </c>
      <c r="S54" s="21" t="s">
        <v>924</v>
      </c>
      <c r="T54" s="22" t="s">
        <v>925</v>
      </c>
      <c r="U54" s="23">
        <v>2</v>
      </c>
      <c r="V54" s="24" t="s">
        <v>913</v>
      </c>
      <c r="W54" s="25" t="s">
        <v>141</v>
      </c>
      <c r="X54" s="26">
        <v>43122</v>
      </c>
      <c r="Y54" s="27">
        <v>0.12</v>
      </c>
      <c r="Z54" s="28" t="s">
        <v>177</v>
      </c>
      <c r="AA54" s="29">
        <v>1.8</v>
      </c>
      <c r="AB54" s="30">
        <v>2</v>
      </c>
      <c r="AC54" s="31" t="s">
        <v>177</v>
      </c>
      <c r="AD54" s="32">
        <v>6</v>
      </c>
      <c r="AE54" s="33">
        <v>0.12</v>
      </c>
      <c r="AF54" s="34" t="s">
        <v>141</v>
      </c>
      <c r="AG54" s="35" t="s">
        <v>141</v>
      </c>
      <c r="AH54" s="36" t="s">
        <v>141</v>
      </c>
      <c r="AI54" s="37" t="s">
        <v>141</v>
      </c>
      <c r="AJ54" s="38" t="s">
        <v>142</v>
      </c>
      <c r="AK54" s="39" t="s">
        <v>141</v>
      </c>
      <c r="AL54" s="40" t="s">
        <v>141</v>
      </c>
      <c r="AM54" s="41" t="s">
        <v>143</v>
      </c>
      <c r="AN54" s="42" t="s">
        <v>926</v>
      </c>
      <c r="AO54" s="43">
        <v>0.12</v>
      </c>
      <c r="AP54" s="44" t="s">
        <v>145</v>
      </c>
      <c r="AQ54" s="45" t="s">
        <v>141</v>
      </c>
      <c r="AR54" s="46" t="s">
        <v>141</v>
      </c>
      <c r="AS54" s="47" t="s">
        <v>141</v>
      </c>
      <c r="AT54" s="48" t="s">
        <v>141</v>
      </c>
      <c r="AU54" s="49" t="s">
        <v>141</v>
      </c>
      <c r="AV54" s="50" t="s">
        <v>141</v>
      </c>
      <c r="AW54" s="51" t="s">
        <v>141</v>
      </c>
      <c r="AX54" s="52" t="s">
        <v>141</v>
      </c>
      <c r="AY54" s="53" t="s">
        <v>141</v>
      </c>
      <c r="AZ54" s="54" t="s">
        <v>141</v>
      </c>
      <c r="BA54" s="55" t="s">
        <v>146</v>
      </c>
      <c r="BB54" s="56" t="s">
        <v>133</v>
      </c>
      <c r="BC54" s="57" t="s">
        <v>193</v>
      </c>
      <c r="BD54" s="58" t="s">
        <v>141</v>
      </c>
      <c r="BE54" s="59">
        <v>1</v>
      </c>
      <c r="BF54" s="60" t="s">
        <v>147</v>
      </c>
      <c r="BG54" s="61">
        <v>1</v>
      </c>
      <c r="BH54" s="62" t="s">
        <v>141</v>
      </c>
      <c r="BI54" s="63" t="s">
        <v>141</v>
      </c>
      <c r="BJ54" s="64" t="s">
        <v>141</v>
      </c>
      <c r="BK54" s="65" t="s">
        <v>148</v>
      </c>
      <c r="BL54" s="66" t="s">
        <v>147</v>
      </c>
      <c r="BM54" s="67" t="s">
        <v>147</v>
      </c>
      <c r="BN54" s="68" t="s">
        <v>141</v>
      </c>
      <c r="BO54" s="69" t="s">
        <v>141</v>
      </c>
      <c r="BP54" s="70" t="s">
        <v>141</v>
      </c>
      <c r="BQ54" s="71" t="s">
        <v>141</v>
      </c>
      <c r="BR54" s="72" t="s">
        <v>141</v>
      </c>
      <c r="BS54" s="73" t="s">
        <v>141</v>
      </c>
      <c r="BT54" s="74" t="s">
        <v>141</v>
      </c>
      <c r="BU54" s="75" t="s">
        <v>141</v>
      </c>
      <c r="BV54" s="76" t="s">
        <v>141</v>
      </c>
      <c r="BW54" s="77" t="s">
        <v>141</v>
      </c>
      <c r="BX54" s="78" t="s">
        <v>141</v>
      </c>
      <c r="BY54" s="79" t="s">
        <v>141</v>
      </c>
      <c r="BZ54" s="80" t="s">
        <v>141</v>
      </c>
      <c r="CA54" s="81" t="s">
        <v>141</v>
      </c>
      <c r="CB54" s="82" t="s">
        <v>141</v>
      </c>
      <c r="CC54" s="83" t="s">
        <v>141</v>
      </c>
      <c r="CD54" s="84" t="s">
        <v>141</v>
      </c>
      <c r="CE54" s="85" t="s">
        <v>141</v>
      </c>
      <c r="CF54" s="86" t="s">
        <v>141</v>
      </c>
      <c r="CG54" s="87" t="s">
        <v>141</v>
      </c>
      <c r="CH54" s="88" t="s">
        <v>141</v>
      </c>
      <c r="CI54" s="89" t="s">
        <v>141</v>
      </c>
      <c r="CJ54" s="90" t="s">
        <v>141</v>
      </c>
      <c r="CK54" s="91" t="s">
        <v>141</v>
      </c>
      <c r="CL54" s="92" t="s">
        <v>141</v>
      </c>
      <c r="CM54" s="93" t="s">
        <v>141</v>
      </c>
      <c r="CN54" s="94" t="s">
        <v>141</v>
      </c>
      <c r="CO54" s="95" t="s">
        <v>141</v>
      </c>
      <c r="CP54" s="96" t="s">
        <v>141</v>
      </c>
      <c r="CQ54" s="97" t="s">
        <v>141</v>
      </c>
      <c r="CR54" s="98" t="s">
        <v>141</v>
      </c>
      <c r="CS54" s="99" t="s">
        <v>141</v>
      </c>
      <c r="CT54" s="100" t="s">
        <v>141</v>
      </c>
      <c r="CU54" s="101" t="s">
        <v>141</v>
      </c>
      <c r="CV54" s="102" t="s">
        <v>141</v>
      </c>
      <c r="CW54" s="103" t="s">
        <v>141</v>
      </c>
      <c r="CX54" s="104">
        <v>25</v>
      </c>
      <c r="CY54" s="105" t="s">
        <v>150</v>
      </c>
      <c r="CZ54" s="106" t="s">
        <v>151</v>
      </c>
      <c r="DA54" s="107" t="s">
        <v>152</v>
      </c>
      <c r="DB54" s="108" t="s">
        <v>153</v>
      </c>
      <c r="DC54" s="109" t="s">
        <v>154</v>
      </c>
      <c r="DD54" s="110" t="s">
        <v>155</v>
      </c>
      <c r="DE54" s="111" t="s">
        <v>927</v>
      </c>
      <c r="DF54" s="112" t="s">
        <v>157</v>
      </c>
      <c r="DG54" s="113">
        <v>2016</v>
      </c>
      <c r="DH54" s="114" t="s">
        <v>928</v>
      </c>
      <c r="DI54" s="227" t="str">
        <f>HYPERLINK("https://my.pitchbook.com?c=117198-46T", "View company online")</f>
        <v>View company online</v>
      </c>
    </row>
    <row r="55" spans="1:113" x14ac:dyDescent="0.2">
      <c r="A55" s="115" t="s">
        <v>929</v>
      </c>
      <c r="B55" s="116" t="s">
        <v>930</v>
      </c>
      <c r="C55" s="117" t="s">
        <v>931</v>
      </c>
      <c r="D55" s="118" t="s">
        <v>932</v>
      </c>
      <c r="E55" s="119" t="s">
        <v>933</v>
      </c>
      <c r="F55" s="120" t="s">
        <v>126</v>
      </c>
      <c r="G55" s="121" t="s">
        <v>127</v>
      </c>
      <c r="H55" s="122" t="s">
        <v>128</v>
      </c>
      <c r="I55" s="123" t="s">
        <v>318</v>
      </c>
      <c r="J55" s="124" t="s">
        <v>652</v>
      </c>
      <c r="K55" s="125" t="s">
        <v>934</v>
      </c>
      <c r="L55" s="126" t="s">
        <v>132</v>
      </c>
      <c r="M55" s="127" t="s">
        <v>133</v>
      </c>
      <c r="N55" s="128" t="s">
        <v>170</v>
      </c>
      <c r="O55" s="129" t="s">
        <v>935</v>
      </c>
      <c r="P55" s="130" t="s">
        <v>936</v>
      </c>
      <c r="Q55" s="131" t="s">
        <v>937</v>
      </c>
      <c r="R55" s="132" t="s">
        <v>938</v>
      </c>
      <c r="S55" s="133" t="s">
        <v>939</v>
      </c>
      <c r="T55" s="134" t="s">
        <v>141</v>
      </c>
      <c r="U55" s="135">
        <v>1</v>
      </c>
      <c r="V55" s="136" t="s">
        <v>929</v>
      </c>
      <c r="W55" s="137">
        <v>42736</v>
      </c>
      <c r="X55" s="138" t="s">
        <v>141</v>
      </c>
      <c r="Y55" s="139" t="s">
        <v>141</v>
      </c>
      <c r="Z55" s="140" t="s">
        <v>141</v>
      </c>
      <c r="AA55" s="141" t="s">
        <v>141</v>
      </c>
      <c r="AB55" s="142" t="s">
        <v>141</v>
      </c>
      <c r="AC55" s="143" t="s">
        <v>141</v>
      </c>
      <c r="AD55" s="144" t="s">
        <v>141</v>
      </c>
      <c r="AE55" s="145" t="s">
        <v>141</v>
      </c>
      <c r="AF55" s="146" t="s">
        <v>141</v>
      </c>
      <c r="AG55" s="147" t="s">
        <v>141</v>
      </c>
      <c r="AH55" s="148" t="s">
        <v>141</v>
      </c>
      <c r="AI55" s="149" t="s">
        <v>141</v>
      </c>
      <c r="AJ55" s="150" t="s">
        <v>142</v>
      </c>
      <c r="AK55" s="151" t="s">
        <v>141</v>
      </c>
      <c r="AL55" s="152" t="s">
        <v>141</v>
      </c>
      <c r="AM55" s="153" t="s">
        <v>143</v>
      </c>
      <c r="AN55" s="154" t="s">
        <v>940</v>
      </c>
      <c r="AO55" s="155" t="s">
        <v>141</v>
      </c>
      <c r="AP55" s="156" t="s">
        <v>145</v>
      </c>
      <c r="AQ55" s="157" t="s">
        <v>141</v>
      </c>
      <c r="AR55" s="158" t="s">
        <v>141</v>
      </c>
      <c r="AS55" s="159" t="s">
        <v>141</v>
      </c>
      <c r="AT55" s="160" t="s">
        <v>141</v>
      </c>
      <c r="AU55" s="161" t="s">
        <v>141</v>
      </c>
      <c r="AV55" s="162" t="s">
        <v>141</v>
      </c>
      <c r="AW55" s="163" t="s">
        <v>141</v>
      </c>
      <c r="AX55" s="164" t="s">
        <v>141</v>
      </c>
      <c r="AY55" s="165" t="s">
        <v>141</v>
      </c>
      <c r="AZ55" s="166" t="s">
        <v>141</v>
      </c>
      <c r="BA55" s="167" t="s">
        <v>146</v>
      </c>
      <c r="BB55" s="168" t="s">
        <v>133</v>
      </c>
      <c r="BC55" s="169" t="s">
        <v>193</v>
      </c>
      <c r="BD55" s="170" t="s">
        <v>141</v>
      </c>
      <c r="BE55" s="171">
        <v>1</v>
      </c>
      <c r="BF55" s="172" t="s">
        <v>941</v>
      </c>
      <c r="BG55" s="173">
        <v>1</v>
      </c>
      <c r="BH55" s="174" t="s">
        <v>141</v>
      </c>
      <c r="BI55" s="175" t="s">
        <v>141</v>
      </c>
      <c r="BJ55" s="176" t="s">
        <v>141</v>
      </c>
      <c r="BK55" s="177" t="s">
        <v>942</v>
      </c>
      <c r="BL55" s="178" t="s">
        <v>943</v>
      </c>
      <c r="BM55" s="179" t="s">
        <v>943</v>
      </c>
      <c r="BN55" s="180" t="s">
        <v>141</v>
      </c>
      <c r="BO55" s="181" t="s">
        <v>141</v>
      </c>
      <c r="BP55" s="182" t="s">
        <v>141</v>
      </c>
      <c r="BQ55" s="183" t="s">
        <v>141</v>
      </c>
      <c r="BR55" s="184" t="s">
        <v>141</v>
      </c>
      <c r="BS55" s="185" t="s">
        <v>141</v>
      </c>
      <c r="BT55" s="186" t="s">
        <v>141</v>
      </c>
      <c r="BU55" s="187" t="s">
        <v>141</v>
      </c>
      <c r="BV55" s="188" t="s">
        <v>141</v>
      </c>
      <c r="BW55" s="189" t="s">
        <v>141</v>
      </c>
      <c r="BX55" s="190" t="s">
        <v>141</v>
      </c>
      <c r="BY55" s="191" t="s">
        <v>141</v>
      </c>
      <c r="BZ55" s="192" t="s">
        <v>141</v>
      </c>
      <c r="CA55" s="193" t="s">
        <v>141</v>
      </c>
      <c r="CB55" s="194" t="s">
        <v>141</v>
      </c>
      <c r="CC55" s="195" t="s">
        <v>141</v>
      </c>
      <c r="CD55" s="196" t="s">
        <v>141</v>
      </c>
      <c r="CE55" s="197" t="s">
        <v>141</v>
      </c>
      <c r="CF55" s="198" t="s">
        <v>141</v>
      </c>
      <c r="CG55" s="199" t="s">
        <v>141</v>
      </c>
      <c r="CH55" s="200" t="s">
        <v>141</v>
      </c>
      <c r="CI55" s="201" t="s">
        <v>141</v>
      </c>
      <c r="CJ55" s="202" t="s">
        <v>141</v>
      </c>
      <c r="CK55" s="203" t="s">
        <v>141</v>
      </c>
      <c r="CL55" s="204" t="s">
        <v>141</v>
      </c>
      <c r="CM55" s="205" t="s">
        <v>141</v>
      </c>
      <c r="CN55" s="206" t="s">
        <v>141</v>
      </c>
      <c r="CO55" s="207" t="s">
        <v>141</v>
      </c>
      <c r="CP55" s="208" t="s">
        <v>141</v>
      </c>
      <c r="CQ55" s="209" t="s">
        <v>141</v>
      </c>
      <c r="CR55" s="210" t="s">
        <v>141</v>
      </c>
      <c r="CS55" s="211" t="s">
        <v>141</v>
      </c>
      <c r="CT55" s="212" t="s">
        <v>141</v>
      </c>
      <c r="CU55" s="213" t="s">
        <v>141</v>
      </c>
      <c r="CV55" s="214" t="s">
        <v>141</v>
      </c>
      <c r="CW55" s="215" t="s">
        <v>141</v>
      </c>
      <c r="CX55" s="216" t="s">
        <v>141</v>
      </c>
      <c r="CY55" s="217" t="s">
        <v>150</v>
      </c>
      <c r="CZ55" s="218" t="s">
        <v>944</v>
      </c>
      <c r="DA55" s="219" t="s">
        <v>152</v>
      </c>
      <c r="DB55" s="220" t="s">
        <v>153</v>
      </c>
      <c r="DC55" s="221" t="s">
        <v>945</v>
      </c>
      <c r="DD55" s="222" t="s">
        <v>946</v>
      </c>
      <c r="DE55" s="223" t="s">
        <v>947</v>
      </c>
      <c r="DF55" s="224" t="s">
        <v>157</v>
      </c>
      <c r="DG55" s="225" t="s">
        <v>141</v>
      </c>
      <c r="DH55" s="226" t="s">
        <v>948</v>
      </c>
      <c r="DI55" s="228" t="str">
        <f>HYPERLINK("https://my.pitchbook.com?c=116825-86T", "View company online")</f>
        <v>View company online</v>
      </c>
    </row>
    <row r="56" spans="1:113" x14ac:dyDescent="0.2">
      <c r="A56" s="3" t="s">
        <v>949</v>
      </c>
      <c r="B56" s="4" t="s">
        <v>950</v>
      </c>
      <c r="C56" s="5" t="s">
        <v>951</v>
      </c>
      <c r="D56" s="6" t="s">
        <v>952</v>
      </c>
      <c r="E56" s="7" t="s">
        <v>953</v>
      </c>
      <c r="F56" s="8" t="s">
        <v>126</v>
      </c>
      <c r="G56" s="9" t="s">
        <v>954</v>
      </c>
      <c r="H56" s="10" t="s">
        <v>955</v>
      </c>
      <c r="I56" s="11" t="s">
        <v>956</v>
      </c>
      <c r="J56" s="12" t="s">
        <v>130</v>
      </c>
      <c r="K56" s="13" t="s">
        <v>957</v>
      </c>
      <c r="L56" s="14" t="s">
        <v>132</v>
      </c>
      <c r="M56" s="15" t="s">
        <v>133</v>
      </c>
      <c r="N56" s="16" t="s">
        <v>134</v>
      </c>
      <c r="O56" s="17" t="s">
        <v>958</v>
      </c>
      <c r="P56" s="18" t="s">
        <v>959</v>
      </c>
      <c r="Q56" s="19" t="s">
        <v>960</v>
      </c>
      <c r="R56" s="20" t="s">
        <v>961</v>
      </c>
      <c r="S56" s="21" t="s">
        <v>962</v>
      </c>
      <c r="T56" s="22" t="s">
        <v>963</v>
      </c>
      <c r="U56" s="23">
        <v>1</v>
      </c>
      <c r="V56" s="24" t="s">
        <v>949</v>
      </c>
      <c r="W56" s="25" t="s">
        <v>141</v>
      </c>
      <c r="X56" s="26" t="s">
        <v>141</v>
      </c>
      <c r="Y56" s="27" t="s">
        <v>141</v>
      </c>
      <c r="Z56" s="28" t="s">
        <v>141</v>
      </c>
      <c r="AA56" s="29" t="s">
        <v>141</v>
      </c>
      <c r="AB56" s="30" t="s">
        <v>141</v>
      </c>
      <c r="AC56" s="31" t="s">
        <v>141</v>
      </c>
      <c r="AD56" s="32" t="s">
        <v>141</v>
      </c>
      <c r="AE56" s="33" t="s">
        <v>141</v>
      </c>
      <c r="AF56" s="34" t="s">
        <v>141</v>
      </c>
      <c r="AG56" s="35" t="s">
        <v>141</v>
      </c>
      <c r="AH56" s="36" t="s">
        <v>141</v>
      </c>
      <c r="AI56" s="37" t="s">
        <v>141</v>
      </c>
      <c r="AJ56" s="38" t="s">
        <v>142</v>
      </c>
      <c r="AK56" s="39" t="s">
        <v>141</v>
      </c>
      <c r="AL56" s="40" t="s">
        <v>141</v>
      </c>
      <c r="AM56" s="41" t="s">
        <v>143</v>
      </c>
      <c r="AN56" s="42" t="s">
        <v>964</v>
      </c>
      <c r="AO56" s="43" t="s">
        <v>141</v>
      </c>
      <c r="AP56" s="44" t="s">
        <v>145</v>
      </c>
      <c r="AQ56" s="45" t="s">
        <v>141</v>
      </c>
      <c r="AR56" s="46" t="s">
        <v>141</v>
      </c>
      <c r="AS56" s="47" t="s">
        <v>141</v>
      </c>
      <c r="AT56" s="48" t="s">
        <v>141</v>
      </c>
      <c r="AU56" s="49" t="s">
        <v>141</v>
      </c>
      <c r="AV56" s="50" t="s">
        <v>141</v>
      </c>
      <c r="AW56" s="51" t="s">
        <v>141</v>
      </c>
      <c r="AX56" s="52" t="s">
        <v>141</v>
      </c>
      <c r="AY56" s="53" t="s">
        <v>141</v>
      </c>
      <c r="AZ56" s="54" t="s">
        <v>141</v>
      </c>
      <c r="BA56" s="55" t="s">
        <v>146</v>
      </c>
      <c r="BB56" s="56" t="s">
        <v>133</v>
      </c>
      <c r="BC56" s="57" t="s">
        <v>193</v>
      </c>
      <c r="BD56" s="58">
        <v>200</v>
      </c>
      <c r="BE56" s="59">
        <v>1</v>
      </c>
      <c r="BF56" s="60" t="s">
        <v>965</v>
      </c>
      <c r="BG56" s="61">
        <v>1</v>
      </c>
      <c r="BH56" s="62" t="s">
        <v>141</v>
      </c>
      <c r="BI56" s="63" t="s">
        <v>141</v>
      </c>
      <c r="BJ56" s="64" t="s">
        <v>141</v>
      </c>
      <c r="BK56" s="65" t="s">
        <v>966</v>
      </c>
      <c r="BL56" s="66" t="s">
        <v>965</v>
      </c>
      <c r="BM56" s="67" t="s">
        <v>965</v>
      </c>
      <c r="BN56" s="68" t="s">
        <v>141</v>
      </c>
      <c r="BO56" s="69" t="s">
        <v>141</v>
      </c>
      <c r="BP56" s="70" t="s">
        <v>141</v>
      </c>
      <c r="BQ56" s="71" t="s">
        <v>141</v>
      </c>
      <c r="BR56" s="72" t="s">
        <v>141</v>
      </c>
      <c r="BS56" s="73" t="s">
        <v>141</v>
      </c>
      <c r="BT56" s="74" t="s">
        <v>141</v>
      </c>
      <c r="BU56" s="75" t="s">
        <v>141</v>
      </c>
      <c r="BV56" s="76" t="s">
        <v>141</v>
      </c>
      <c r="BW56" s="77" t="s">
        <v>141</v>
      </c>
      <c r="BX56" s="78" t="s">
        <v>141</v>
      </c>
      <c r="BY56" s="79" t="s">
        <v>141</v>
      </c>
      <c r="BZ56" s="80" t="s">
        <v>141</v>
      </c>
      <c r="CA56" s="81" t="s">
        <v>141</v>
      </c>
      <c r="CB56" s="82" t="s">
        <v>141</v>
      </c>
      <c r="CC56" s="83" t="s">
        <v>141</v>
      </c>
      <c r="CD56" s="84" t="s">
        <v>141</v>
      </c>
      <c r="CE56" s="85" t="s">
        <v>141</v>
      </c>
      <c r="CF56" s="86" t="s">
        <v>141</v>
      </c>
      <c r="CG56" s="87" t="s">
        <v>141</v>
      </c>
      <c r="CH56" s="88" t="s">
        <v>141</v>
      </c>
      <c r="CI56" s="89" t="s">
        <v>141</v>
      </c>
      <c r="CJ56" s="90" t="s">
        <v>141</v>
      </c>
      <c r="CK56" s="91" t="s">
        <v>141</v>
      </c>
      <c r="CL56" s="92" t="s">
        <v>141</v>
      </c>
      <c r="CM56" s="93" t="s">
        <v>141</v>
      </c>
      <c r="CN56" s="94" t="s">
        <v>141</v>
      </c>
      <c r="CO56" s="95" t="s">
        <v>141</v>
      </c>
      <c r="CP56" s="96" t="s">
        <v>141</v>
      </c>
      <c r="CQ56" s="97" t="s">
        <v>141</v>
      </c>
      <c r="CR56" s="98" t="s">
        <v>141</v>
      </c>
      <c r="CS56" s="99" t="s">
        <v>141</v>
      </c>
      <c r="CT56" s="100" t="s">
        <v>141</v>
      </c>
      <c r="CU56" s="101" t="s">
        <v>141</v>
      </c>
      <c r="CV56" s="102" t="s">
        <v>141</v>
      </c>
      <c r="CW56" s="103" t="s">
        <v>141</v>
      </c>
      <c r="CX56" s="104">
        <v>200</v>
      </c>
      <c r="CY56" s="105" t="s">
        <v>150</v>
      </c>
      <c r="CZ56" s="106" t="s">
        <v>967</v>
      </c>
      <c r="DA56" s="107" t="s">
        <v>152</v>
      </c>
      <c r="DB56" s="108" t="s">
        <v>153</v>
      </c>
      <c r="DC56" s="109" t="s">
        <v>968</v>
      </c>
      <c r="DD56" s="110" t="s">
        <v>155</v>
      </c>
      <c r="DE56" s="111" t="s">
        <v>969</v>
      </c>
      <c r="DF56" s="112" t="s">
        <v>157</v>
      </c>
      <c r="DG56" s="113">
        <v>2014</v>
      </c>
      <c r="DH56" s="114" t="s">
        <v>970</v>
      </c>
      <c r="DI56" s="227" t="str">
        <f>HYPERLINK("https://my.pitchbook.com?c=57057-13T", "View company online")</f>
        <v>View company online</v>
      </c>
    </row>
    <row r="57" spans="1:113" x14ac:dyDescent="0.2">
      <c r="A57" s="115" t="s">
        <v>971</v>
      </c>
      <c r="B57" s="116" t="s">
        <v>950</v>
      </c>
      <c r="C57" s="117" t="s">
        <v>951</v>
      </c>
      <c r="D57" s="118" t="s">
        <v>952</v>
      </c>
      <c r="E57" s="119" t="s">
        <v>953</v>
      </c>
      <c r="F57" s="120" t="s">
        <v>126</v>
      </c>
      <c r="G57" s="121" t="s">
        <v>954</v>
      </c>
      <c r="H57" s="122" t="s">
        <v>955</v>
      </c>
      <c r="I57" s="123" t="s">
        <v>956</v>
      </c>
      <c r="J57" s="124" t="s">
        <v>130</v>
      </c>
      <c r="K57" s="125" t="s">
        <v>957</v>
      </c>
      <c r="L57" s="126" t="s">
        <v>132</v>
      </c>
      <c r="M57" s="127" t="s">
        <v>133</v>
      </c>
      <c r="N57" s="128" t="s">
        <v>134</v>
      </c>
      <c r="O57" s="129" t="s">
        <v>958</v>
      </c>
      <c r="P57" s="130" t="s">
        <v>959</v>
      </c>
      <c r="Q57" s="131" t="s">
        <v>960</v>
      </c>
      <c r="R57" s="132" t="s">
        <v>961</v>
      </c>
      <c r="S57" s="133" t="s">
        <v>962</v>
      </c>
      <c r="T57" s="134" t="s">
        <v>963</v>
      </c>
      <c r="U57" s="135">
        <v>2</v>
      </c>
      <c r="V57" s="136" t="s">
        <v>971</v>
      </c>
      <c r="W57" s="137" t="s">
        <v>141</v>
      </c>
      <c r="X57" s="138">
        <v>42262</v>
      </c>
      <c r="Y57" s="139" t="s">
        <v>141</v>
      </c>
      <c r="Z57" s="140" t="s">
        <v>141</v>
      </c>
      <c r="AA57" s="141" t="s">
        <v>141</v>
      </c>
      <c r="AB57" s="142" t="s">
        <v>141</v>
      </c>
      <c r="AC57" s="143" t="s">
        <v>141</v>
      </c>
      <c r="AD57" s="144" t="s">
        <v>141</v>
      </c>
      <c r="AE57" s="145" t="s">
        <v>141</v>
      </c>
      <c r="AF57" s="146" t="s">
        <v>141</v>
      </c>
      <c r="AG57" s="147" t="s">
        <v>141</v>
      </c>
      <c r="AH57" s="148" t="s">
        <v>141</v>
      </c>
      <c r="AI57" s="149" t="s">
        <v>141</v>
      </c>
      <c r="AJ57" s="150" t="s">
        <v>142</v>
      </c>
      <c r="AK57" s="151" t="s">
        <v>141</v>
      </c>
      <c r="AL57" s="152" t="s">
        <v>141</v>
      </c>
      <c r="AM57" s="153" t="s">
        <v>143</v>
      </c>
      <c r="AN57" s="154" t="s">
        <v>972</v>
      </c>
      <c r="AO57" s="155" t="s">
        <v>141</v>
      </c>
      <c r="AP57" s="156" t="s">
        <v>145</v>
      </c>
      <c r="AQ57" s="157" t="s">
        <v>141</v>
      </c>
      <c r="AR57" s="158" t="s">
        <v>141</v>
      </c>
      <c r="AS57" s="159" t="s">
        <v>141</v>
      </c>
      <c r="AT57" s="160" t="s">
        <v>141</v>
      </c>
      <c r="AU57" s="161" t="s">
        <v>141</v>
      </c>
      <c r="AV57" s="162" t="s">
        <v>141</v>
      </c>
      <c r="AW57" s="163" t="s">
        <v>141</v>
      </c>
      <c r="AX57" s="164" t="s">
        <v>141</v>
      </c>
      <c r="AY57" s="165" t="s">
        <v>141</v>
      </c>
      <c r="AZ57" s="166" t="s">
        <v>141</v>
      </c>
      <c r="BA57" s="167" t="s">
        <v>146</v>
      </c>
      <c r="BB57" s="168" t="s">
        <v>133</v>
      </c>
      <c r="BC57" s="169" t="s">
        <v>193</v>
      </c>
      <c r="BD57" s="170" t="s">
        <v>141</v>
      </c>
      <c r="BE57" s="171">
        <v>1</v>
      </c>
      <c r="BF57" s="172" t="s">
        <v>973</v>
      </c>
      <c r="BG57" s="173">
        <v>1</v>
      </c>
      <c r="BH57" s="174" t="s">
        <v>141</v>
      </c>
      <c r="BI57" s="175" t="s">
        <v>141</v>
      </c>
      <c r="BJ57" s="176" t="s">
        <v>141</v>
      </c>
      <c r="BK57" s="177" t="s">
        <v>974</v>
      </c>
      <c r="BL57" s="178" t="s">
        <v>973</v>
      </c>
      <c r="BM57" s="179" t="s">
        <v>973</v>
      </c>
      <c r="BN57" s="180" t="s">
        <v>141</v>
      </c>
      <c r="BO57" s="181" t="s">
        <v>141</v>
      </c>
      <c r="BP57" s="182" t="s">
        <v>141</v>
      </c>
      <c r="BQ57" s="183" t="s">
        <v>141</v>
      </c>
      <c r="BR57" s="184" t="s">
        <v>141</v>
      </c>
      <c r="BS57" s="185" t="s">
        <v>141</v>
      </c>
      <c r="BT57" s="186" t="s">
        <v>141</v>
      </c>
      <c r="BU57" s="187" t="s">
        <v>141</v>
      </c>
      <c r="BV57" s="188" t="s">
        <v>141</v>
      </c>
      <c r="BW57" s="189" t="s">
        <v>141</v>
      </c>
      <c r="BX57" s="190" t="s">
        <v>141</v>
      </c>
      <c r="BY57" s="191" t="s">
        <v>141</v>
      </c>
      <c r="BZ57" s="192" t="s">
        <v>141</v>
      </c>
      <c r="CA57" s="193" t="s">
        <v>141</v>
      </c>
      <c r="CB57" s="194" t="s">
        <v>141</v>
      </c>
      <c r="CC57" s="195" t="s">
        <v>141</v>
      </c>
      <c r="CD57" s="196" t="s">
        <v>141</v>
      </c>
      <c r="CE57" s="197" t="s">
        <v>141</v>
      </c>
      <c r="CF57" s="198" t="s">
        <v>141</v>
      </c>
      <c r="CG57" s="199" t="s">
        <v>141</v>
      </c>
      <c r="CH57" s="200" t="s">
        <v>141</v>
      </c>
      <c r="CI57" s="201" t="s">
        <v>141</v>
      </c>
      <c r="CJ57" s="202" t="s">
        <v>141</v>
      </c>
      <c r="CK57" s="203" t="s">
        <v>141</v>
      </c>
      <c r="CL57" s="204" t="s">
        <v>141</v>
      </c>
      <c r="CM57" s="205" t="s">
        <v>141</v>
      </c>
      <c r="CN57" s="206" t="s">
        <v>141</v>
      </c>
      <c r="CO57" s="207" t="s">
        <v>141</v>
      </c>
      <c r="CP57" s="208" t="s">
        <v>141</v>
      </c>
      <c r="CQ57" s="209" t="s">
        <v>141</v>
      </c>
      <c r="CR57" s="210" t="s">
        <v>141</v>
      </c>
      <c r="CS57" s="211" t="s">
        <v>141</v>
      </c>
      <c r="CT57" s="212" t="s">
        <v>141</v>
      </c>
      <c r="CU57" s="213" t="s">
        <v>141</v>
      </c>
      <c r="CV57" s="214" t="s">
        <v>141</v>
      </c>
      <c r="CW57" s="215" t="s">
        <v>141</v>
      </c>
      <c r="CX57" s="216">
        <v>200</v>
      </c>
      <c r="CY57" s="217" t="s">
        <v>150</v>
      </c>
      <c r="CZ57" s="218" t="s">
        <v>967</v>
      </c>
      <c r="DA57" s="219" t="s">
        <v>152</v>
      </c>
      <c r="DB57" s="220" t="s">
        <v>153</v>
      </c>
      <c r="DC57" s="221" t="s">
        <v>968</v>
      </c>
      <c r="DD57" s="222" t="s">
        <v>155</v>
      </c>
      <c r="DE57" s="223" t="s">
        <v>969</v>
      </c>
      <c r="DF57" s="224" t="s">
        <v>157</v>
      </c>
      <c r="DG57" s="225">
        <v>2014</v>
      </c>
      <c r="DH57" s="226" t="s">
        <v>970</v>
      </c>
      <c r="DI57" s="228" t="str">
        <f>HYPERLINK("https://my.pitchbook.com?c=98685-10T", "View company online")</f>
        <v>View company online</v>
      </c>
    </row>
    <row r="58" spans="1:113" x14ac:dyDescent="0.2">
      <c r="A58" s="3" t="s">
        <v>975</v>
      </c>
      <c r="B58" s="4" t="s">
        <v>976</v>
      </c>
      <c r="C58" s="5" t="s">
        <v>977</v>
      </c>
      <c r="D58" s="6" t="s">
        <v>978</v>
      </c>
      <c r="E58" s="7" t="s">
        <v>979</v>
      </c>
      <c r="F58" s="8" t="s">
        <v>126</v>
      </c>
      <c r="G58" s="9" t="s">
        <v>127</v>
      </c>
      <c r="H58" s="10" t="s">
        <v>128</v>
      </c>
      <c r="I58" s="11" t="s">
        <v>129</v>
      </c>
      <c r="J58" s="12" t="s">
        <v>168</v>
      </c>
      <c r="K58" s="13" t="s">
        <v>980</v>
      </c>
      <c r="L58" s="14" t="s">
        <v>193</v>
      </c>
      <c r="M58" s="15" t="s">
        <v>133</v>
      </c>
      <c r="N58" s="16" t="s">
        <v>231</v>
      </c>
      <c r="O58" s="17" t="s">
        <v>981</v>
      </c>
      <c r="P58" s="18" t="s">
        <v>982</v>
      </c>
      <c r="Q58" s="19" t="s">
        <v>141</v>
      </c>
      <c r="R58" s="20" t="s">
        <v>141</v>
      </c>
      <c r="S58" s="21" t="s">
        <v>983</v>
      </c>
      <c r="T58" s="22" t="s">
        <v>141</v>
      </c>
      <c r="U58" s="23">
        <v>2</v>
      </c>
      <c r="V58" s="24" t="s">
        <v>975</v>
      </c>
      <c r="W58" s="25" t="s">
        <v>141</v>
      </c>
      <c r="X58" s="26">
        <v>43466</v>
      </c>
      <c r="Y58" s="27">
        <v>0.01</v>
      </c>
      <c r="Z58" s="28" t="s">
        <v>177</v>
      </c>
      <c r="AA58" s="29" t="s">
        <v>141</v>
      </c>
      <c r="AB58" s="30" t="s">
        <v>141</v>
      </c>
      <c r="AC58" s="31" t="s">
        <v>141</v>
      </c>
      <c r="AD58" s="32" t="s">
        <v>141</v>
      </c>
      <c r="AE58" s="33">
        <v>0.01</v>
      </c>
      <c r="AF58" s="34" t="s">
        <v>141</v>
      </c>
      <c r="AG58" s="35" t="s">
        <v>141</v>
      </c>
      <c r="AH58" s="36" t="s">
        <v>141</v>
      </c>
      <c r="AI58" s="37" t="s">
        <v>141</v>
      </c>
      <c r="AJ58" s="38" t="s">
        <v>142</v>
      </c>
      <c r="AK58" s="39" t="s">
        <v>141</v>
      </c>
      <c r="AL58" s="40" t="s">
        <v>141</v>
      </c>
      <c r="AM58" s="41" t="s">
        <v>143</v>
      </c>
      <c r="AN58" s="42" t="s">
        <v>979</v>
      </c>
      <c r="AO58" s="43">
        <v>0.01</v>
      </c>
      <c r="AP58" s="44" t="s">
        <v>145</v>
      </c>
      <c r="AQ58" s="45" t="s">
        <v>141</v>
      </c>
      <c r="AR58" s="46" t="s">
        <v>141</v>
      </c>
      <c r="AS58" s="47" t="s">
        <v>141</v>
      </c>
      <c r="AT58" s="48" t="s">
        <v>141</v>
      </c>
      <c r="AU58" s="49" t="s">
        <v>141</v>
      </c>
      <c r="AV58" s="50" t="s">
        <v>141</v>
      </c>
      <c r="AW58" s="51" t="s">
        <v>141</v>
      </c>
      <c r="AX58" s="52" t="s">
        <v>141</v>
      </c>
      <c r="AY58" s="53" t="s">
        <v>141</v>
      </c>
      <c r="AZ58" s="54" t="s">
        <v>141</v>
      </c>
      <c r="BA58" s="55" t="s">
        <v>146</v>
      </c>
      <c r="BB58" s="56" t="s">
        <v>133</v>
      </c>
      <c r="BC58" s="57" t="s">
        <v>193</v>
      </c>
      <c r="BD58" s="58" t="s">
        <v>141</v>
      </c>
      <c r="BE58" s="59">
        <v>1</v>
      </c>
      <c r="BF58" s="60" t="s">
        <v>984</v>
      </c>
      <c r="BG58" s="61">
        <v>1</v>
      </c>
      <c r="BH58" s="62" t="s">
        <v>141</v>
      </c>
      <c r="BI58" s="63" t="s">
        <v>141</v>
      </c>
      <c r="BJ58" s="64" t="s">
        <v>141</v>
      </c>
      <c r="BK58" s="65" t="s">
        <v>985</v>
      </c>
      <c r="BL58" s="66" t="s">
        <v>984</v>
      </c>
      <c r="BM58" s="67" t="s">
        <v>984</v>
      </c>
      <c r="BN58" s="68" t="s">
        <v>141</v>
      </c>
      <c r="BO58" s="69" t="s">
        <v>141</v>
      </c>
      <c r="BP58" s="70" t="s">
        <v>141</v>
      </c>
      <c r="BQ58" s="71" t="s">
        <v>141</v>
      </c>
      <c r="BR58" s="72" t="s">
        <v>141</v>
      </c>
      <c r="BS58" s="73" t="s">
        <v>141</v>
      </c>
      <c r="BT58" s="74" t="s">
        <v>141</v>
      </c>
      <c r="BU58" s="75" t="s">
        <v>141</v>
      </c>
      <c r="BV58" s="76" t="s">
        <v>141</v>
      </c>
      <c r="BW58" s="77" t="s">
        <v>141</v>
      </c>
      <c r="BX58" s="78" t="s">
        <v>141</v>
      </c>
      <c r="BY58" s="79" t="s">
        <v>141</v>
      </c>
      <c r="BZ58" s="80" t="s">
        <v>141</v>
      </c>
      <c r="CA58" s="81" t="s">
        <v>141</v>
      </c>
      <c r="CB58" s="82" t="s">
        <v>141</v>
      </c>
      <c r="CC58" s="83" t="s">
        <v>141</v>
      </c>
      <c r="CD58" s="84" t="s">
        <v>141</v>
      </c>
      <c r="CE58" s="85" t="s">
        <v>141</v>
      </c>
      <c r="CF58" s="86" t="s">
        <v>141</v>
      </c>
      <c r="CG58" s="87" t="s">
        <v>141</v>
      </c>
      <c r="CH58" s="88" t="s">
        <v>141</v>
      </c>
      <c r="CI58" s="89" t="s">
        <v>141</v>
      </c>
      <c r="CJ58" s="90" t="s">
        <v>141</v>
      </c>
      <c r="CK58" s="91" t="s">
        <v>141</v>
      </c>
      <c r="CL58" s="92" t="s">
        <v>141</v>
      </c>
      <c r="CM58" s="93" t="s">
        <v>141</v>
      </c>
      <c r="CN58" s="94" t="s">
        <v>141</v>
      </c>
      <c r="CO58" s="95" t="s">
        <v>141</v>
      </c>
      <c r="CP58" s="96" t="s">
        <v>141</v>
      </c>
      <c r="CQ58" s="97" t="s">
        <v>141</v>
      </c>
      <c r="CR58" s="98" t="s">
        <v>141</v>
      </c>
      <c r="CS58" s="99" t="s">
        <v>141</v>
      </c>
      <c r="CT58" s="100" t="s">
        <v>141</v>
      </c>
      <c r="CU58" s="101" t="s">
        <v>141</v>
      </c>
      <c r="CV58" s="102" t="s">
        <v>141</v>
      </c>
      <c r="CW58" s="103" t="s">
        <v>141</v>
      </c>
      <c r="CX58" s="104" t="s">
        <v>141</v>
      </c>
      <c r="CY58" s="105" t="s">
        <v>150</v>
      </c>
      <c r="CZ58" s="106" t="s">
        <v>986</v>
      </c>
      <c r="DA58" s="107" t="s">
        <v>152</v>
      </c>
      <c r="DB58" s="108" t="s">
        <v>153</v>
      </c>
      <c r="DC58" s="109" t="s">
        <v>987</v>
      </c>
      <c r="DD58" s="110" t="s">
        <v>201</v>
      </c>
      <c r="DE58" s="111" t="s">
        <v>141</v>
      </c>
      <c r="DF58" s="112" t="s">
        <v>157</v>
      </c>
      <c r="DG58" s="113">
        <v>2018</v>
      </c>
      <c r="DH58" s="114" t="s">
        <v>988</v>
      </c>
      <c r="DI58" s="227" t="str">
        <f>HYPERLINK("https://my.pitchbook.com?c=124948-54T", "View company online")</f>
        <v>View company online</v>
      </c>
    </row>
    <row r="59" spans="1:113" x14ac:dyDescent="0.2">
      <c r="A59" s="115" t="s">
        <v>989</v>
      </c>
      <c r="B59" s="116" t="s">
        <v>976</v>
      </c>
      <c r="C59" s="117" t="s">
        <v>977</v>
      </c>
      <c r="D59" s="118" t="s">
        <v>978</v>
      </c>
      <c r="E59" s="119" t="s">
        <v>979</v>
      </c>
      <c r="F59" s="120" t="s">
        <v>126</v>
      </c>
      <c r="G59" s="121" t="s">
        <v>127</v>
      </c>
      <c r="H59" s="122" t="s">
        <v>128</v>
      </c>
      <c r="I59" s="123" t="s">
        <v>129</v>
      </c>
      <c r="J59" s="124" t="s">
        <v>168</v>
      </c>
      <c r="K59" s="125" t="s">
        <v>980</v>
      </c>
      <c r="L59" s="126" t="s">
        <v>193</v>
      </c>
      <c r="M59" s="127" t="s">
        <v>133</v>
      </c>
      <c r="N59" s="128" t="s">
        <v>231</v>
      </c>
      <c r="O59" s="129" t="s">
        <v>981</v>
      </c>
      <c r="P59" s="130" t="s">
        <v>982</v>
      </c>
      <c r="Q59" s="131" t="s">
        <v>141</v>
      </c>
      <c r="R59" s="132" t="s">
        <v>141</v>
      </c>
      <c r="S59" s="133" t="s">
        <v>983</v>
      </c>
      <c r="T59" s="134" t="s">
        <v>141</v>
      </c>
      <c r="U59" s="135">
        <v>1</v>
      </c>
      <c r="V59" s="136" t="s">
        <v>989</v>
      </c>
      <c r="W59" s="137" t="s">
        <v>141</v>
      </c>
      <c r="X59" s="138">
        <v>43221</v>
      </c>
      <c r="Y59" s="139">
        <v>0.01</v>
      </c>
      <c r="Z59" s="140" t="s">
        <v>177</v>
      </c>
      <c r="AA59" s="141" t="s">
        <v>141</v>
      </c>
      <c r="AB59" s="142" t="s">
        <v>141</v>
      </c>
      <c r="AC59" s="143" t="s">
        <v>141</v>
      </c>
      <c r="AD59" s="144">
        <v>1</v>
      </c>
      <c r="AE59" s="145">
        <v>0</v>
      </c>
      <c r="AF59" s="146" t="s">
        <v>141</v>
      </c>
      <c r="AG59" s="147" t="s">
        <v>141</v>
      </c>
      <c r="AH59" s="148" t="s">
        <v>141</v>
      </c>
      <c r="AI59" s="149" t="s">
        <v>141</v>
      </c>
      <c r="AJ59" s="150" t="s">
        <v>142</v>
      </c>
      <c r="AK59" s="151" t="s">
        <v>141</v>
      </c>
      <c r="AL59" s="152" t="s">
        <v>141</v>
      </c>
      <c r="AM59" s="153" t="s">
        <v>143</v>
      </c>
      <c r="AN59" s="154" t="s">
        <v>990</v>
      </c>
      <c r="AO59" s="155">
        <v>0.01</v>
      </c>
      <c r="AP59" s="156" t="s">
        <v>145</v>
      </c>
      <c r="AQ59" s="157" t="s">
        <v>141</v>
      </c>
      <c r="AR59" s="158" t="s">
        <v>141</v>
      </c>
      <c r="AS59" s="159" t="s">
        <v>141</v>
      </c>
      <c r="AT59" s="160" t="s">
        <v>141</v>
      </c>
      <c r="AU59" s="161" t="s">
        <v>141</v>
      </c>
      <c r="AV59" s="162" t="s">
        <v>141</v>
      </c>
      <c r="AW59" s="163" t="s">
        <v>141</v>
      </c>
      <c r="AX59" s="164" t="s">
        <v>141</v>
      </c>
      <c r="AY59" s="165" t="s">
        <v>141</v>
      </c>
      <c r="AZ59" s="166" t="s">
        <v>141</v>
      </c>
      <c r="BA59" s="167" t="s">
        <v>146</v>
      </c>
      <c r="BB59" s="168" t="s">
        <v>133</v>
      </c>
      <c r="BC59" s="169" t="s">
        <v>193</v>
      </c>
      <c r="BD59" s="170" t="s">
        <v>141</v>
      </c>
      <c r="BE59" s="171">
        <v>1</v>
      </c>
      <c r="BF59" s="172" t="s">
        <v>991</v>
      </c>
      <c r="BG59" s="173">
        <v>1</v>
      </c>
      <c r="BH59" s="174" t="s">
        <v>141</v>
      </c>
      <c r="BI59" s="175" t="s">
        <v>141</v>
      </c>
      <c r="BJ59" s="176" t="s">
        <v>141</v>
      </c>
      <c r="BK59" s="177" t="s">
        <v>992</v>
      </c>
      <c r="BL59" s="178" t="s">
        <v>991</v>
      </c>
      <c r="BM59" s="179" t="s">
        <v>991</v>
      </c>
      <c r="BN59" s="180" t="s">
        <v>141</v>
      </c>
      <c r="BO59" s="181" t="s">
        <v>141</v>
      </c>
      <c r="BP59" s="182" t="s">
        <v>141</v>
      </c>
      <c r="BQ59" s="183" t="s">
        <v>141</v>
      </c>
      <c r="BR59" s="184" t="s">
        <v>141</v>
      </c>
      <c r="BS59" s="185" t="s">
        <v>141</v>
      </c>
      <c r="BT59" s="186" t="s">
        <v>141</v>
      </c>
      <c r="BU59" s="187" t="s">
        <v>141</v>
      </c>
      <c r="BV59" s="188" t="s">
        <v>141</v>
      </c>
      <c r="BW59" s="189" t="s">
        <v>141</v>
      </c>
      <c r="BX59" s="190" t="s">
        <v>141</v>
      </c>
      <c r="BY59" s="191" t="s">
        <v>141</v>
      </c>
      <c r="BZ59" s="192" t="s">
        <v>141</v>
      </c>
      <c r="CA59" s="193" t="s">
        <v>141</v>
      </c>
      <c r="CB59" s="194" t="s">
        <v>141</v>
      </c>
      <c r="CC59" s="195" t="s">
        <v>141</v>
      </c>
      <c r="CD59" s="196" t="s">
        <v>141</v>
      </c>
      <c r="CE59" s="197" t="s">
        <v>141</v>
      </c>
      <c r="CF59" s="198" t="s">
        <v>141</v>
      </c>
      <c r="CG59" s="199" t="s">
        <v>141</v>
      </c>
      <c r="CH59" s="200" t="s">
        <v>141</v>
      </c>
      <c r="CI59" s="201" t="s">
        <v>141</v>
      </c>
      <c r="CJ59" s="202" t="s">
        <v>141</v>
      </c>
      <c r="CK59" s="203" t="s">
        <v>141</v>
      </c>
      <c r="CL59" s="204" t="s">
        <v>141</v>
      </c>
      <c r="CM59" s="205" t="s">
        <v>141</v>
      </c>
      <c r="CN59" s="206" t="s">
        <v>141</v>
      </c>
      <c r="CO59" s="207" t="s">
        <v>141</v>
      </c>
      <c r="CP59" s="208" t="s">
        <v>141</v>
      </c>
      <c r="CQ59" s="209" t="s">
        <v>141</v>
      </c>
      <c r="CR59" s="210" t="s">
        <v>141</v>
      </c>
      <c r="CS59" s="211" t="s">
        <v>141</v>
      </c>
      <c r="CT59" s="212" t="s">
        <v>141</v>
      </c>
      <c r="CU59" s="213" t="s">
        <v>141</v>
      </c>
      <c r="CV59" s="214" t="s">
        <v>141</v>
      </c>
      <c r="CW59" s="215" t="s">
        <v>141</v>
      </c>
      <c r="CX59" s="216" t="s">
        <v>141</v>
      </c>
      <c r="CY59" s="217" t="s">
        <v>150</v>
      </c>
      <c r="CZ59" s="218" t="s">
        <v>986</v>
      </c>
      <c r="DA59" s="219" t="s">
        <v>152</v>
      </c>
      <c r="DB59" s="220" t="s">
        <v>153</v>
      </c>
      <c r="DC59" s="221" t="s">
        <v>987</v>
      </c>
      <c r="DD59" s="222" t="s">
        <v>201</v>
      </c>
      <c r="DE59" s="223" t="s">
        <v>141</v>
      </c>
      <c r="DF59" s="224" t="s">
        <v>157</v>
      </c>
      <c r="DG59" s="225">
        <v>2018</v>
      </c>
      <c r="DH59" s="226" t="s">
        <v>988</v>
      </c>
      <c r="DI59" s="228" t="str">
        <f>HYPERLINK("https://my.pitchbook.com?c=124950-97T", "View company online")</f>
        <v>View company online</v>
      </c>
    </row>
    <row r="60" spans="1:113" x14ac:dyDescent="0.2">
      <c r="A60" s="3" t="s">
        <v>993</v>
      </c>
      <c r="B60" s="4" t="s">
        <v>994</v>
      </c>
      <c r="C60" s="5" t="s">
        <v>995</v>
      </c>
      <c r="D60" s="6" t="s">
        <v>996</v>
      </c>
      <c r="E60" s="7" t="s">
        <v>997</v>
      </c>
      <c r="F60" s="8" t="s">
        <v>126</v>
      </c>
      <c r="G60" s="9" t="s">
        <v>127</v>
      </c>
      <c r="H60" s="10" t="s">
        <v>128</v>
      </c>
      <c r="I60" s="11" t="s">
        <v>129</v>
      </c>
      <c r="J60" s="12" t="s">
        <v>998</v>
      </c>
      <c r="K60" s="13" t="s">
        <v>999</v>
      </c>
      <c r="L60" s="14" t="s">
        <v>132</v>
      </c>
      <c r="M60" s="15" t="s">
        <v>133</v>
      </c>
      <c r="N60" s="16" t="s">
        <v>170</v>
      </c>
      <c r="O60" s="17" t="s">
        <v>1000</v>
      </c>
      <c r="P60" s="18" t="s">
        <v>1001</v>
      </c>
      <c r="Q60" s="19" t="s">
        <v>1002</v>
      </c>
      <c r="R60" s="20" t="s">
        <v>1003</v>
      </c>
      <c r="S60" s="21" t="s">
        <v>1004</v>
      </c>
      <c r="T60" s="22" t="s">
        <v>1005</v>
      </c>
      <c r="U60" s="23">
        <v>3</v>
      </c>
      <c r="V60" s="24" t="s">
        <v>993</v>
      </c>
      <c r="W60" s="25" t="s">
        <v>141</v>
      </c>
      <c r="X60" s="26">
        <v>43326</v>
      </c>
      <c r="Y60" s="27" t="s">
        <v>141</v>
      </c>
      <c r="Z60" s="28" t="s">
        <v>141</v>
      </c>
      <c r="AA60" s="29" t="s">
        <v>141</v>
      </c>
      <c r="AB60" s="30" t="s">
        <v>141</v>
      </c>
      <c r="AC60" s="31" t="s">
        <v>141</v>
      </c>
      <c r="AD60" s="32" t="s">
        <v>141</v>
      </c>
      <c r="AE60" s="33">
        <v>9.6</v>
      </c>
      <c r="AF60" s="34" t="s">
        <v>141</v>
      </c>
      <c r="AG60" s="35" t="s">
        <v>141</v>
      </c>
      <c r="AH60" s="36" t="s">
        <v>141</v>
      </c>
      <c r="AI60" s="37" t="s">
        <v>141</v>
      </c>
      <c r="AJ60" s="38" t="s">
        <v>142</v>
      </c>
      <c r="AK60" s="39" t="s">
        <v>141</v>
      </c>
      <c r="AL60" s="40" t="s">
        <v>141</v>
      </c>
      <c r="AM60" s="41" t="s">
        <v>143</v>
      </c>
      <c r="AN60" s="42" t="s">
        <v>1006</v>
      </c>
      <c r="AO60" s="43" t="s">
        <v>141</v>
      </c>
      <c r="AP60" s="44" t="s">
        <v>145</v>
      </c>
      <c r="AQ60" s="45" t="s">
        <v>141</v>
      </c>
      <c r="AR60" s="46" t="s">
        <v>141</v>
      </c>
      <c r="AS60" s="47" t="s">
        <v>141</v>
      </c>
      <c r="AT60" s="48" t="s">
        <v>141</v>
      </c>
      <c r="AU60" s="49" t="s">
        <v>141</v>
      </c>
      <c r="AV60" s="50" t="s">
        <v>141</v>
      </c>
      <c r="AW60" s="51" t="s">
        <v>141</v>
      </c>
      <c r="AX60" s="52" t="s">
        <v>141</v>
      </c>
      <c r="AY60" s="53" t="s">
        <v>141</v>
      </c>
      <c r="AZ60" s="54" t="s">
        <v>141</v>
      </c>
      <c r="BA60" s="55" t="s">
        <v>146</v>
      </c>
      <c r="BB60" s="56" t="s">
        <v>133</v>
      </c>
      <c r="BC60" s="57" t="s">
        <v>132</v>
      </c>
      <c r="BD60" s="58" t="s">
        <v>141</v>
      </c>
      <c r="BE60" s="59">
        <v>1</v>
      </c>
      <c r="BF60" s="60" t="s">
        <v>141</v>
      </c>
      <c r="BG60" s="61" t="s">
        <v>141</v>
      </c>
      <c r="BH60" s="62" t="s">
        <v>807</v>
      </c>
      <c r="BI60" s="63">
        <v>1</v>
      </c>
      <c r="BJ60" s="64" t="s">
        <v>141</v>
      </c>
      <c r="BK60" s="65" t="s">
        <v>808</v>
      </c>
      <c r="BL60" s="66" t="s">
        <v>809</v>
      </c>
      <c r="BM60" s="67" t="s">
        <v>809</v>
      </c>
      <c r="BN60" s="68" t="s">
        <v>141</v>
      </c>
      <c r="BO60" s="69" t="s">
        <v>141</v>
      </c>
      <c r="BP60" s="70" t="s">
        <v>141</v>
      </c>
      <c r="BQ60" s="71" t="s">
        <v>141</v>
      </c>
      <c r="BR60" s="72" t="s">
        <v>141</v>
      </c>
      <c r="BS60" s="73" t="s">
        <v>141</v>
      </c>
      <c r="BT60" s="74" t="s">
        <v>141</v>
      </c>
      <c r="BU60" s="75" t="s">
        <v>141</v>
      </c>
      <c r="BV60" s="76" t="s">
        <v>141</v>
      </c>
      <c r="BW60" s="77" t="s">
        <v>141</v>
      </c>
      <c r="BX60" s="78" t="s">
        <v>141</v>
      </c>
      <c r="BY60" s="79" t="s">
        <v>141</v>
      </c>
      <c r="BZ60" s="80" t="s">
        <v>141</v>
      </c>
      <c r="CA60" s="81" t="s">
        <v>141</v>
      </c>
      <c r="CB60" s="82" t="s">
        <v>141</v>
      </c>
      <c r="CC60" s="83" t="s">
        <v>141</v>
      </c>
      <c r="CD60" s="84" t="s">
        <v>141</v>
      </c>
      <c r="CE60" s="85" t="s">
        <v>141</v>
      </c>
      <c r="CF60" s="86" t="s">
        <v>141</v>
      </c>
      <c r="CG60" s="87" t="s">
        <v>141</v>
      </c>
      <c r="CH60" s="88" t="s">
        <v>141</v>
      </c>
      <c r="CI60" s="89" t="s">
        <v>141</v>
      </c>
      <c r="CJ60" s="90" t="s">
        <v>141</v>
      </c>
      <c r="CK60" s="91" t="s">
        <v>141</v>
      </c>
      <c r="CL60" s="92" t="s">
        <v>141</v>
      </c>
      <c r="CM60" s="93" t="s">
        <v>141</v>
      </c>
      <c r="CN60" s="94" t="s">
        <v>141</v>
      </c>
      <c r="CO60" s="95" t="s">
        <v>141</v>
      </c>
      <c r="CP60" s="96" t="s">
        <v>141</v>
      </c>
      <c r="CQ60" s="97" t="s">
        <v>141</v>
      </c>
      <c r="CR60" s="98" t="s">
        <v>141</v>
      </c>
      <c r="CS60" s="99" t="s">
        <v>141</v>
      </c>
      <c r="CT60" s="100" t="s">
        <v>141</v>
      </c>
      <c r="CU60" s="101" t="s">
        <v>141</v>
      </c>
      <c r="CV60" s="102" t="s">
        <v>141</v>
      </c>
      <c r="CW60" s="103" t="s">
        <v>141</v>
      </c>
      <c r="CX60" s="104">
        <v>85</v>
      </c>
      <c r="CY60" s="105" t="s">
        <v>150</v>
      </c>
      <c r="CZ60" s="106" t="s">
        <v>180</v>
      </c>
      <c r="DA60" s="107" t="s">
        <v>152</v>
      </c>
      <c r="DB60" s="108" t="s">
        <v>153</v>
      </c>
      <c r="DC60" s="109" t="s">
        <v>181</v>
      </c>
      <c r="DD60" s="110" t="s">
        <v>182</v>
      </c>
      <c r="DE60" s="111" t="s">
        <v>183</v>
      </c>
      <c r="DF60" s="112" t="s">
        <v>157</v>
      </c>
      <c r="DG60" s="113">
        <v>2015</v>
      </c>
      <c r="DH60" s="114" t="s">
        <v>1007</v>
      </c>
      <c r="DI60" s="227" t="str">
        <f>HYPERLINK("https://my.pitchbook.com?c=120664-54T", "View company online")</f>
        <v>View company online</v>
      </c>
    </row>
    <row r="61" spans="1:113" x14ac:dyDescent="0.2">
      <c r="A61" s="115" t="s">
        <v>1008</v>
      </c>
      <c r="B61" s="116" t="s">
        <v>1009</v>
      </c>
      <c r="C61" s="117" t="s">
        <v>1010</v>
      </c>
      <c r="D61" s="118" t="s">
        <v>1011</v>
      </c>
      <c r="E61" s="119" t="s">
        <v>1012</v>
      </c>
      <c r="F61" s="120" t="s">
        <v>126</v>
      </c>
      <c r="G61" s="121" t="s">
        <v>456</v>
      </c>
      <c r="H61" s="122" t="s">
        <v>457</v>
      </c>
      <c r="I61" s="123" t="s">
        <v>1013</v>
      </c>
      <c r="J61" s="124" t="s">
        <v>708</v>
      </c>
      <c r="K61" s="125" t="s">
        <v>1014</v>
      </c>
      <c r="L61" s="126" t="s">
        <v>132</v>
      </c>
      <c r="M61" s="127" t="s">
        <v>133</v>
      </c>
      <c r="N61" s="128" t="s">
        <v>1015</v>
      </c>
      <c r="O61" s="129" t="s">
        <v>1016</v>
      </c>
      <c r="P61" s="130" t="s">
        <v>1017</v>
      </c>
      <c r="Q61" s="131" t="s">
        <v>141</v>
      </c>
      <c r="R61" s="132" t="s">
        <v>141</v>
      </c>
      <c r="S61" s="133" t="s">
        <v>1018</v>
      </c>
      <c r="T61" s="134" t="s">
        <v>1019</v>
      </c>
      <c r="U61" s="135">
        <v>3</v>
      </c>
      <c r="V61" s="136" t="s">
        <v>1008</v>
      </c>
      <c r="W61" s="137" t="s">
        <v>141</v>
      </c>
      <c r="X61" s="138">
        <v>42017</v>
      </c>
      <c r="Y61" s="139">
        <v>0.02</v>
      </c>
      <c r="Z61" s="140" t="s">
        <v>177</v>
      </c>
      <c r="AA61" s="141" t="s">
        <v>141</v>
      </c>
      <c r="AB61" s="142" t="s">
        <v>141</v>
      </c>
      <c r="AC61" s="143" t="s">
        <v>141</v>
      </c>
      <c r="AD61" s="144">
        <v>5</v>
      </c>
      <c r="AE61" s="145">
        <v>0.02</v>
      </c>
      <c r="AF61" s="146" t="s">
        <v>141</v>
      </c>
      <c r="AG61" s="147" t="s">
        <v>141</v>
      </c>
      <c r="AH61" s="148" t="s">
        <v>141</v>
      </c>
      <c r="AI61" s="149" t="s">
        <v>141</v>
      </c>
      <c r="AJ61" s="150" t="s">
        <v>142</v>
      </c>
      <c r="AK61" s="151" t="s">
        <v>141</v>
      </c>
      <c r="AL61" s="152" t="s">
        <v>141</v>
      </c>
      <c r="AM61" s="153" t="s">
        <v>143</v>
      </c>
      <c r="AN61" s="154" t="s">
        <v>1020</v>
      </c>
      <c r="AO61" s="155">
        <v>0.02</v>
      </c>
      <c r="AP61" s="156" t="s">
        <v>145</v>
      </c>
      <c r="AQ61" s="157" t="s">
        <v>141</v>
      </c>
      <c r="AR61" s="158" t="s">
        <v>141</v>
      </c>
      <c r="AS61" s="159" t="s">
        <v>141</v>
      </c>
      <c r="AT61" s="160" t="s">
        <v>141</v>
      </c>
      <c r="AU61" s="161" t="s">
        <v>141</v>
      </c>
      <c r="AV61" s="162" t="s">
        <v>141</v>
      </c>
      <c r="AW61" s="163" t="s">
        <v>141</v>
      </c>
      <c r="AX61" s="164" t="s">
        <v>141</v>
      </c>
      <c r="AY61" s="165" t="s">
        <v>141</v>
      </c>
      <c r="AZ61" s="166" t="s">
        <v>141</v>
      </c>
      <c r="BA61" s="167" t="s">
        <v>146</v>
      </c>
      <c r="BB61" s="168" t="s">
        <v>133</v>
      </c>
      <c r="BC61" s="169" t="s">
        <v>193</v>
      </c>
      <c r="BD61" s="170" t="s">
        <v>141</v>
      </c>
      <c r="BE61" s="171">
        <v>1</v>
      </c>
      <c r="BF61" s="172" t="s">
        <v>1021</v>
      </c>
      <c r="BG61" s="173">
        <v>1</v>
      </c>
      <c r="BH61" s="174" t="s">
        <v>141</v>
      </c>
      <c r="BI61" s="175" t="s">
        <v>141</v>
      </c>
      <c r="BJ61" s="176" t="s">
        <v>141</v>
      </c>
      <c r="BK61" s="177" t="s">
        <v>1022</v>
      </c>
      <c r="BL61" s="178" t="s">
        <v>1021</v>
      </c>
      <c r="BM61" s="179" t="s">
        <v>1021</v>
      </c>
      <c r="BN61" s="180" t="s">
        <v>141</v>
      </c>
      <c r="BO61" s="181" t="s">
        <v>141</v>
      </c>
      <c r="BP61" s="182" t="s">
        <v>141</v>
      </c>
      <c r="BQ61" s="183" t="s">
        <v>141</v>
      </c>
      <c r="BR61" s="184" t="s">
        <v>1023</v>
      </c>
      <c r="BS61" s="185" t="s">
        <v>1023</v>
      </c>
      <c r="BT61" s="186" t="s">
        <v>141</v>
      </c>
      <c r="BU61" s="187" t="s">
        <v>141</v>
      </c>
      <c r="BV61" s="188" t="s">
        <v>141</v>
      </c>
      <c r="BW61" s="189" t="s">
        <v>141</v>
      </c>
      <c r="BX61" s="190" t="s">
        <v>141</v>
      </c>
      <c r="BY61" s="191" t="s">
        <v>141</v>
      </c>
      <c r="BZ61" s="192" t="s">
        <v>141</v>
      </c>
      <c r="CA61" s="193" t="s">
        <v>141</v>
      </c>
      <c r="CB61" s="194" t="s">
        <v>141</v>
      </c>
      <c r="CC61" s="195" t="s">
        <v>141</v>
      </c>
      <c r="CD61" s="196" t="s">
        <v>141</v>
      </c>
      <c r="CE61" s="197" t="s">
        <v>141</v>
      </c>
      <c r="CF61" s="198" t="s">
        <v>141</v>
      </c>
      <c r="CG61" s="199" t="s">
        <v>141</v>
      </c>
      <c r="CH61" s="200" t="s">
        <v>141</v>
      </c>
      <c r="CI61" s="201" t="s">
        <v>141</v>
      </c>
      <c r="CJ61" s="202" t="s">
        <v>141</v>
      </c>
      <c r="CK61" s="203" t="s">
        <v>141</v>
      </c>
      <c r="CL61" s="204" t="s">
        <v>141</v>
      </c>
      <c r="CM61" s="205" t="s">
        <v>141</v>
      </c>
      <c r="CN61" s="206" t="s">
        <v>141</v>
      </c>
      <c r="CO61" s="207" t="s">
        <v>141</v>
      </c>
      <c r="CP61" s="208" t="s">
        <v>141</v>
      </c>
      <c r="CQ61" s="209" t="s">
        <v>141</v>
      </c>
      <c r="CR61" s="210" t="s">
        <v>141</v>
      </c>
      <c r="CS61" s="211" t="s">
        <v>141</v>
      </c>
      <c r="CT61" s="212" t="s">
        <v>141</v>
      </c>
      <c r="CU61" s="213" t="s">
        <v>141</v>
      </c>
      <c r="CV61" s="214" t="s">
        <v>141</v>
      </c>
      <c r="CW61" s="215" t="s">
        <v>141</v>
      </c>
      <c r="CX61" s="216">
        <v>23</v>
      </c>
      <c r="CY61" s="217" t="s">
        <v>150</v>
      </c>
      <c r="CZ61" s="218" t="s">
        <v>1024</v>
      </c>
      <c r="DA61" s="219" t="s">
        <v>152</v>
      </c>
      <c r="DB61" s="220" t="s">
        <v>153</v>
      </c>
      <c r="DC61" s="221" t="s">
        <v>1025</v>
      </c>
      <c r="DD61" s="222" t="s">
        <v>182</v>
      </c>
      <c r="DE61" s="223" t="s">
        <v>1026</v>
      </c>
      <c r="DF61" s="224" t="s">
        <v>157</v>
      </c>
      <c r="DG61" s="225">
        <v>2014</v>
      </c>
      <c r="DH61" s="226" t="s">
        <v>1027</v>
      </c>
      <c r="DI61" s="228" t="str">
        <f>HYPERLINK("https://my.pitchbook.com?c=57309-76T", "View company online")</f>
        <v>View company online</v>
      </c>
    </row>
    <row r="62" spans="1:113" x14ac:dyDescent="0.2">
      <c r="A62" s="3" t="s">
        <v>1028</v>
      </c>
      <c r="B62" s="4" t="s">
        <v>1009</v>
      </c>
      <c r="C62" s="5" t="s">
        <v>1010</v>
      </c>
      <c r="D62" s="6" t="s">
        <v>1011</v>
      </c>
      <c r="E62" s="7" t="s">
        <v>1012</v>
      </c>
      <c r="F62" s="8" t="s">
        <v>126</v>
      </c>
      <c r="G62" s="9" t="s">
        <v>456</v>
      </c>
      <c r="H62" s="10" t="s">
        <v>457</v>
      </c>
      <c r="I62" s="11" t="s">
        <v>1013</v>
      </c>
      <c r="J62" s="12" t="s">
        <v>708</v>
      </c>
      <c r="K62" s="13" t="s">
        <v>1014</v>
      </c>
      <c r="L62" s="14" t="s">
        <v>132</v>
      </c>
      <c r="M62" s="15" t="s">
        <v>133</v>
      </c>
      <c r="N62" s="16" t="s">
        <v>1015</v>
      </c>
      <c r="O62" s="17" t="s">
        <v>1016</v>
      </c>
      <c r="P62" s="18" t="s">
        <v>1017</v>
      </c>
      <c r="Q62" s="19" t="s">
        <v>141</v>
      </c>
      <c r="R62" s="20" t="s">
        <v>141</v>
      </c>
      <c r="S62" s="21" t="s">
        <v>1018</v>
      </c>
      <c r="T62" s="22" t="s">
        <v>1019</v>
      </c>
      <c r="U62" s="23">
        <v>4</v>
      </c>
      <c r="V62" s="24" t="s">
        <v>1028</v>
      </c>
      <c r="W62" s="25" t="s">
        <v>141</v>
      </c>
      <c r="X62" s="26">
        <v>42521</v>
      </c>
      <c r="Y62" s="27" t="s">
        <v>141</v>
      </c>
      <c r="Z62" s="28" t="s">
        <v>141</v>
      </c>
      <c r="AA62" s="29" t="s">
        <v>141</v>
      </c>
      <c r="AB62" s="30" t="s">
        <v>141</v>
      </c>
      <c r="AC62" s="31" t="s">
        <v>141</v>
      </c>
      <c r="AD62" s="32" t="s">
        <v>141</v>
      </c>
      <c r="AE62" s="33">
        <v>0.02</v>
      </c>
      <c r="AF62" s="34" t="s">
        <v>141</v>
      </c>
      <c r="AG62" s="35" t="s">
        <v>141</v>
      </c>
      <c r="AH62" s="36" t="s">
        <v>141</v>
      </c>
      <c r="AI62" s="37" t="s">
        <v>141</v>
      </c>
      <c r="AJ62" s="38" t="s">
        <v>142</v>
      </c>
      <c r="AK62" s="39" t="s">
        <v>141</v>
      </c>
      <c r="AL62" s="40" t="s">
        <v>141</v>
      </c>
      <c r="AM62" s="41" t="s">
        <v>143</v>
      </c>
      <c r="AN62" s="42" t="s">
        <v>1029</v>
      </c>
      <c r="AO62" s="43" t="s">
        <v>141</v>
      </c>
      <c r="AP62" s="44" t="s">
        <v>145</v>
      </c>
      <c r="AQ62" s="45" t="s">
        <v>141</v>
      </c>
      <c r="AR62" s="46" t="s">
        <v>141</v>
      </c>
      <c r="AS62" s="47" t="s">
        <v>141</v>
      </c>
      <c r="AT62" s="48" t="s">
        <v>141</v>
      </c>
      <c r="AU62" s="49" t="s">
        <v>141</v>
      </c>
      <c r="AV62" s="50" t="s">
        <v>141</v>
      </c>
      <c r="AW62" s="51" t="s">
        <v>141</v>
      </c>
      <c r="AX62" s="52" t="s">
        <v>141</v>
      </c>
      <c r="AY62" s="53" t="s">
        <v>141</v>
      </c>
      <c r="AZ62" s="54" t="s">
        <v>141</v>
      </c>
      <c r="BA62" s="55" t="s">
        <v>146</v>
      </c>
      <c r="BB62" s="56" t="s">
        <v>133</v>
      </c>
      <c r="BC62" s="57" t="s">
        <v>193</v>
      </c>
      <c r="BD62" s="58">
        <v>8</v>
      </c>
      <c r="BE62" s="59">
        <v>1</v>
      </c>
      <c r="BF62" s="60" t="s">
        <v>1030</v>
      </c>
      <c r="BG62" s="61">
        <v>1</v>
      </c>
      <c r="BH62" s="62" t="s">
        <v>141</v>
      </c>
      <c r="BI62" s="63" t="s">
        <v>141</v>
      </c>
      <c r="BJ62" s="64" t="s">
        <v>141</v>
      </c>
      <c r="BK62" s="65" t="s">
        <v>1031</v>
      </c>
      <c r="BL62" s="66" t="s">
        <v>1030</v>
      </c>
      <c r="BM62" s="67" t="s">
        <v>1030</v>
      </c>
      <c r="BN62" s="68" t="s">
        <v>141</v>
      </c>
      <c r="BO62" s="69" t="s">
        <v>141</v>
      </c>
      <c r="BP62" s="70" t="s">
        <v>141</v>
      </c>
      <c r="BQ62" s="71" t="s">
        <v>141</v>
      </c>
      <c r="BR62" s="72" t="s">
        <v>1023</v>
      </c>
      <c r="BS62" s="73" t="s">
        <v>1023</v>
      </c>
      <c r="BT62" s="74" t="s">
        <v>141</v>
      </c>
      <c r="BU62" s="75" t="s">
        <v>141</v>
      </c>
      <c r="BV62" s="76" t="s">
        <v>141</v>
      </c>
      <c r="BW62" s="77" t="s">
        <v>141</v>
      </c>
      <c r="BX62" s="78" t="s">
        <v>141</v>
      </c>
      <c r="BY62" s="79" t="s">
        <v>141</v>
      </c>
      <c r="BZ62" s="80" t="s">
        <v>141</v>
      </c>
      <c r="CA62" s="81" t="s">
        <v>141</v>
      </c>
      <c r="CB62" s="82" t="s">
        <v>141</v>
      </c>
      <c r="CC62" s="83" t="s">
        <v>141</v>
      </c>
      <c r="CD62" s="84" t="s">
        <v>141</v>
      </c>
      <c r="CE62" s="85" t="s">
        <v>141</v>
      </c>
      <c r="CF62" s="86" t="s">
        <v>141</v>
      </c>
      <c r="CG62" s="87" t="s">
        <v>141</v>
      </c>
      <c r="CH62" s="88" t="s">
        <v>141</v>
      </c>
      <c r="CI62" s="89" t="s">
        <v>141</v>
      </c>
      <c r="CJ62" s="90" t="s">
        <v>141</v>
      </c>
      <c r="CK62" s="91" t="s">
        <v>141</v>
      </c>
      <c r="CL62" s="92" t="s">
        <v>141</v>
      </c>
      <c r="CM62" s="93" t="s">
        <v>141</v>
      </c>
      <c r="CN62" s="94" t="s">
        <v>141</v>
      </c>
      <c r="CO62" s="95" t="s">
        <v>141</v>
      </c>
      <c r="CP62" s="96" t="s">
        <v>141</v>
      </c>
      <c r="CQ62" s="97" t="s">
        <v>141</v>
      </c>
      <c r="CR62" s="98" t="s">
        <v>141</v>
      </c>
      <c r="CS62" s="99" t="s">
        <v>141</v>
      </c>
      <c r="CT62" s="100" t="s">
        <v>141</v>
      </c>
      <c r="CU62" s="101" t="s">
        <v>141</v>
      </c>
      <c r="CV62" s="102" t="s">
        <v>141</v>
      </c>
      <c r="CW62" s="103" t="s">
        <v>141</v>
      </c>
      <c r="CX62" s="104">
        <v>23</v>
      </c>
      <c r="CY62" s="105" t="s">
        <v>150</v>
      </c>
      <c r="CZ62" s="106" t="s">
        <v>1024</v>
      </c>
      <c r="DA62" s="107" t="s">
        <v>152</v>
      </c>
      <c r="DB62" s="108" t="s">
        <v>153</v>
      </c>
      <c r="DC62" s="109" t="s">
        <v>1025</v>
      </c>
      <c r="DD62" s="110" t="s">
        <v>182</v>
      </c>
      <c r="DE62" s="111" t="s">
        <v>1026</v>
      </c>
      <c r="DF62" s="112" t="s">
        <v>157</v>
      </c>
      <c r="DG62" s="113">
        <v>2014</v>
      </c>
      <c r="DH62" s="114" t="s">
        <v>1027</v>
      </c>
      <c r="DI62" s="227" t="str">
        <f>HYPERLINK("https://my.pitchbook.com?c=72174-34T", "View company online")</f>
        <v>View company online</v>
      </c>
    </row>
    <row r="63" spans="1:113" x14ac:dyDescent="0.2">
      <c r="A63" s="115" t="s">
        <v>1032</v>
      </c>
      <c r="B63" s="116" t="s">
        <v>1033</v>
      </c>
      <c r="C63" s="117" t="s">
        <v>1034</v>
      </c>
      <c r="D63" s="118" t="s">
        <v>1035</v>
      </c>
      <c r="E63" s="119" t="s">
        <v>1036</v>
      </c>
      <c r="F63" s="120" t="s">
        <v>126</v>
      </c>
      <c r="G63" s="121" t="s">
        <v>127</v>
      </c>
      <c r="H63" s="122" t="s">
        <v>128</v>
      </c>
      <c r="I63" s="123" t="s">
        <v>129</v>
      </c>
      <c r="J63" s="124" t="s">
        <v>141</v>
      </c>
      <c r="K63" s="125" t="s">
        <v>1037</v>
      </c>
      <c r="L63" s="126" t="s">
        <v>132</v>
      </c>
      <c r="M63" s="127" t="s">
        <v>133</v>
      </c>
      <c r="N63" s="128" t="s">
        <v>170</v>
      </c>
      <c r="O63" s="129" t="s">
        <v>1038</v>
      </c>
      <c r="P63" s="130" t="s">
        <v>1039</v>
      </c>
      <c r="Q63" s="131" t="s">
        <v>1040</v>
      </c>
      <c r="R63" s="132" t="s">
        <v>1041</v>
      </c>
      <c r="S63" s="133" t="s">
        <v>1042</v>
      </c>
      <c r="T63" s="134" t="s">
        <v>141</v>
      </c>
      <c r="U63" s="135">
        <v>2</v>
      </c>
      <c r="V63" s="136" t="s">
        <v>1032</v>
      </c>
      <c r="W63" s="137" t="s">
        <v>141</v>
      </c>
      <c r="X63" s="138">
        <v>43202</v>
      </c>
      <c r="Y63" s="139">
        <v>0.12</v>
      </c>
      <c r="Z63" s="140" t="s">
        <v>177</v>
      </c>
      <c r="AA63" s="141">
        <v>0.31</v>
      </c>
      <c r="AB63" s="142">
        <v>0.33</v>
      </c>
      <c r="AC63" s="143" t="s">
        <v>177</v>
      </c>
      <c r="AD63" s="144">
        <v>6</v>
      </c>
      <c r="AE63" s="145">
        <v>0.12</v>
      </c>
      <c r="AF63" s="146" t="s">
        <v>141</v>
      </c>
      <c r="AG63" s="147" t="s">
        <v>141</v>
      </c>
      <c r="AH63" s="148" t="s">
        <v>141</v>
      </c>
      <c r="AI63" s="149" t="s">
        <v>141</v>
      </c>
      <c r="AJ63" s="150" t="s">
        <v>142</v>
      </c>
      <c r="AK63" s="151" t="s">
        <v>141</v>
      </c>
      <c r="AL63" s="152" t="s">
        <v>141</v>
      </c>
      <c r="AM63" s="153" t="s">
        <v>143</v>
      </c>
      <c r="AN63" s="154" t="s">
        <v>1043</v>
      </c>
      <c r="AO63" s="155">
        <v>0.02</v>
      </c>
      <c r="AP63" s="156" t="s">
        <v>145</v>
      </c>
      <c r="AQ63" s="157" t="s">
        <v>141</v>
      </c>
      <c r="AR63" s="158" t="s">
        <v>141</v>
      </c>
      <c r="AS63" s="159" t="s">
        <v>281</v>
      </c>
      <c r="AT63" s="160" t="s">
        <v>141</v>
      </c>
      <c r="AU63" s="161" t="s">
        <v>141</v>
      </c>
      <c r="AV63" s="162">
        <v>0.1</v>
      </c>
      <c r="AW63" s="163" t="s">
        <v>141</v>
      </c>
      <c r="AX63" s="164" t="s">
        <v>141</v>
      </c>
      <c r="AY63" s="165">
        <v>0.1</v>
      </c>
      <c r="AZ63" s="166" t="s">
        <v>141</v>
      </c>
      <c r="BA63" s="167" t="s">
        <v>146</v>
      </c>
      <c r="BB63" s="168" t="s">
        <v>133</v>
      </c>
      <c r="BC63" s="169" t="s">
        <v>193</v>
      </c>
      <c r="BD63" s="170" t="s">
        <v>141</v>
      </c>
      <c r="BE63" s="171">
        <v>1</v>
      </c>
      <c r="BF63" s="172" t="s">
        <v>147</v>
      </c>
      <c r="BG63" s="173">
        <v>1</v>
      </c>
      <c r="BH63" s="174" t="s">
        <v>141</v>
      </c>
      <c r="BI63" s="175" t="s">
        <v>141</v>
      </c>
      <c r="BJ63" s="176" t="s">
        <v>141</v>
      </c>
      <c r="BK63" s="177" t="s">
        <v>148</v>
      </c>
      <c r="BL63" s="178" t="s">
        <v>1044</v>
      </c>
      <c r="BM63" s="179" t="s">
        <v>1044</v>
      </c>
      <c r="BN63" s="180" t="s">
        <v>1045</v>
      </c>
      <c r="BO63" s="181" t="s">
        <v>141</v>
      </c>
      <c r="BP63" s="182" t="s">
        <v>141</v>
      </c>
      <c r="BQ63" s="183" t="s">
        <v>141</v>
      </c>
      <c r="BR63" s="184" t="s">
        <v>141</v>
      </c>
      <c r="BS63" s="185" t="s">
        <v>141</v>
      </c>
      <c r="BT63" s="186" t="s">
        <v>141</v>
      </c>
      <c r="BU63" s="187" t="s">
        <v>141</v>
      </c>
      <c r="BV63" s="188" t="s">
        <v>141</v>
      </c>
      <c r="BW63" s="189" t="s">
        <v>141</v>
      </c>
      <c r="BX63" s="190" t="s">
        <v>141</v>
      </c>
      <c r="BY63" s="191" t="s">
        <v>141</v>
      </c>
      <c r="BZ63" s="192" t="s">
        <v>141</v>
      </c>
      <c r="CA63" s="193" t="s">
        <v>141</v>
      </c>
      <c r="CB63" s="194" t="s">
        <v>141</v>
      </c>
      <c r="CC63" s="195" t="s">
        <v>141</v>
      </c>
      <c r="CD63" s="196" t="s">
        <v>141</v>
      </c>
      <c r="CE63" s="197" t="s">
        <v>141</v>
      </c>
      <c r="CF63" s="198" t="s">
        <v>141</v>
      </c>
      <c r="CG63" s="199" t="s">
        <v>141</v>
      </c>
      <c r="CH63" s="200" t="s">
        <v>141</v>
      </c>
      <c r="CI63" s="201" t="s">
        <v>141</v>
      </c>
      <c r="CJ63" s="202" t="s">
        <v>141</v>
      </c>
      <c r="CK63" s="203" t="s">
        <v>141</v>
      </c>
      <c r="CL63" s="204" t="s">
        <v>141</v>
      </c>
      <c r="CM63" s="205" t="s">
        <v>141</v>
      </c>
      <c r="CN63" s="206" t="s">
        <v>141</v>
      </c>
      <c r="CO63" s="207" t="s">
        <v>141</v>
      </c>
      <c r="CP63" s="208" t="s">
        <v>141</v>
      </c>
      <c r="CQ63" s="209">
        <v>5</v>
      </c>
      <c r="CR63" s="210" t="s">
        <v>141</v>
      </c>
      <c r="CS63" s="211" t="s">
        <v>141</v>
      </c>
      <c r="CT63" s="212" t="s">
        <v>141</v>
      </c>
      <c r="CU63" s="213" t="s">
        <v>141</v>
      </c>
      <c r="CV63" s="214" t="s">
        <v>141</v>
      </c>
      <c r="CW63" s="215" t="s">
        <v>141</v>
      </c>
      <c r="CX63" s="216">
        <v>17</v>
      </c>
      <c r="CY63" s="217" t="s">
        <v>150</v>
      </c>
      <c r="CZ63" s="218" t="s">
        <v>200</v>
      </c>
      <c r="DA63" s="219" t="s">
        <v>152</v>
      </c>
      <c r="DB63" s="220" t="s">
        <v>153</v>
      </c>
      <c r="DC63" s="221" t="s">
        <v>201</v>
      </c>
      <c r="DD63" s="222" t="s">
        <v>201</v>
      </c>
      <c r="DE63" s="223" t="s">
        <v>1046</v>
      </c>
      <c r="DF63" s="224" t="s">
        <v>157</v>
      </c>
      <c r="DG63" s="225">
        <v>2016</v>
      </c>
      <c r="DH63" s="226" t="s">
        <v>1047</v>
      </c>
      <c r="DI63" s="228" t="str">
        <f>HYPERLINK("https://my.pitchbook.com?c=109820-62T", "View company online")</f>
        <v>View company online</v>
      </c>
    </row>
    <row r="64" spans="1:113" x14ac:dyDescent="0.2">
      <c r="A64" s="3" t="s">
        <v>1048</v>
      </c>
      <c r="B64" s="4" t="s">
        <v>1049</v>
      </c>
      <c r="C64" s="5" t="s">
        <v>1050</v>
      </c>
      <c r="D64" s="6" t="s">
        <v>1051</v>
      </c>
      <c r="E64" s="7" t="s">
        <v>1052</v>
      </c>
      <c r="F64" s="8" t="s">
        <v>126</v>
      </c>
      <c r="G64" s="9" t="s">
        <v>208</v>
      </c>
      <c r="H64" s="10" t="s">
        <v>209</v>
      </c>
      <c r="I64" s="11" t="s">
        <v>210</v>
      </c>
      <c r="J64" s="12" t="s">
        <v>606</v>
      </c>
      <c r="K64" s="13" t="s">
        <v>1053</v>
      </c>
      <c r="L64" s="14" t="s">
        <v>132</v>
      </c>
      <c r="M64" s="15" t="s">
        <v>133</v>
      </c>
      <c r="N64" s="16" t="s">
        <v>170</v>
      </c>
      <c r="O64" s="17" t="s">
        <v>1054</v>
      </c>
      <c r="P64" s="18" t="s">
        <v>1055</v>
      </c>
      <c r="Q64" s="19" t="s">
        <v>141</v>
      </c>
      <c r="R64" s="20" t="s">
        <v>1056</v>
      </c>
      <c r="S64" s="21" t="s">
        <v>1057</v>
      </c>
      <c r="T64" s="22" t="s">
        <v>1058</v>
      </c>
      <c r="U64" s="23">
        <v>1</v>
      </c>
      <c r="V64" s="24" t="s">
        <v>1048</v>
      </c>
      <c r="W64" s="25" t="s">
        <v>141</v>
      </c>
      <c r="X64" s="26">
        <v>41365</v>
      </c>
      <c r="Y64" s="27">
        <v>0.43</v>
      </c>
      <c r="Z64" s="28" t="s">
        <v>177</v>
      </c>
      <c r="AA64" s="29" t="s">
        <v>141</v>
      </c>
      <c r="AB64" s="30" t="s">
        <v>141</v>
      </c>
      <c r="AC64" s="31" t="s">
        <v>141</v>
      </c>
      <c r="AD64" s="32" t="s">
        <v>141</v>
      </c>
      <c r="AE64" s="33">
        <v>0.43</v>
      </c>
      <c r="AF64" s="34" t="s">
        <v>141</v>
      </c>
      <c r="AG64" s="35" t="s">
        <v>141</v>
      </c>
      <c r="AH64" s="36" t="s">
        <v>141</v>
      </c>
      <c r="AI64" s="37" t="s">
        <v>141</v>
      </c>
      <c r="AJ64" s="38" t="s">
        <v>142</v>
      </c>
      <c r="AK64" s="39" t="s">
        <v>141</v>
      </c>
      <c r="AL64" s="40" t="s">
        <v>141</v>
      </c>
      <c r="AM64" s="41" t="s">
        <v>170</v>
      </c>
      <c r="AN64" s="42" t="s">
        <v>1059</v>
      </c>
      <c r="AO64" s="43">
        <v>0.43</v>
      </c>
      <c r="AP64" s="44" t="s">
        <v>145</v>
      </c>
      <c r="AQ64" s="45" t="s">
        <v>141</v>
      </c>
      <c r="AR64" s="46" t="s">
        <v>141</v>
      </c>
      <c r="AS64" s="47" t="s">
        <v>141</v>
      </c>
      <c r="AT64" s="48" t="s">
        <v>141</v>
      </c>
      <c r="AU64" s="49" t="s">
        <v>141</v>
      </c>
      <c r="AV64" s="50" t="s">
        <v>141</v>
      </c>
      <c r="AW64" s="51" t="s">
        <v>141</v>
      </c>
      <c r="AX64" s="52" t="s">
        <v>141</v>
      </c>
      <c r="AY64" s="53" t="s">
        <v>141</v>
      </c>
      <c r="AZ64" s="54" t="s">
        <v>141</v>
      </c>
      <c r="BA64" s="55" t="s">
        <v>146</v>
      </c>
      <c r="BB64" s="56" t="s">
        <v>133</v>
      </c>
      <c r="BC64" s="57" t="s">
        <v>193</v>
      </c>
      <c r="BD64" s="58" t="s">
        <v>141</v>
      </c>
      <c r="BE64" s="59">
        <v>1</v>
      </c>
      <c r="BF64" s="60" t="s">
        <v>1060</v>
      </c>
      <c r="BG64" s="61">
        <v>1</v>
      </c>
      <c r="BH64" s="62" t="s">
        <v>141</v>
      </c>
      <c r="BI64" s="63" t="s">
        <v>141</v>
      </c>
      <c r="BJ64" s="64" t="s">
        <v>141</v>
      </c>
      <c r="BK64" s="65" t="s">
        <v>1061</v>
      </c>
      <c r="BL64" s="66" t="s">
        <v>1062</v>
      </c>
      <c r="BM64" s="67" t="s">
        <v>1062</v>
      </c>
      <c r="BN64" s="68" t="s">
        <v>1063</v>
      </c>
      <c r="BO64" s="69" t="s">
        <v>141</v>
      </c>
      <c r="BP64" s="70" t="s">
        <v>141</v>
      </c>
      <c r="BQ64" s="71" t="s">
        <v>141</v>
      </c>
      <c r="BR64" s="72" t="s">
        <v>141</v>
      </c>
      <c r="BS64" s="73" t="s">
        <v>141</v>
      </c>
      <c r="BT64" s="74" t="s">
        <v>141</v>
      </c>
      <c r="BU64" s="75" t="s">
        <v>141</v>
      </c>
      <c r="BV64" s="76" t="s">
        <v>141</v>
      </c>
      <c r="BW64" s="77" t="s">
        <v>141</v>
      </c>
      <c r="BX64" s="78" t="s">
        <v>141</v>
      </c>
      <c r="BY64" s="79" t="s">
        <v>141</v>
      </c>
      <c r="BZ64" s="80" t="s">
        <v>141</v>
      </c>
      <c r="CA64" s="81" t="s">
        <v>141</v>
      </c>
      <c r="CB64" s="82" t="s">
        <v>141</v>
      </c>
      <c r="CC64" s="83" t="s">
        <v>141</v>
      </c>
      <c r="CD64" s="84" t="s">
        <v>141</v>
      </c>
      <c r="CE64" s="85" t="s">
        <v>141</v>
      </c>
      <c r="CF64" s="86" t="s">
        <v>141</v>
      </c>
      <c r="CG64" s="87" t="s">
        <v>141</v>
      </c>
      <c r="CH64" s="88" t="s">
        <v>141</v>
      </c>
      <c r="CI64" s="89" t="s">
        <v>141</v>
      </c>
      <c r="CJ64" s="90" t="s">
        <v>141</v>
      </c>
      <c r="CK64" s="91" t="s">
        <v>141</v>
      </c>
      <c r="CL64" s="92" t="s">
        <v>141</v>
      </c>
      <c r="CM64" s="93" t="s">
        <v>141</v>
      </c>
      <c r="CN64" s="94" t="s">
        <v>141</v>
      </c>
      <c r="CO64" s="95" t="s">
        <v>141</v>
      </c>
      <c r="CP64" s="96" t="s">
        <v>141</v>
      </c>
      <c r="CQ64" s="97" t="s">
        <v>141</v>
      </c>
      <c r="CR64" s="98" t="s">
        <v>141</v>
      </c>
      <c r="CS64" s="99" t="s">
        <v>141</v>
      </c>
      <c r="CT64" s="100" t="s">
        <v>141</v>
      </c>
      <c r="CU64" s="101" t="s">
        <v>141</v>
      </c>
      <c r="CV64" s="102" t="s">
        <v>141</v>
      </c>
      <c r="CW64" s="103" t="s">
        <v>141</v>
      </c>
      <c r="CX64" s="104">
        <v>10</v>
      </c>
      <c r="CY64" s="105" t="s">
        <v>150</v>
      </c>
      <c r="CZ64" s="106" t="s">
        <v>1064</v>
      </c>
      <c r="DA64" s="107" t="s">
        <v>152</v>
      </c>
      <c r="DB64" s="108" t="s">
        <v>153</v>
      </c>
      <c r="DC64" s="109" t="s">
        <v>1065</v>
      </c>
      <c r="DD64" s="110" t="s">
        <v>182</v>
      </c>
      <c r="DE64" s="111" t="s">
        <v>1066</v>
      </c>
      <c r="DF64" s="112" t="s">
        <v>157</v>
      </c>
      <c r="DG64" s="113">
        <v>2012</v>
      </c>
      <c r="DH64" s="114" t="s">
        <v>1067</v>
      </c>
      <c r="DI64" s="227" t="str">
        <f>HYPERLINK("https://my.pitchbook.com?c=38944-63T", "View company online")</f>
        <v>View company online</v>
      </c>
    </row>
    <row r="65" spans="1:113" x14ac:dyDescent="0.2">
      <c r="A65" s="115" t="s">
        <v>1068</v>
      </c>
      <c r="B65" s="116" t="s">
        <v>1069</v>
      </c>
      <c r="C65" s="117" t="s">
        <v>1070</v>
      </c>
      <c r="D65" s="118" t="s">
        <v>1071</v>
      </c>
      <c r="E65" s="119" t="s">
        <v>1072</v>
      </c>
      <c r="F65" s="120" t="s">
        <v>126</v>
      </c>
      <c r="G65" s="121" t="s">
        <v>456</v>
      </c>
      <c r="H65" s="122" t="s">
        <v>1073</v>
      </c>
      <c r="I65" s="123" t="s">
        <v>1074</v>
      </c>
      <c r="J65" s="124" t="s">
        <v>141</v>
      </c>
      <c r="K65" s="125" t="s">
        <v>1075</v>
      </c>
      <c r="L65" s="126" t="s">
        <v>132</v>
      </c>
      <c r="M65" s="127" t="s">
        <v>133</v>
      </c>
      <c r="N65" s="128" t="s">
        <v>170</v>
      </c>
      <c r="O65" s="129" t="s">
        <v>1076</v>
      </c>
      <c r="P65" s="130" t="s">
        <v>1077</v>
      </c>
      <c r="Q65" s="131" t="s">
        <v>141</v>
      </c>
      <c r="R65" s="132" t="s">
        <v>1078</v>
      </c>
      <c r="S65" s="133" t="s">
        <v>1079</v>
      </c>
      <c r="T65" s="134" t="s">
        <v>141</v>
      </c>
      <c r="U65" s="135">
        <v>2</v>
      </c>
      <c r="V65" s="136" t="s">
        <v>1068</v>
      </c>
      <c r="W65" s="137" t="s">
        <v>141</v>
      </c>
      <c r="X65" s="138">
        <v>43742</v>
      </c>
      <c r="Y65" s="139">
        <v>0.27</v>
      </c>
      <c r="Z65" s="140" t="s">
        <v>177</v>
      </c>
      <c r="AA65" s="141">
        <v>8.73</v>
      </c>
      <c r="AB65" s="142">
        <v>9</v>
      </c>
      <c r="AC65" s="143" t="s">
        <v>177</v>
      </c>
      <c r="AD65" s="144">
        <v>3</v>
      </c>
      <c r="AE65" s="145">
        <v>3.27</v>
      </c>
      <c r="AF65" s="146" t="s">
        <v>1080</v>
      </c>
      <c r="AG65" s="147" t="s">
        <v>141</v>
      </c>
      <c r="AH65" s="148" t="s">
        <v>141</v>
      </c>
      <c r="AI65" s="149" t="s">
        <v>141</v>
      </c>
      <c r="AJ65" s="150" t="s">
        <v>1081</v>
      </c>
      <c r="AK65" s="151" t="s">
        <v>1081</v>
      </c>
      <c r="AL65" s="152" t="s">
        <v>141</v>
      </c>
      <c r="AM65" s="153" t="s">
        <v>485</v>
      </c>
      <c r="AN65" s="154" t="s">
        <v>1072</v>
      </c>
      <c r="AO65" s="155">
        <v>0.27</v>
      </c>
      <c r="AP65" s="156" t="s">
        <v>145</v>
      </c>
      <c r="AQ65" s="157" t="s">
        <v>141</v>
      </c>
      <c r="AR65" s="158" t="s">
        <v>141</v>
      </c>
      <c r="AS65" s="159" t="s">
        <v>141</v>
      </c>
      <c r="AT65" s="160" t="s">
        <v>141</v>
      </c>
      <c r="AU65" s="161" t="s">
        <v>141</v>
      </c>
      <c r="AV65" s="162" t="s">
        <v>141</v>
      </c>
      <c r="AW65" s="163" t="s">
        <v>141</v>
      </c>
      <c r="AX65" s="164" t="s">
        <v>141</v>
      </c>
      <c r="AY65" s="165" t="s">
        <v>141</v>
      </c>
      <c r="AZ65" s="166" t="s">
        <v>141</v>
      </c>
      <c r="BA65" s="167" t="s">
        <v>146</v>
      </c>
      <c r="BB65" s="168" t="s">
        <v>263</v>
      </c>
      <c r="BC65" s="169" t="s">
        <v>132</v>
      </c>
      <c r="BD65" s="170" t="s">
        <v>141</v>
      </c>
      <c r="BE65" s="171">
        <v>1</v>
      </c>
      <c r="BF65" s="172" t="s">
        <v>1082</v>
      </c>
      <c r="BG65" s="173">
        <v>1</v>
      </c>
      <c r="BH65" s="174" t="s">
        <v>141</v>
      </c>
      <c r="BI65" s="175" t="s">
        <v>141</v>
      </c>
      <c r="BJ65" s="176" t="s">
        <v>141</v>
      </c>
      <c r="BK65" s="177" t="s">
        <v>1083</v>
      </c>
      <c r="BL65" s="178" t="s">
        <v>1084</v>
      </c>
      <c r="BM65" s="179" t="s">
        <v>1084</v>
      </c>
      <c r="BN65" s="180" t="s">
        <v>141</v>
      </c>
      <c r="BO65" s="181" t="s">
        <v>141</v>
      </c>
      <c r="BP65" s="182" t="s">
        <v>141</v>
      </c>
      <c r="BQ65" s="183" t="s">
        <v>141</v>
      </c>
      <c r="BR65" s="184" t="s">
        <v>141</v>
      </c>
      <c r="BS65" s="185" t="s">
        <v>141</v>
      </c>
      <c r="BT65" s="186" t="s">
        <v>141</v>
      </c>
      <c r="BU65" s="187" t="s">
        <v>141</v>
      </c>
      <c r="BV65" s="188" t="s">
        <v>141</v>
      </c>
      <c r="BW65" s="189" t="s">
        <v>141</v>
      </c>
      <c r="BX65" s="190" t="s">
        <v>141</v>
      </c>
      <c r="BY65" s="191" t="s">
        <v>141</v>
      </c>
      <c r="BZ65" s="192" t="s">
        <v>141</v>
      </c>
      <c r="CA65" s="193" t="s">
        <v>141</v>
      </c>
      <c r="CB65" s="194" t="s">
        <v>141</v>
      </c>
      <c r="CC65" s="195" t="s">
        <v>141</v>
      </c>
      <c r="CD65" s="196" t="s">
        <v>141</v>
      </c>
      <c r="CE65" s="197" t="s">
        <v>141</v>
      </c>
      <c r="CF65" s="198" t="s">
        <v>141</v>
      </c>
      <c r="CG65" s="199" t="s">
        <v>141</v>
      </c>
      <c r="CH65" s="200" t="s">
        <v>141</v>
      </c>
      <c r="CI65" s="201" t="s">
        <v>141</v>
      </c>
      <c r="CJ65" s="202" t="s">
        <v>141</v>
      </c>
      <c r="CK65" s="203" t="s">
        <v>141</v>
      </c>
      <c r="CL65" s="204" t="s">
        <v>141</v>
      </c>
      <c r="CM65" s="205" t="s">
        <v>141</v>
      </c>
      <c r="CN65" s="206" t="s">
        <v>141</v>
      </c>
      <c r="CO65" s="207" t="s">
        <v>141</v>
      </c>
      <c r="CP65" s="208" t="s">
        <v>141</v>
      </c>
      <c r="CQ65" s="209" t="s">
        <v>141</v>
      </c>
      <c r="CR65" s="210" t="s">
        <v>141</v>
      </c>
      <c r="CS65" s="211" t="s">
        <v>141</v>
      </c>
      <c r="CT65" s="212" t="s">
        <v>141</v>
      </c>
      <c r="CU65" s="213" t="s">
        <v>141</v>
      </c>
      <c r="CV65" s="214" t="s">
        <v>141</v>
      </c>
      <c r="CW65" s="215" t="s">
        <v>141</v>
      </c>
      <c r="CX65" s="216" t="s">
        <v>141</v>
      </c>
      <c r="CY65" s="217" t="s">
        <v>150</v>
      </c>
      <c r="CZ65" s="218" t="s">
        <v>200</v>
      </c>
      <c r="DA65" s="219" t="s">
        <v>152</v>
      </c>
      <c r="DB65" s="220" t="s">
        <v>153</v>
      </c>
      <c r="DC65" s="221" t="s">
        <v>201</v>
      </c>
      <c r="DD65" s="222" t="s">
        <v>201</v>
      </c>
      <c r="DE65" s="223" t="s">
        <v>1085</v>
      </c>
      <c r="DF65" s="224" t="s">
        <v>157</v>
      </c>
      <c r="DG65" s="225">
        <v>2019</v>
      </c>
      <c r="DH65" s="226" t="s">
        <v>1086</v>
      </c>
      <c r="DI65" s="228" t="str">
        <f>HYPERLINK("https://my.pitchbook.com?c=141004-36T", "View company online")</f>
        <v>View company online</v>
      </c>
    </row>
    <row r="66" spans="1:113" x14ac:dyDescent="0.2">
      <c r="A66" s="3" t="s">
        <v>1087</v>
      </c>
      <c r="B66" s="4" t="s">
        <v>1088</v>
      </c>
      <c r="C66" s="5" t="s">
        <v>1089</v>
      </c>
      <c r="D66" s="6" t="s">
        <v>1090</v>
      </c>
      <c r="E66" s="7" t="s">
        <v>1091</v>
      </c>
      <c r="F66" s="8" t="s">
        <v>126</v>
      </c>
      <c r="G66" s="9" t="s">
        <v>208</v>
      </c>
      <c r="H66" s="10" t="s">
        <v>209</v>
      </c>
      <c r="I66" s="11" t="s">
        <v>210</v>
      </c>
      <c r="J66" s="12" t="s">
        <v>1092</v>
      </c>
      <c r="K66" s="13" t="s">
        <v>1093</v>
      </c>
      <c r="L66" s="14" t="s">
        <v>132</v>
      </c>
      <c r="M66" s="15" t="s">
        <v>133</v>
      </c>
      <c r="N66" s="16" t="s">
        <v>134</v>
      </c>
      <c r="O66" s="17" t="s">
        <v>1094</v>
      </c>
      <c r="P66" s="18" t="s">
        <v>1095</v>
      </c>
      <c r="Q66" s="19" t="s">
        <v>1096</v>
      </c>
      <c r="R66" s="20" t="s">
        <v>1097</v>
      </c>
      <c r="S66" s="21" t="s">
        <v>1098</v>
      </c>
      <c r="T66" s="22" t="s">
        <v>1099</v>
      </c>
      <c r="U66" s="23">
        <v>1</v>
      </c>
      <c r="V66" s="24" t="s">
        <v>1087</v>
      </c>
      <c r="W66" s="25">
        <v>42902</v>
      </c>
      <c r="X66" s="26">
        <v>42914</v>
      </c>
      <c r="Y66" s="27">
        <v>0.3</v>
      </c>
      <c r="Z66" s="28" t="s">
        <v>177</v>
      </c>
      <c r="AA66" s="29" t="s">
        <v>141</v>
      </c>
      <c r="AB66" s="30" t="s">
        <v>141</v>
      </c>
      <c r="AC66" s="31" t="s">
        <v>141</v>
      </c>
      <c r="AD66" s="32" t="s">
        <v>141</v>
      </c>
      <c r="AE66" s="33">
        <v>0.3</v>
      </c>
      <c r="AF66" s="34" t="s">
        <v>1080</v>
      </c>
      <c r="AG66" s="35" t="s">
        <v>141</v>
      </c>
      <c r="AH66" s="36" t="s">
        <v>141</v>
      </c>
      <c r="AI66" s="37" t="s">
        <v>141</v>
      </c>
      <c r="AJ66" s="38" t="s">
        <v>1081</v>
      </c>
      <c r="AK66" s="39" t="s">
        <v>1081</v>
      </c>
      <c r="AL66" s="40" t="s">
        <v>141</v>
      </c>
      <c r="AM66" s="41" t="s">
        <v>485</v>
      </c>
      <c r="AN66" s="42" t="s">
        <v>1100</v>
      </c>
      <c r="AO66" s="43">
        <v>0.3</v>
      </c>
      <c r="AP66" s="44" t="s">
        <v>145</v>
      </c>
      <c r="AQ66" s="45" t="s">
        <v>141</v>
      </c>
      <c r="AR66" s="46" t="s">
        <v>141</v>
      </c>
      <c r="AS66" s="47" t="s">
        <v>141</v>
      </c>
      <c r="AT66" s="48" t="s">
        <v>141</v>
      </c>
      <c r="AU66" s="49" t="s">
        <v>141</v>
      </c>
      <c r="AV66" s="50" t="s">
        <v>141</v>
      </c>
      <c r="AW66" s="51" t="s">
        <v>141</v>
      </c>
      <c r="AX66" s="52" t="s">
        <v>141</v>
      </c>
      <c r="AY66" s="53" t="s">
        <v>141</v>
      </c>
      <c r="AZ66" s="54" t="s">
        <v>141</v>
      </c>
      <c r="BA66" s="55" t="s">
        <v>146</v>
      </c>
      <c r="BB66" s="56" t="s">
        <v>133</v>
      </c>
      <c r="BC66" s="57" t="s">
        <v>402</v>
      </c>
      <c r="BD66" s="58" t="s">
        <v>141</v>
      </c>
      <c r="BE66" s="59" t="s">
        <v>141</v>
      </c>
      <c r="BF66" s="60" t="s">
        <v>141</v>
      </c>
      <c r="BG66" s="61" t="s">
        <v>141</v>
      </c>
      <c r="BH66" s="62" t="s">
        <v>141</v>
      </c>
      <c r="BI66" s="63" t="s">
        <v>141</v>
      </c>
      <c r="BJ66" s="64" t="s">
        <v>141</v>
      </c>
      <c r="BK66" s="65" t="s">
        <v>141</v>
      </c>
      <c r="BL66" s="66" t="s">
        <v>141</v>
      </c>
      <c r="BM66" s="67" t="s">
        <v>141</v>
      </c>
      <c r="BN66" s="68" t="s">
        <v>141</v>
      </c>
      <c r="BO66" s="69" t="s">
        <v>141</v>
      </c>
      <c r="BP66" s="70" t="s">
        <v>141</v>
      </c>
      <c r="BQ66" s="71" t="s">
        <v>141</v>
      </c>
      <c r="BR66" s="72" t="s">
        <v>1101</v>
      </c>
      <c r="BS66" s="73" t="s">
        <v>1101</v>
      </c>
      <c r="BT66" s="74" t="s">
        <v>141</v>
      </c>
      <c r="BU66" s="75" t="s">
        <v>141</v>
      </c>
      <c r="BV66" s="76" t="s">
        <v>141</v>
      </c>
      <c r="BW66" s="77" t="s">
        <v>141</v>
      </c>
      <c r="BX66" s="78">
        <v>5.2</v>
      </c>
      <c r="BY66" s="79" t="s">
        <v>141</v>
      </c>
      <c r="BZ66" s="80" t="s">
        <v>141</v>
      </c>
      <c r="CA66" s="81" t="s">
        <v>141</v>
      </c>
      <c r="CB66" s="82" t="s">
        <v>141</v>
      </c>
      <c r="CC66" s="83" t="s">
        <v>141</v>
      </c>
      <c r="CD66" s="84" t="s">
        <v>141</v>
      </c>
      <c r="CE66" s="85">
        <v>2016</v>
      </c>
      <c r="CF66" s="86" t="s">
        <v>141</v>
      </c>
      <c r="CG66" s="87" t="s">
        <v>141</v>
      </c>
      <c r="CH66" s="88" t="s">
        <v>141</v>
      </c>
      <c r="CI66" s="89" t="s">
        <v>141</v>
      </c>
      <c r="CJ66" s="90" t="s">
        <v>141</v>
      </c>
      <c r="CK66" s="91" t="s">
        <v>141</v>
      </c>
      <c r="CL66" s="92" t="s">
        <v>141</v>
      </c>
      <c r="CM66" s="93" t="s">
        <v>141</v>
      </c>
      <c r="CN66" s="94">
        <v>0.06</v>
      </c>
      <c r="CO66" s="95" t="s">
        <v>141</v>
      </c>
      <c r="CP66" s="96" t="s">
        <v>141</v>
      </c>
      <c r="CQ66" s="97" t="s">
        <v>141</v>
      </c>
      <c r="CR66" s="98" t="s">
        <v>141</v>
      </c>
      <c r="CS66" s="99" t="s">
        <v>141</v>
      </c>
      <c r="CT66" s="100" t="s">
        <v>141</v>
      </c>
      <c r="CU66" s="101" t="s">
        <v>141</v>
      </c>
      <c r="CV66" s="102" t="s">
        <v>141</v>
      </c>
      <c r="CW66" s="103" t="s">
        <v>141</v>
      </c>
      <c r="CX66" s="104">
        <v>300</v>
      </c>
      <c r="CY66" s="105" t="s">
        <v>150</v>
      </c>
      <c r="CZ66" s="106" t="s">
        <v>327</v>
      </c>
      <c r="DA66" s="107" t="s">
        <v>152</v>
      </c>
      <c r="DB66" s="108" t="s">
        <v>153</v>
      </c>
      <c r="DC66" s="109" t="s">
        <v>328</v>
      </c>
      <c r="DD66" s="110" t="s">
        <v>329</v>
      </c>
      <c r="DE66" s="111" t="s">
        <v>1102</v>
      </c>
      <c r="DF66" s="112" t="s">
        <v>157</v>
      </c>
      <c r="DG66" s="113">
        <v>2015</v>
      </c>
      <c r="DH66" s="114" t="s">
        <v>1103</v>
      </c>
      <c r="DI66" s="227" t="str">
        <f>HYPERLINK("https://my.pitchbook.com?c=89887-51T", "View company online")</f>
        <v>View company online</v>
      </c>
    </row>
    <row r="67" spans="1:113" x14ac:dyDescent="0.2">
      <c r="A67" s="115" t="s">
        <v>1104</v>
      </c>
      <c r="B67" s="116" t="s">
        <v>1105</v>
      </c>
      <c r="C67" s="117" t="s">
        <v>1106</v>
      </c>
      <c r="D67" s="118" t="s">
        <v>1107</v>
      </c>
      <c r="E67" s="119" t="s">
        <v>1108</v>
      </c>
      <c r="F67" s="120" t="s">
        <v>126</v>
      </c>
      <c r="G67" s="121" t="s">
        <v>127</v>
      </c>
      <c r="H67" s="122" t="s">
        <v>128</v>
      </c>
      <c r="I67" s="123" t="s">
        <v>318</v>
      </c>
      <c r="J67" s="124" t="s">
        <v>141</v>
      </c>
      <c r="K67" s="125" t="s">
        <v>1109</v>
      </c>
      <c r="L67" s="126" t="s">
        <v>402</v>
      </c>
      <c r="M67" s="127" t="s">
        <v>591</v>
      </c>
      <c r="N67" s="128" t="s">
        <v>231</v>
      </c>
      <c r="O67" s="129" t="s">
        <v>1110</v>
      </c>
      <c r="P67" s="130" t="s">
        <v>1111</v>
      </c>
      <c r="Q67" s="131" t="s">
        <v>1112</v>
      </c>
      <c r="R67" s="132" t="s">
        <v>1113</v>
      </c>
      <c r="S67" s="133" t="s">
        <v>1114</v>
      </c>
      <c r="T67" s="134" t="s">
        <v>1115</v>
      </c>
      <c r="U67" s="135">
        <v>1</v>
      </c>
      <c r="V67" s="136" t="s">
        <v>1104</v>
      </c>
      <c r="W67" s="137" t="s">
        <v>141</v>
      </c>
      <c r="X67" s="138">
        <v>40878</v>
      </c>
      <c r="Y67" s="139">
        <v>0.14000000000000001</v>
      </c>
      <c r="Z67" s="140" t="s">
        <v>177</v>
      </c>
      <c r="AA67" s="141" t="s">
        <v>141</v>
      </c>
      <c r="AB67" s="142" t="s">
        <v>141</v>
      </c>
      <c r="AC67" s="143" t="s">
        <v>141</v>
      </c>
      <c r="AD67" s="144" t="s">
        <v>141</v>
      </c>
      <c r="AE67" s="145">
        <v>0.14000000000000001</v>
      </c>
      <c r="AF67" s="146" t="s">
        <v>1080</v>
      </c>
      <c r="AG67" s="147" t="s">
        <v>141</v>
      </c>
      <c r="AH67" s="148" t="s">
        <v>141</v>
      </c>
      <c r="AI67" s="149" t="s">
        <v>141</v>
      </c>
      <c r="AJ67" s="150" t="s">
        <v>1081</v>
      </c>
      <c r="AK67" s="151" t="s">
        <v>1081</v>
      </c>
      <c r="AL67" s="152" t="s">
        <v>141</v>
      </c>
      <c r="AM67" s="153" t="s">
        <v>485</v>
      </c>
      <c r="AN67" s="154" t="s">
        <v>1108</v>
      </c>
      <c r="AO67" s="155">
        <v>0.14000000000000001</v>
      </c>
      <c r="AP67" s="156" t="s">
        <v>145</v>
      </c>
      <c r="AQ67" s="157" t="s">
        <v>141</v>
      </c>
      <c r="AR67" s="158" t="s">
        <v>141</v>
      </c>
      <c r="AS67" s="159" t="s">
        <v>141</v>
      </c>
      <c r="AT67" s="160" t="s">
        <v>141</v>
      </c>
      <c r="AU67" s="161" t="s">
        <v>141</v>
      </c>
      <c r="AV67" s="162" t="s">
        <v>141</v>
      </c>
      <c r="AW67" s="163" t="s">
        <v>141</v>
      </c>
      <c r="AX67" s="164" t="s">
        <v>141</v>
      </c>
      <c r="AY67" s="165" t="s">
        <v>141</v>
      </c>
      <c r="AZ67" s="166" t="s">
        <v>141</v>
      </c>
      <c r="BA67" s="167" t="s">
        <v>146</v>
      </c>
      <c r="BB67" s="168" t="s">
        <v>591</v>
      </c>
      <c r="BC67" s="169" t="s">
        <v>402</v>
      </c>
      <c r="BD67" s="170" t="s">
        <v>141</v>
      </c>
      <c r="BE67" s="171" t="s">
        <v>141</v>
      </c>
      <c r="BF67" s="172" t="s">
        <v>141</v>
      </c>
      <c r="BG67" s="173" t="s">
        <v>141</v>
      </c>
      <c r="BH67" s="174" t="s">
        <v>141</v>
      </c>
      <c r="BI67" s="175" t="s">
        <v>141</v>
      </c>
      <c r="BJ67" s="176" t="s">
        <v>141</v>
      </c>
      <c r="BK67" s="177" t="s">
        <v>141</v>
      </c>
      <c r="BL67" s="178" t="s">
        <v>141</v>
      </c>
      <c r="BM67" s="179" t="s">
        <v>141</v>
      </c>
      <c r="BN67" s="180" t="s">
        <v>141</v>
      </c>
      <c r="BO67" s="181" t="s">
        <v>141</v>
      </c>
      <c r="BP67" s="182" t="s">
        <v>141</v>
      </c>
      <c r="BQ67" s="183" t="s">
        <v>141</v>
      </c>
      <c r="BR67" s="184" t="s">
        <v>141</v>
      </c>
      <c r="BS67" s="185" t="s">
        <v>141</v>
      </c>
      <c r="BT67" s="186" t="s">
        <v>141</v>
      </c>
      <c r="BU67" s="187" t="s">
        <v>141</v>
      </c>
      <c r="BV67" s="188" t="s">
        <v>141</v>
      </c>
      <c r="BW67" s="189" t="s">
        <v>141</v>
      </c>
      <c r="BX67" s="190" t="s">
        <v>141</v>
      </c>
      <c r="BY67" s="191" t="s">
        <v>141</v>
      </c>
      <c r="BZ67" s="192" t="s">
        <v>141</v>
      </c>
      <c r="CA67" s="193" t="s">
        <v>141</v>
      </c>
      <c r="CB67" s="194" t="s">
        <v>141</v>
      </c>
      <c r="CC67" s="195" t="s">
        <v>141</v>
      </c>
      <c r="CD67" s="196" t="s">
        <v>141</v>
      </c>
      <c r="CE67" s="197" t="s">
        <v>141</v>
      </c>
      <c r="CF67" s="198" t="s">
        <v>141</v>
      </c>
      <c r="CG67" s="199" t="s">
        <v>141</v>
      </c>
      <c r="CH67" s="200" t="s">
        <v>141</v>
      </c>
      <c r="CI67" s="201" t="s">
        <v>141</v>
      </c>
      <c r="CJ67" s="202" t="s">
        <v>141</v>
      </c>
      <c r="CK67" s="203" t="s">
        <v>141</v>
      </c>
      <c r="CL67" s="204" t="s">
        <v>141</v>
      </c>
      <c r="CM67" s="205" t="s">
        <v>141</v>
      </c>
      <c r="CN67" s="206" t="s">
        <v>141</v>
      </c>
      <c r="CO67" s="207" t="s">
        <v>141</v>
      </c>
      <c r="CP67" s="208" t="s">
        <v>141</v>
      </c>
      <c r="CQ67" s="209" t="s">
        <v>141</v>
      </c>
      <c r="CR67" s="210" t="s">
        <v>141</v>
      </c>
      <c r="CS67" s="211" t="s">
        <v>141</v>
      </c>
      <c r="CT67" s="212" t="s">
        <v>141</v>
      </c>
      <c r="CU67" s="213" t="s">
        <v>141</v>
      </c>
      <c r="CV67" s="214" t="s">
        <v>141</v>
      </c>
      <c r="CW67" s="215" t="s">
        <v>141</v>
      </c>
      <c r="CX67" s="216">
        <v>975</v>
      </c>
      <c r="CY67" s="217" t="s">
        <v>150</v>
      </c>
      <c r="CZ67" s="218" t="s">
        <v>1116</v>
      </c>
      <c r="DA67" s="219" t="s">
        <v>152</v>
      </c>
      <c r="DB67" s="220" t="s">
        <v>153</v>
      </c>
      <c r="DC67" s="221" t="s">
        <v>1117</v>
      </c>
      <c r="DD67" s="222" t="s">
        <v>577</v>
      </c>
      <c r="DE67" s="223" t="s">
        <v>1118</v>
      </c>
      <c r="DF67" s="224" t="s">
        <v>157</v>
      </c>
      <c r="DG67" s="225">
        <v>1978</v>
      </c>
      <c r="DH67" s="226" t="s">
        <v>1119</v>
      </c>
      <c r="DI67" s="228" t="str">
        <f>HYPERLINK("https://my.pitchbook.com?c=117524-35T", "View company online")</f>
        <v>View company online</v>
      </c>
    </row>
    <row r="68" spans="1:113" x14ac:dyDescent="0.2">
      <c r="A68" s="3" t="s">
        <v>1120</v>
      </c>
      <c r="B68" s="4" t="s">
        <v>1121</v>
      </c>
      <c r="C68" s="5" t="s">
        <v>1122</v>
      </c>
      <c r="D68" s="6" t="s">
        <v>1123</v>
      </c>
      <c r="E68" s="7" t="s">
        <v>1124</v>
      </c>
      <c r="F68" s="8" t="s">
        <v>164</v>
      </c>
      <c r="G68" s="9" t="s">
        <v>165</v>
      </c>
      <c r="H68" s="10" t="s">
        <v>1125</v>
      </c>
      <c r="I68" s="11" t="s">
        <v>1126</v>
      </c>
      <c r="J68" s="12" t="s">
        <v>918</v>
      </c>
      <c r="K68" s="13" t="s">
        <v>1127</v>
      </c>
      <c r="L68" s="14" t="s">
        <v>345</v>
      </c>
      <c r="M68" s="15" t="s">
        <v>133</v>
      </c>
      <c r="N68" s="16" t="s">
        <v>170</v>
      </c>
      <c r="O68" s="17" t="s">
        <v>1128</v>
      </c>
      <c r="P68" s="18" t="s">
        <v>1129</v>
      </c>
      <c r="Q68" s="19" t="s">
        <v>1130</v>
      </c>
      <c r="R68" s="20" t="s">
        <v>1131</v>
      </c>
      <c r="S68" s="21" t="s">
        <v>1132</v>
      </c>
      <c r="T68" s="22" t="s">
        <v>1133</v>
      </c>
      <c r="U68" s="23">
        <v>2</v>
      </c>
      <c r="V68" s="24" t="s">
        <v>1120</v>
      </c>
      <c r="W68" s="25" t="s">
        <v>141</v>
      </c>
      <c r="X68" s="26">
        <v>41395</v>
      </c>
      <c r="Y68" s="27">
        <v>0.23</v>
      </c>
      <c r="Z68" s="28" t="s">
        <v>177</v>
      </c>
      <c r="AA68" s="29" t="s">
        <v>141</v>
      </c>
      <c r="AB68" s="30" t="s">
        <v>141</v>
      </c>
      <c r="AC68" s="31" t="s">
        <v>141</v>
      </c>
      <c r="AD68" s="32" t="s">
        <v>141</v>
      </c>
      <c r="AE68" s="33">
        <v>0.34</v>
      </c>
      <c r="AF68" s="34" t="s">
        <v>1080</v>
      </c>
      <c r="AG68" s="35" t="s">
        <v>141</v>
      </c>
      <c r="AH68" s="36" t="s">
        <v>141</v>
      </c>
      <c r="AI68" s="37" t="s">
        <v>141</v>
      </c>
      <c r="AJ68" s="38" t="s">
        <v>1081</v>
      </c>
      <c r="AK68" s="39" t="s">
        <v>1081</v>
      </c>
      <c r="AL68" s="40" t="s">
        <v>141</v>
      </c>
      <c r="AM68" s="41" t="s">
        <v>485</v>
      </c>
      <c r="AN68" s="42" t="s">
        <v>1134</v>
      </c>
      <c r="AO68" s="43">
        <v>0.23</v>
      </c>
      <c r="AP68" s="44" t="s">
        <v>145</v>
      </c>
      <c r="AQ68" s="45" t="s">
        <v>141</v>
      </c>
      <c r="AR68" s="46" t="s">
        <v>141</v>
      </c>
      <c r="AS68" s="47" t="s">
        <v>141</v>
      </c>
      <c r="AT68" s="48" t="s">
        <v>141</v>
      </c>
      <c r="AU68" s="49" t="s">
        <v>141</v>
      </c>
      <c r="AV68" s="50" t="s">
        <v>141</v>
      </c>
      <c r="AW68" s="51" t="s">
        <v>141</v>
      </c>
      <c r="AX68" s="52" t="s">
        <v>141</v>
      </c>
      <c r="AY68" s="53" t="s">
        <v>141</v>
      </c>
      <c r="AZ68" s="54" t="s">
        <v>141</v>
      </c>
      <c r="BA68" s="55" t="s">
        <v>146</v>
      </c>
      <c r="BB68" s="56" t="s">
        <v>263</v>
      </c>
      <c r="BC68" s="57" t="s">
        <v>402</v>
      </c>
      <c r="BD68" s="58" t="s">
        <v>141</v>
      </c>
      <c r="BE68" s="59" t="s">
        <v>141</v>
      </c>
      <c r="BF68" s="60" t="s">
        <v>141</v>
      </c>
      <c r="BG68" s="61" t="s">
        <v>141</v>
      </c>
      <c r="BH68" s="62" t="s">
        <v>141</v>
      </c>
      <c r="BI68" s="63" t="s">
        <v>141</v>
      </c>
      <c r="BJ68" s="64" t="s">
        <v>141</v>
      </c>
      <c r="BK68" s="65" t="s">
        <v>141</v>
      </c>
      <c r="BL68" s="66" t="s">
        <v>141</v>
      </c>
      <c r="BM68" s="67" t="s">
        <v>141</v>
      </c>
      <c r="BN68" s="68" t="s">
        <v>141</v>
      </c>
      <c r="BO68" s="69" t="s">
        <v>141</v>
      </c>
      <c r="BP68" s="70" t="s">
        <v>141</v>
      </c>
      <c r="BQ68" s="71" t="s">
        <v>141</v>
      </c>
      <c r="BR68" s="72" t="s">
        <v>141</v>
      </c>
      <c r="BS68" s="73" t="s">
        <v>141</v>
      </c>
      <c r="BT68" s="74" t="s">
        <v>141</v>
      </c>
      <c r="BU68" s="75" t="s">
        <v>141</v>
      </c>
      <c r="BV68" s="76" t="s">
        <v>141</v>
      </c>
      <c r="BW68" s="77" t="s">
        <v>141</v>
      </c>
      <c r="BX68" s="78" t="s">
        <v>141</v>
      </c>
      <c r="BY68" s="79" t="s">
        <v>141</v>
      </c>
      <c r="BZ68" s="80" t="s">
        <v>141</v>
      </c>
      <c r="CA68" s="81" t="s">
        <v>141</v>
      </c>
      <c r="CB68" s="82" t="s">
        <v>141</v>
      </c>
      <c r="CC68" s="83" t="s">
        <v>141</v>
      </c>
      <c r="CD68" s="84" t="s">
        <v>141</v>
      </c>
      <c r="CE68" s="85" t="s">
        <v>141</v>
      </c>
      <c r="CF68" s="86" t="s">
        <v>141</v>
      </c>
      <c r="CG68" s="87" t="s">
        <v>141</v>
      </c>
      <c r="CH68" s="88" t="s">
        <v>141</v>
      </c>
      <c r="CI68" s="89" t="s">
        <v>141</v>
      </c>
      <c r="CJ68" s="90" t="s">
        <v>141</v>
      </c>
      <c r="CK68" s="91" t="s">
        <v>141</v>
      </c>
      <c r="CL68" s="92" t="s">
        <v>141</v>
      </c>
      <c r="CM68" s="93" t="s">
        <v>141</v>
      </c>
      <c r="CN68" s="94" t="s">
        <v>141</v>
      </c>
      <c r="CO68" s="95" t="s">
        <v>141</v>
      </c>
      <c r="CP68" s="96" t="s">
        <v>141</v>
      </c>
      <c r="CQ68" s="97" t="s">
        <v>141</v>
      </c>
      <c r="CR68" s="98" t="s">
        <v>141</v>
      </c>
      <c r="CS68" s="99" t="s">
        <v>141</v>
      </c>
      <c r="CT68" s="100" t="s">
        <v>141</v>
      </c>
      <c r="CU68" s="101" t="s">
        <v>141</v>
      </c>
      <c r="CV68" s="102" t="s">
        <v>141</v>
      </c>
      <c r="CW68" s="103" t="s">
        <v>141</v>
      </c>
      <c r="CX68" s="104">
        <v>50</v>
      </c>
      <c r="CY68" s="105" t="s">
        <v>1135</v>
      </c>
      <c r="CZ68" s="106" t="s">
        <v>1136</v>
      </c>
      <c r="DA68" s="107" t="s">
        <v>642</v>
      </c>
      <c r="DB68" s="108" t="s">
        <v>643</v>
      </c>
      <c r="DC68" s="109" t="s">
        <v>1137</v>
      </c>
      <c r="DD68" s="110" t="s">
        <v>644</v>
      </c>
      <c r="DE68" s="111" t="s">
        <v>1138</v>
      </c>
      <c r="DF68" s="112" t="s">
        <v>641</v>
      </c>
      <c r="DG68" s="113">
        <v>2013</v>
      </c>
      <c r="DH68" s="114" t="s">
        <v>1139</v>
      </c>
      <c r="DI68" s="227" t="str">
        <f>HYPERLINK("https://my.pitchbook.com?c=66547-18T", "View company online")</f>
        <v>View company online</v>
      </c>
    </row>
    <row r="69" spans="1:113" x14ac:dyDescent="0.2">
      <c r="A69" s="115" t="s">
        <v>1140</v>
      </c>
      <c r="B69" s="116" t="s">
        <v>1141</v>
      </c>
      <c r="C69" s="117" t="s">
        <v>1142</v>
      </c>
      <c r="D69" s="118" t="s">
        <v>1143</v>
      </c>
      <c r="E69" s="119" t="s">
        <v>1144</v>
      </c>
      <c r="F69" s="120" t="s">
        <v>126</v>
      </c>
      <c r="G69" s="121" t="s">
        <v>127</v>
      </c>
      <c r="H69" s="122" t="s">
        <v>128</v>
      </c>
      <c r="I69" s="123" t="s">
        <v>668</v>
      </c>
      <c r="J69" s="124" t="s">
        <v>1145</v>
      </c>
      <c r="K69" s="125" t="s">
        <v>1146</v>
      </c>
      <c r="L69" s="126" t="s">
        <v>402</v>
      </c>
      <c r="M69" s="127" t="s">
        <v>263</v>
      </c>
      <c r="N69" s="128" t="s">
        <v>231</v>
      </c>
      <c r="O69" s="129" t="s">
        <v>1147</v>
      </c>
      <c r="P69" s="130" t="s">
        <v>1148</v>
      </c>
      <c r="Q69" s="131" t="s">
        <v>1149</v>
      </c>
      <c r="R69" s="132" t="s">
        <v>1150</v>
      </c>
      <c r="S69" s="133" t="s">
        <v>1151</v>
      </c>
      <c r="T69" s="134" t="s">
        <v>141</v>
      </c>
      <c r="U69" s="135">
        <v>1</v>
      </c>
      <c r="V69" s="136" t="s">
        <v>1140</v>
      </c>
      <c r="W69" s="137" t="s">
        <v>141</v>
      </c>
      <c r="X69" s="138">
        <v>41913</v>
      </c>
      <c r="Y69" s="139" t="s">
        <v>141</v>
      </c>
      <c r="Z69" s="140" t="s">
        <v>141</v>
      </c>
      <c r="AA69" s="141" t="s">
        <v>141</v>
      </c>
      <c r="AB69" s="142" t="s">
        <v>141</v>
      </c>
      <c r="AC69" s="143" t="s">
        <v>141</v>
      </c>
      <c r="AD69" s="144" t="s">
        <v>141</v>
      </c>
      <c r="AE69" s="145" t="s">
        <v>141</v>
      </c>
      <c r="AF69" s="146" t="s">
        <v>1080</v>
      </c>
      <c r="AG69" s="147" t="s">
        <v>141</v>
      </c>
      <c r="AH69" s="148" t="s">
        <v>141</v>
      </c>
      <c r="AI69" s="149" t="s">
        <v>141</v>
      </c>
      <c r="AJ69" s="150" t="s">
        <v>1081</v>
      </c>
      <c r="AK69" s="151" t="s">
        <v>1081</v>
      </c>
      <c r="AL69" s="152" t="s">
        <v>141</v>
      </c>
      <c r="AM69" s="153" t="s">
        <v>485</v>
      </c>
      <c r="AN69" s="154" t="s">
        <v>1144</v>
      </c>
      <c r="AO69" s="155" t="s">
        <v>141</v>
      </c>
      <c r="AP69" s="156" t="s">
        <v>145</v>
      </c>
      <c r="AQ69" s="157" t="s">
        <v>141</v>
      </c>
      <c r="AR69" s="158" t="s">
        <v>141</v>
      </c>
      <c r="AS69" s="159" t="s">
        <v>141</v>
      </c>
      <c r="AT69" s="160" t="s">
        <v>141</v>
      </c>
      <c r="AU69" s="161" t="s">
        <v>141</v>
      </c>
      <c r="AV69" s="162" t="s">
        <v>141</v>
      </c>
      <c r="AW69" s="163" t="s">
        <v>141</v>
      </c>
      <c r="AX69" s="164" t="s">
        <v>141</v>
      </c>
      <c r="AY69" s="165" t="s">
        <v>141</v>
      </c>
      <c r="AZ69" s="166" t="s">
        <v>141</v>
      </c>
      <c r="BA69" s="167" t="s">
        <v>146</v>
      </c>
      <c r="BB69" s="168" t="s">
        <v>263</v>
      </c>
      <c r="BC69" s="169" t="s">
        <v>402</v>
      </c>
      <c r="BD69" s="170" t="s">
        <v>141</v>
      </c>
      <c r="BE69" s="171" t="s">
        <v>141</v>
      </c>
      <c r="BF69" s="172" t="s">
        <v>141</v>
      </c>
      <c r="BG69" s="173" t="s">
        <v>141</v>
      </c>
      <c r="BH69" s="174" t="s">
        <v>141</v>
      </c>
      <c r="BI69" s="175" t="s">
        <v>141</v>
      </c>
      <c r="BJ69" s="176" t="s">
        <v>141</v>
      </c>
      <c r="BK69" s="177" t="s">
        <v>141</v>
      </c>
      <c r="BL69" s="178" t="s">
        <v>141</v>
      </c>
      <c r="BM69" s="179" t="s">
        <v>141</v>
      </c>
      <c r="BN69" s="180" t="s">
        <v>141</v>
      </c>
      <c r="BO69" s="181" t="s">
        <v>141</v>
      </c>
      <c r="BP69" s="182" t="s">
        <v>141</v>
      </c>
      <c r="BQ69" s="183" t="s">
        <v>141</v>
      </c>
      <c r="BR69" s="184" t="s">
        <v>141</v>
      </c>
      <c r="BS69" s="185" t="s">
        <v>141</v>
      </c>
      <c r="BT69" s="186" t="s">
        <v>141</v>
      </c>
      <c r="BU69" s="187" t="s">
        <v>141</v>
      </c>
      <c r="BV69" s="188" t="s">
        <v>141</v>
      </c>
      <c r="BW69" s="189" t="s">
        <v>141</v>
      </c>
      <c r="BX69" s="190" t="s">
        <v>141</v>
      </c>
      <c r="BY69" s="191" t="s">
        <v>141</v>
      </c>
      <c r="BZ69" s="192" t="s">
        <v>141</v>
      </c>
      <c r="CA69" s="193" t="s">
        <v>141</v>
      </c>
      <c r="CB69" s="194" t="s">
        <v>141</v>
      </c>
      <c r="CC69" s="195" t="s">
        <v>141</v>
      </c>
      <c r="CD69" s="196" t="s">
        <v>141</v>
      </c>
      <c r="CE69" s="197">
        <v>2014</v>
      </c>
      <c r="CF69" s="198" t="s">
        <v>141</v>
      </c>
      <c r="CG69" s="199" t="s">
        <v>141</v>
      </c>
      <c r="CH69" s="200" t="s">
        <v>141</v>
      </c>
      <c r="CI69" s="201" t="s">
        <v>141</v>
      </c>
      <c r="CJ69" s="202" t="s">
        <v>141</v>
      </c>
      <c r="CK69" s="203" t="s">
        <v>141</v>
      </c>
      <c r="CL69" s="204" t="s">
        <v>141</v>
      </c>
      <c r="CM69" s="205" t="s">
        <v>141</v>
      </c>
      <c r="CN69" s="206" t="s">
        <v>141</v>
      </c>
      <c r="CO69" s="207" t="s">
        <v>141</v>
      </c>
      <c r="CP69" s="208" t="s">
        <v>141</v>
      </c>
      <c r="CQ69" s="209" t="s">
        <v>141</v>
      </c>
      <c r="CR69" s="210" t="s">
        <v>141</v>
      </c>
      <c r="CS69" s="211" t="s">
        <v>141</v>
      </c>
      <c r="CT69" s="212" t="s">
        <v>141</v>
      </c>
      <c r="CU69" s="213" t="s">
        <v>141</v>
      </c>
      <c r="CV69" s="214" t="s">
        <v>141</v>
      </c>
      <c r="CW69" s="215" t="s">
        <v>141</v>
      </c>
      <c r="CX69" s="216" t="s">
        <v>141</v>
      </c>
      <c r="CY69" s="217" t="s">
        <v>640</v>
      </c>
      <c r="CZ69" s="218" t="s">
        <v>1136</v>
      </c>
      <c r="DA69" s="219" t="s">
        <v>642</v>
      </c>
      <c r="DB69" s="220" t="s">
        <v>643</v>
      </c>
      <c r="DC69" s="221" t="s">
        <v>1137</v>
      </c>
      <c r="DD69" s="222" t="s">
        <v>644</v>
      </c>
      <c r="DE69" s="223" t="s">
        <v>1152</v>
      </c>
      <c r="DF69" s="224" t="s">
        <v>641</v>
      </c>
      <c r="DG69" s="225">
        <v>2013</v>
      </c>
      <c r="DH69" s="226" t="s">
        <v>1153</v>
      </c>
      <c r="DI69" s="228" t="str">
        <f>HYPERLINK("https://my.pitchbook.com?c=47378-35T", "View company online")</f>
        <v>View company online</v>
      </c>
    </row>
    <row r="70" spans="1:113" x14ac:dyDescent="0.2">
      <c r="A70" s="3" t="s">
        <v>1154</v>
      </c>
      <c r="B70" s="4" t="s">
        <v>396</v>
      </c>
      <c r="C70" s="5" t="s">
        <v>397</v>
      </c>
      <c r="D70" s="6" t="s">
        <v>398</v>
      </c>
      <c r="E70" s="7" t="s">
        <v>399</v>
      </c>
      <c r="F70" s="8" t="s">
        <v>164</v>
      </c>
      <c r="G70" s="9" t="s">
        <v>165</v>
      </c>
      <c r="H70" s="10" t="s">
        <v>190</v>
      </c>
      <c r="I70" s="11" t="s">
        <v>229</v>
      </c>
      <c r="J70" s="12" t="s">
        <v>400</v>
      </c>
      <c r="K70" s="13" t="s">
        <v>401</v>
      </c>
      <c r="L70" s="14" t="s">
        <v>402</v>
      </c>
      <c r="M70" s="15" t="s">
        <v>133</v>
      </c>
      <c r="N70" s="16" t="s">
        <v>231</v>
      </c>
      <c r="O70" s="17" t="s">
        <v>403</v>
      </c>
      <c r="P70" s="18" t="s">
        <v>404</v>
      </c>
      <c r="Q70" s="19" t="s">
        <v>141</v>
      </c>
      <c r="R70" s="20" t="s">
        <v>141</v>
      </c>
      <c r="S70" s="21" t="s">
        <v>405</v>
      </c>
      <c r="T70" s="22" t="s">
        <v>141</v>
      </c>
      <c r="U70" s="23">
        <v>3</v>
      </c>
      <c r="V70" s="24" t="s">
        <v>1154</v>
      </c>
      <c r="W70" s="25" t="s">
        <v>141</v>
      </c>
      <c r="X70" s="26">
        <v>42675</v>
      </c>
      <c r="Y70" s="27">
        <v>0.06</v>
      </c>
      <c r="Z70" s="28" t="s">
        <v>177</v>
      </c>
      <c r="AA70" s="29" t="s">
        <v>141</v>
      </c>
      <c r="AB70" s="30" t="s">
        <v>141</v>
      </c>
      <c r="AC70" s="31" t="s">
        <v>141</v>
      </c>
      <c r="AD70" s="32" t="s">
        <v>141</v>
      </c>
      <c r="AE70" s="33">
        <v>0.71</v>
      </c>
      <c r="AF70" s="34" t="s">
        <v>1080</v>
      </c>
      <c r="AG70" s="35" t="s">
        <v>141</v>
      </c>
      <c r="AH70" s="36" t="s">
        <v>141</v>
      </c>
      <c r="AI70" s="37" t="s">
        <v>141</v>
      </c>
      <c r="AJ70" s="38" t="s">
        <v>1081</v>
      </c>
      <c r="AK70" s="39" t="s">
        <v>1081</v>
      </c>
      <c r="AL70" s="40" t="s">
        <v>141</v>
      </c>
      <c r="AM70" s="41" t="s">
        <v>485</v>
      </c>
      <c r="AN70" s="42" t="s">
        <v>399</v>
      </c>
      <c r="AO70" s="43" t="s">
        <v>141</v>
      </c>
      <c r="AP70" s="44" t="s">
        <v>145</v>
      </c>
      <c r="AQ70" s="45" t="s">
        <v>141</v>
      </c>
      <c r="AR70" s="46" t="s">
        <v>141</v>
      </c>
      <c r="AS70" s="47" t="s">
        <v>281</v>
      </c>
      <c r="AT70" s="48" t="s">
        <v>141</v>
      </c>
      <c r="AU70" s="49" t="s">
        <v>141</v>
      </c>
      <c r="AV70" s="50">
        <v>0.06</v>
      </c>
      <c r="AW70" s="51" t="s">
        <v>141</v>
      </c>
      <c r="AX70" s="52" t="s">
        <v>141</v>
      </c>
      <c r="AY70" s="53">
        <v>0.06</v>
      </c>
      <c r="AZ70" s="54" t="s">
        <v>141</v>
      </c>
      <c r="BA70" s="55" t="s">
        <v>146</v>
      </c>
      <c r="BB70" s="56" t="s">
        <v>133</v>
      </c>
      <c r="BC70" s="57" t="s">
        <v>402</v>
      </c>
      <c r="BD70" s="58" t="s">
        <v>141</v>
      </c>
      <c r="BE70" s="59">
        <v>1</v>
      </c>
      <c r="BF70" s="60" t="s">
        <v>1155</v>
      </c>
      <c r="BG70" s="61">
        <v>1</v>
      </c>
      <c r="BH70" s="62" t="s">
        <v>141</v>
      </c>
      <c r="BI70" s="63" t="s">
        <v>141</v>
      </c>
      <c r="BJ70" s="64" t="s">
        <v>141</v>
      </c>
      <c r="BK70" s="65" t="s">
        <v>141</v>
      </c>
      <c r="BL70" s="66" t="s">
        <v>1156</v>
      </c>
      <c r="BM70" s="67" t="s">
        <v>1156</v>
      </c>
      <c r="BN70" s="68" t="s">
        <v>141</v>
      </c>
      <c r="BO70" s="69" t="s">
        <v>141</v>
      </c>
      <c r="BP70" s="70" t="s">
        <v>141</v>
      </c>
      <c r="BQ70" s="71" t="s">
        <v>141</v>
      </c>
      <c r="BR70" s="72" t="s">
        <v>141</v>
      </c>
      <c r="BS70" s="73" t="s">
        <v>141</v>
      </c>
      <c r="BT70" s="74" t="s">
        <v>141</v>
      </c>
      <c r="BU70" s="75" t="s">
        <v>141</v>
      </c>
      <c r="BV70" s="76" t="s">
        <v>141</v>
      </c>
      <c r="BW70" s="77" t="s">
        <v>141</v>
      </c>
      <c r="BX70" s="78">
        <v>0.25</v>
      </c>
      <c r="BY70" s="79" t="s">
        <v>141</v>
      </c>
      <c r="BZ70" s="80" t="s">
        <v>141</v>
      </c>
      <c r="CA70" s="81" t="s">
        <v>141</v>
      </c>
      <c r="CB70" s="82" t="s">
        <v>141</v>
      </c>
      <c r="CC70" s="83" t="s">
        <v>141</v>
      </c>
      <c r="CD70" s="84" t="s">
        <v>141</v>
      </c>
      <c r="CE70" s="85">
        <v>2016</v>
      </c>
      <c r="CF70" s="86" t="s">
        <v>141</v>
      </c>
      <c r="CG70" s="87" t="s">
        <v>141</v>
      </c>
      <c r="CH70" s="88" t="s">
        <v>141</v>
      </c>
      <c r="CI70" s="89" t="s">
        <v>141</v>
      </c>
      <c r="CJ70" s="90" t="s">
        <v>141</v>
      </c>
      <c r="CK70" s="91" t="s">
        <v>141</v>
      </c>
      <c r="CL70" s="92" t="s">
        <v>141</v>
      </c>
      <c r="CM70" s="93" t="s">
        <v>141</v>
      </c>
      <c r="CN70" s="94">
        <v>0.24</v>
      </c>
      <c r="CO70" s="95" t="s">
        <v>141</v>
      </c>
      <c r="CP70" s="96" t="s">
        <v>141</v>
      </c>
      <c r="CQ70" s="97" t="s">
        <v>141</v>
      </c>
      <c r="CR70" s="98" t="s">
        <v>141</v>
      </c>
      <c r="CS70" s="99" t="s">
        <v>141</v>
      </c>
      <c r="CT70" s="100" t="s">
        <v>141</v>
      </c>
      <c r="CU70" s="101" t="s">
        <v>141</v>
      </c>
      <c r="CV70" s="102" t="s">
        <v>141</v>
      </c>
      <c r="CW70" s="103" t="s">
        <v>141</v>
      </c>
      <c r="CX70" s="104" t="s">
        <v>141</v>
      </c>
      <c r="CY70" s="105" t="s">
        <v>150</v>
      </c>
      <c r="CZ70" s="106" t="s">
        <v>409</v>
      </c>
      <c r="DA70" s="107" t="s">
        <v>152</v>
      </c>
      <c r="DB70" s="108" t="s">
        <v>153</v>
      </c>
      <c r="DC70" s="109" t="s">
        <v>410</v>
      </c>
      <c r="DD70" s="110" t="s">
        <v>182</v>
      </c>
      <c r="DE70" s="111" t="s">
        <v>411</v>
      </c>
      <c r="DF70" s="112" t="s">
        <v>157</v>
      </c>
      <c r="DG70" s="113">
        <v>2015</v>
      </c>
      <c r="DH70" s="114" t="s">
        <v>412</v>
      </c>
      <c r="DI70" s="227" t="str">
        <f>HYPERLINK("https://my.pitchbook.com?c=79117-84T", "View company online")</f>
        <v>View company online</v>
      </c>
    </row>
    <row r="71" spans="1:113" x14ac:dyDescent="0.2">
      <c r="A71" s="115" t="s">
        <v>1157</v>
      </c>
      <c r="B71" s="116" t="s">
        <v>1158</v>
      </c>
      <c r="C71" s="117" t="s">
        <v>1159</v>
      </c>
      <c r="D71" s="118" t="s">
        <v>1160</v>
      </c>
      <c r="E71" s="119" t="s">
        <v>1161</v>
      </c>
      <c r="F71" s="120" t="s">
        <v>126</v>
      </c>
      <c r="G71" s="121" t="s">
        <v>127</v>
      </c>
      <c r="H71" s="122" t="s">
        <v>128</v>
      </c>
      <c r="I71" s="123" t="s">
        <v>129</v>
      </c>
      <c r="J71" s="124" t="s">
        <v>130</v>
      </c>
      <c r="K71" s="125" t="s">
        <v>1162</v>
      </c>
      <c r="L71" s="126" t="s">
        <v>402</v>
      </c>
      <c r="M71" s="127" t="s">
        <v>133</v>
      </c>
      <c r="N71" s="128" t="s">
        <v>231</v>
      </c>
      <c r="O71" s="129" t="s">
        <v>1163</v>
      </c>
      <c r="P71" s="130" t="s">
        <v>1164</v>
      </c>
      <c r="Q71" s="131" t="s">
        <v>1165</v>
      </c>
      <c r="R71" s="132" t="s">
        <v>1166</v>
      </c>
      <c r="S71" s="133" t="s">
        <v>1167</v>
      </c>
      <c r="T71" s="134" t="s">
        <v>141</v>
      </c>
      <c r="U71" s="135">
        <v>1</v>
      </c>
      <c r="V71" s="136" t="s">
        <v>1157</v>
      </c>
      <c r="W71" s="137" t="s">
        <v>141</v>
      </c>
      <c r="X71" s="138" t="s">
        <v>141</v>
      </c>
      <c r="Y71" s="139" t="s">
        <v>141</v>
      </c>
      <c r="Z71" s="140" t="s">
        <v>141</v>
      </c>
      <c r="AA71" s="141" t="s">
        <v>141</v>
      </c>
      <c r="AB71" s="142" t="s">
        <v>141</v>
      </c>
      <c r="AC71" s="143" t="s">
        <v>141</v>
      </c>
      <c r="AD71" s="144" t="s">
        <v>141</v>
      </c>
      <c r="AE71" s="145" t="s">
        <v>141</v>
      </c>
      <c r="AF71" s="146" t="s">
        <v>1080</v>
      </c>
      <c r="AG71" s="147" t="s">
        <v>141</v>
      </c>
      <c r="AH71" s="148" t="s">
        <v>141</v>
      </c>
      <c r="AI71" s="149" t="s">
        <v>141</v>
      </c>
      <c r="AJ71" s="150" t="s">
        <v>1081</v>
      </c>
      <c r="AK71" s="151" t="s">
        <v>1081</v>
      </c>
      <c r="AL71" s="152" t="s">
        <v>141</v>
      </c>
      <c r="AM71" s="153" t="s">
        <v>485</v>
      </c>
      <c r="AN71" s="154" t="s">
        <v>1168</v>
      </c>
      <c r="AO71" s="155" t="s">
        <v>141</v>
      </c>
      <c r="AP71" s="156" t="s">
        <v>145</v>
      </c>
      <c r="AQ71" s="157" t="s">
        <v>141</v>
      </c>
      <c r="AR71" s="158" t="s">
        <v>141</v>
      </c>
      <c r="AS71" s="159" t="s">
        <v>141</v>
      </c>
      <c r="AT71" s="160" t="s">
        <v>141</v>
      </c>
      <c r="AU71" s="161" t="s">
        <v>141</v>
      </c>
      <c r="AV71" s="162" t="s">
        <v>141</v>
      </c>
      <c r="AW71" s="163" t="s">
        <v>141</v>
      </c>
      <c r="AX71" s="164" t="s">
        <v>141</v>
      </c>
      <c r="AY71" s="165" t="s">
        <v>141</v>
      </c>
      <c r="AZ71" s="166" t="s">
        <v>141</v>
      </c>
      <c r="BA71" s="167" t="s">
        <v>146</v>
      </c>
      <c r="BB71" s="168" t="s">
        <v>133</v>
      </c>
      <c r="BC71" s="169" t="s">
        <v>402</v>
      </c>
      <c r="BD71" s="170">
        <v>3</v>
      </c>
      <c r="BE71" s="171" t="s">
        <v>141</v>
      </c>
      <c r="BF71" s="172" t="s">
        <v>141</v>
      </c>
      <c r="BG71" s="173" t="s">
        <v>141</v>
      </c>
      <c r="BH71" s="174" t="s">
        <v>141</v>
      </c>
      <c r="BI71" s="175" t="s">
        <v>141</v>
      </c>
      <c r="BJ71" s="176" t="s">
        <v>141</v>
      </c>
      <c r="BK71" s="177" t="s">
        <v>141</v>
      </c>
      <c r="BL71" s="178" t="s">
        <v>141</v>
      </c>
      <c r="BM71" s="179" t="s">
        <v>141</v>
      </c>
      <c r="BN71" s="180" t="s">
        <v>141</v>
      </c>
      <c r="BO71" s="181" t="s">
        <v>141</v>
      </c>
      <c r="BP71" s="182" t="s">
        <v>141</v>
      </c>
      <c r="BQ71" s="183" t="s">
        <v>141</v>
      </c>
      <c r="BR71" s="184" t="s">
        <v>141</v>
      </c>
      <c r="BS71" s="185" t="s">
        <v>141</v>
      </c>
      <c r="BT71" s="186" t="s">
        <v>141</v>
      </c>
      <c r="BU71" s="187" t="s">
        <v>141</v>
      </c>
      <c r="BV71" s="188" t="s">
        <v>141</v>
      </c>
      <c r="BW71" s="189" t="s">
        <v>141</v>
      </c>
      <c r="BX71" s="190" t="s">
        <v>141</v>
      </c>
      <c r="BY71" s="191" t="s">
        <v>141</v>
      </c>
      <c r="BZ71" s="192" t="s">
        <v>141</v>
      </c>
      <c r="CA71" s="193" t="s">
        <v>141</v>
      </c>
      <c r="CB71" s="194" t="s">
        <v>141</v>
      </c>
      <c r="CC71" s="195" t="s">
        <v>141</v>
      </c>
      <c r="CD71" s="196" t="s">
        <v>141</v>
      </c>
      <c r="CE71" s="197" t="s">
        <v>141</v>
      </c>
      <c r="CF71" s="198" t="s">
        <v>141</v>
      </c>
      <c r="CG71" s="199" t="s">
        <v>141</v>
      </c>
      <c r="CH71" s="200" t="s">
        <v>141</v>
      </c>
      <c r="CI71" s="201" t="s">
        <v>141</v>
      </c>
      <c r="CJ71" s="202" t="s">
        <v>141</v>
      </c>
      <c r="CK71" s="203" t="s">
        <v>141</v>
      </c>
      <c r="CL71" s="204" t="s">
        <v>141</v>
      </c>
      <c r="CM71" s="205" t="s">
        <v>141</v>
      </c>
      <c r="CN71" s="206" t="s">
        <v>141</v>
      </c>
      <c r="CO71" s="207" t="s">
        <v>141</v>
      </c>
      <c r="CP71" s="208" t="s">
        <v>141</v>
      </c>
      <c r="CQ71" s="209" t="s">
        <v>141</v>
      </c>
      <c r="CR71" s="210" t="s">
        <v>141</v>
      </c>
      <c r="CS71" s="211" t="s">
        <v>141</v>
      </c>
      <c r="CT71" s="212" t="s">
        <v>141</v>
      </c>
      <c r="CU71" s="213" t="s">
        <v>141</v>
      </c>
      <c r="CV71" s="214" t="s">
        <v>141</v>
      </c>
      <c r="CW71" s="215" t="s">
        <v>141</v>
      </c>
      <c r="CX71" s="216">
        <v>3</v>
      </c>
      <c r="CY71" s="217" t="s">
        <v>150</v>
      </c>
      <c r="CZ71" s="218" t="s">
        <v>1169</v>
      </c>
      <c r="DA71" s="219" t="s">
        <v>152</v>
      </c>
      <c r="DB71" s="220" t="s">
        <v>153</v>
      </c>
      <c r="DC71" s="221" t="s">
        <v>1170</v>
      </c>
      <c r="DD71" s="222" t="s">
        <v>182</v>
      </c>
      <c r="DE71" s="223" t="s">
        <v>1171</v>
      </c>
      <c r="DF71" s="224" t="s">
        <v>157</v>
      </c>
      <c r="DG71" s="225">
        <v>2015</v>
      </c>
      <c r="DH71" s="226" t="s">
        <v>1172</v>
      </c>
      <c r="DI71" s="228" t="str">
        <f>HYPERLINK("https://my.pitchbook.com?c=93644-92T", "View company online")</f>
        <v>View company online</v>
      </c>
    </row>
    <row r="72" spans="1:113" x14ac:dyDescent="0.2">
      <c r="A72" s="3" t="s">
        <v>1173</v>
      </c>
      <c r="B72" s="4" t="s">
        <v>1174</v>
      </c>
      <c r="C72" s="5" t="s">
        <v>1175</v>
      </c>
      <c r="D72" s="6" t="s">
        <v>1176</v>
      </c>
      <c r="E72" s="7" t="s">
        <v>1177</v>
      </c>
      <c r="F72" s="8" t="s">
        <v>164</v>
      </c>
      <c r="G72" s="9" t="s">
        <v>165</v>
      </c>
      <c r="H72" s="10" t="s">
        <v>418</v>
      </c>
      <c r="I72" s="11" t="s">
        <v>1178</v>
      </c>
      <c r="J72" s="12" t="s">
        <v>459</v>
      </c>
      <c r="K72" s="13" t="s">
        <v>1179</v>
      </c>
      <c r="L72" s="14" t="s">
        <v>402</v>
      </c>
      <c r="M72" s="15" t="s">
        <v>133</v>
      </c>
      <c r="N72" s="16" t="s">
        <v>231</v>
      </c>
      <c r="O72" s="17" t="s">
        <v>1180</v>
      </c>
      <c r="P72" s="18" t="s">
        <v>1181</v>
      </c>
      <c r="Q72" s="19" t="s">
        <v>141</v>
      </c>
      <c r="R72" s="20" t="s">
        <v>1182</v>
      </c>
      <c r="S72" s="21" t="s">
        <v>1183</v>
      </c>
      <c r="T72" s="22" t="s">
        <v>141</v>
      </c>
      <c r="U72" s="23">
        <v>1</v>
      </c>
      <c r="V72" s="24" t="s">
        <v>1173</v>
      </c>
      <c r="W72" s="25" t="s">
        <v>141</v>
      </c>
      <c r="X72" s="26">
        <v>42605</v>
      </c>
      <c r="Y72" s="27">
        <v>0.41</v>
      </c>
      <c r="Z72" s="28" t="s">
        <v>177</v>
      </c>
      <c r="AA72" s="29">
        <v>0.45</v>
      </c>
      <c r="AB72" s="30">
        <v>0.86</v>
      </c>
      <c r="AC72" s="31" t="s">
        <v>177</v>
      </c>
      <c r="AD72" s="32">
        <v>47.23</v>
      </c>
      <c r="AE72" s="33">
        <v>0.41</v>
      </c>
      <c r="AF72" s="34" t="s">
        <v>1080</v>
      </c>
      <c r="AG72" s="35" t="s">
        <v>141</v>
      </c>
      <c r="AH72" s="36">
        <v>4.2699999999999996</v>
      </c>
      <c r="AI72" s="37" t="s">
        <v>141</v>
      </c>
      <c r="AJ72" s="38" t="s">
        <v>1081</v>
      </c>
      <c r="AK72" s="39" t="s">
        <v>1081</v>
      </c>
      <c r="AL72" s="40" t="s">
        <v>141</v>
      </c>
      <c r="AM72" s="41" t="s">
        <v>485</v>
      </c>
      <c r="AN72" s="42" t="s">
        <v>1184</v>
      </c>
      <c r="AO72" s="43">
        <v>0.41</v>
      </c>
      <c r="AP72" s="44" t="s">
        <v>145</v>
      </c>
      <c r="AQ72" s="45" t="s">
        <v>141</v>
      </c>
      <c r="AR72" s="46" t="s">
        <v>141</v>
      </c>
      <c r="AS72" s="47" t="s">
        <v>141</v>
      </c>
      <c r="AT72" s="48" t="s">
        <v>141</v>
      </c>
      <c r="AU72" s="49" t="s">
        <v>141</v>
      </c>
      <c r="AV72" s="50" t="s">
        <v>141</v>
      </c>
      <c r="AW72" s="51" t="s">
        <v>141</v>
      </c>
      <c r="AX72" s="52" t="s">
        <v>141</v>
      </c>
      <c r="AY72" s="53" t="s">
        <v>141</v>
      </c>
      <c r="AZ72" s="54" t="s">
        <v>141</v>
      </c>
      <c r="BA72" s="55" t="s">
        <v>146</v>
      </c>
      <c r="BB72" s="56" t="s">
        <v>263</v>
      </c>
      <c r="BC72" s="57" t="s">
        <v>402</v>
      </c>
      <c r="BD72" s="58" t="s">
        <v>141</v>
      </c>
      <c r="BE72" s="59" t="s">
        <v>141</v>
      </c>
      <c r="BF72" s="60" t="s">
        <v>141</v>
      </c>
      <c r="BG72" s="61" t="s">
        <v>141</v>
      </c>
      <c r="BH72" s="62" t="s">
        <v>141</v>
      </c>
      <c r="BI72" s="63" t="s">
        <v>141</v>
      </c>
      <c r="BJ72" s="64" t="s">
        <v>141</v>
      </c>
      <c r="BK72" s="65" t="s">
        <v>141</v>
      </c>
      <c r="BL72" s="66" t="s">
        <v>141</v>
      </c>
      <c r="BM72" s="67" t="s">
        <v>141</v>
      </c>
      <c r="BN72" s="68" t="s">
        <v>141</v>
      </c>
      <c r="BO72" s="69" t="s">
        <v>141</v>
      </c>
      <c r="BP72" s="70" t="s">
        <v>141</v>
      </c>
      <c r="BQ72" s="71" t="s">
        <v>141</v>
      </c>
      <c r="BR72" s="72" t="s">
        <v>141</v>
      </c>
      <c r="BS72" s="73" t="s">
        <v>141</v>
      </c>
      <c r="BT72" s="74" t="s">
        <v>141</v>
      </c>
      <c r="BU72" s="75" t="s">
        <v>141</v>
      </c>
      <c r="BV72" s="76" t="s">
        <v>141</v>
      </c>
      <c r="BW72" s="77" t="s">
        <v>141</v>
      </c>
      <c r="BX72" s="78" t="s">
        <v>141</v>
      </c>
      <c r="BY72" s="79" t="s">
        <v>141</v>
      </c>
      <c r="BZ72" s="80" t="s">
        <v>141</v>
      </c>
      <c r="CA72" s="81" t="s">
        <v>141</v>
      </c>
      <c r="CB72" s="82" t="s">
        <v>141</v>
      </c>
      <c r="CC72" s="83" t="s">
        <v>141</v>
      </c>
      <c r="CD72" s="84" t="s">
        <v>141</v>
      </c>
      <c r="CE72" s="85">
        <v>2017</v>
      </c>
      <c r="CF72" s="86" t="s">
        <v>141</v>
      </c>
      <c r="CG72" s="87" t="s">
        <v>141</v>
      </c>
      <c r="CH72" s="88" t="s">
        <v>141</v>
      </c>
      <c r="CI72" s="89" t="s">
        <v>141</v>
      </c>
      <c r="CJ72" s="90" t="s">
        <v>141</v>
      </c>
      <c r="CK72" s="91" t="s">
        <v>141</v>
      </c>
      <c r="CL72" s="92" t="s">
        <v>141</v>
      </c>
      <c r="CM72" s="93" t="s">
        <v>141</v>
      </c>
      <c r="CN72" s="94" t="s">
        <v>141</v>
      </c>
      <c r="CO72" s="95" t="s">
        <v>141</v>
      </c>
      <c r="CP72" s="96" t="s">
        <v>141</v>
      </c>
      <c r="CQ72" s="97" t="s">
        <v>141</v>
      </c>
      <c r="CR72" s="98" t="s">
        <v>141</v>
      </c>
      <c r="CS72" s="99" t="s">
        <v>141</v>
      </c>
      <c r="CT72" s="100" t="s">
        <v>141</v>
      </c>
      <c r="CU72" s="101" t="s">
        <v>141</v>
      </c>
      <c r="CV72" s="102" t="s">
        <v>141</v>
      </c>
      <c r="CW72" s="103" t="s">
        <v>141</v>
      </c>
      <c r="CX72" s="104" t="s">
        <v>141</v>
      </c>
      <c r="CY72" s="105" t="s">
        <v>640</v>
      </c>
      <c r="CZ72" s="106" t="s">
        <v>1136</v>
      </c>
      <c r="DA72" s="107" t="s">
        <v>642</v>
      </c>
      <c r="DB72" s="108" t="s">
        <v>643</v>
      </c>
      <c r="DC72" s="109" t="s">
        <v>1137</v>
      </c>
      <c r="DD72" s="110" t="s">
        <v>644</v>
      </c>
      <c r="DE72" s="111" t="s">
        <v>1185</v>
      </c>
      <c r="DF72" s="112" t="s">
        <v>641</v>
      </c>
      <c r="DG72" s="113">
        <v>2015</v>
      </c>
      <c r="DH72" s="114" t="s">
        <v>1186</v>
      </c>
      <c r="DI72" s="227" t="str">
        <f>HYPERLINK("https://my.pitchbook.com?c=135506-71T", "View company online")</f>
        <v>View company online</v>
      </c>
    </row>
    <row r="73" spans="1:113" x14ac:dyDescent="0.2">
      <c r="A73" s="115" t="s">
        <v>1187</v>
      </c>
      <c r="B73" s="116" t="s">
        <v>1174</v>
      </c>
      <c r="C73" s="117" t="s">
        <v>1175</v>
      </c>
      <c r="D73" s="118" t="s">
        <v>1176</v>
      </c>
      <c r="E73" s="119" t="s">
        <v>1177</v>
      </c>
      <c r="F73" s="120" t="s">
        <v>164</v>
      </c>
      <c r="G73" s="121" t="s">
        <v>165</v>
      </c>
      <c r="H73" s="122" t="s">
        <v>418</v>
      </c>
      <c r="I73" s="123" t="s">
        <v>1178</v>
      </c>
      <c r="J73" s="124" t="s">
        <v>459</v>
      </c>
      <c r="K73" s="125" t="s">
        <v>1179</v>
      </c>
      <c r="L73" s="126" t="s">
        <v>402</v>
      </c>
      <c r="M73" s="127" t="s">
        <v>133</v>
      </c>
      <c r="N73" s="128" t="s">
        <v>231</v>
      </c>
      <c r="O73" s="129" t="s">
        <v>1180</v>
      </c>
      <c r="P73" s="130" t="s">
        <v>1181</v>
      </c>
      <c r="Q73" s="131" t="s">
        <v>141</v>
      </c>
      <c r="R73" s="132" t="s">
        <v>1182</v>
      </c>
      <c r="S73" s="133" t="s">
        <v>1183</v>
      </c>
      <c r="T73" s="134" t="s">
        <v>141</v>
      </c>
      <c r="U73" s="135">
        <v>3</v>
      </c>
      <c r="V73" s="136" t="s">
        <v>1187</v>
      </c>
      <c r="W73" s="137" t="s">
        <v>141</v>
      </c>
      <c r="X73" s="138">
        <v>43277</v>
      </c>
      <c r="Y73" s="139">
        <v>0.35</v>
      </c>
      <c r="Z73" s="140" t="s">
        <v>177</v>
      </c>
      <c r="AA73" s="141">
        <v>5</v>
      </c>
      <c r="AB73" s="142">
        <v>5.35</v>
      </c>
      <c r="AC73" s="143" t="s">
        <v>177</v>
      </c>
      <c r="AD73" s="144">
        <v>6.57</v>
      </c>
      <c r="AE73" s="145">
        <v>0.76</v>
      </c>
      <c r="AF73" s="146" t="s">
        <v>1080</v>
      </c>
      <c r="AG73" s="147" t="s">
        <v>1188</v>
      </c>
      <c r="AH73" s="148">
        <v>2.23</v>
      </c>
      <c r="AI73" s="149" t="s">
        <v>141</v>
      </c>
      <c r="AJ73" s="150" t="s">
        <v>1081</v>
      </c>
      <c r="AK73" s="151" t="s">
        <v>1081</v>
      </c>
      <c r="AL73" s="152" t="s">
        <v>141</v>
      </c>
      <c r="AM73" s="153" t="s">
        <v>485</v>
      </c>
      <c r="AN73" s="154" t="s">
        <v>1177</v>
      </c>
      <c r="AO73" s="155">
        <v>0.35</v>
      </c>
      <c r="AP73" s="156" t="s">
        <v>145</v>
      </c>
      <c r="AQ73" s="157" t="s">
        <v>141</v>
      </c>
      <c r="AR73" s="158" t="s">
        <v>141</v>
      </c>
      <c r="AS73" s="159" t="s">
        <v>141</v>
      </c>
      <c r="AT73" s="160" t="s">
        <v>141</v>
      </c>
      <c r="AU73" s="161" t="s">
        <v>141</v>
      </c>
      <c r="AV73" s="162" t="s">
        <v>141</v>
      </c>
      <c r="AW73" s="163" t="s">
        <v>141</v>
      </c>
      <c r="AX73" s="164" t="s">
        <v>141</v>
      </c>
      <c r="AY73" s="165" t="s">
        <v>141</v>
      </c>
      <c r="AZ73" s="166" t="s">
        <v>141</v>
      </c>
      <c r="BA73" s="167" t="s">
        <v>146</v>
      </c>
      <c r="BB73" s="168" t="s">
        <v>133</v>
      </c>
      <c r="BC73" s="169" t="s">
        <v>402</v>
      </c>
      <c r="BD73" s="170" t="s">
        <v>141</v>
      </c>
      <c r="BE73" s="171" t="s">
        <v>141</v>
      </c>
      <c r="BF73" s="172" t="s">
        <v>141</v>
      </c>
      <c r="BG73" s="173" t="s">
        <v>141</v>
      </c>
      <c r="BH73" s="174" t="s">
        <v>141</v>
      </c>
      <c r="BI73" s="175" t="s">
        <v>141</v>
      </c>
      <c r="BJ73" s="176" t="s">
        <v>141</v>
      </c>
      <c r="BK73" s="177" t="s">
        <v>141</v>
      </c>
      <c r="BL73" s="178" t="s">
        <v>141</v>
      </c>
      <c r="BM73" s="179" t="s">
        <v>141</v>
      </c>
      <c r="BN73" s="180" t="s">
        <v>141</v>
      </c>
      <c r="BO73" s="181" t="s">
        <v>141</v>
      </c>
      <c r="BP73" s="182" t="s">
        <v>141</v>
      </c>
      <c r="BQ73" s="183" t="s">
        <v>141</v>
      </c>
      <c r="BR73" s="184" t="s">
        <v>141</v>
      </c>
      <c r="BS73" s="185" t="s">
        <v>141</v>
      </c>
      <c r="BT73" s="186" t="s">
        <v>141</v>
      </c>
      <c r="BU73" s="187" t="s">
        <v>141</v>
      </c>
      <c r="BV73" s="188" t="s">
        <v>141</v>
      </c>
      <c r="BW73" s="189" t="s">
        <v>141</v>
      </c>
      <c r="BX73" s="190" t="s">
        <v>141</v>
      </c>
      <c r="BY73" s="191" t="s">
        <v>141</v>
      </c>
      <c r="BZ73" s="192" t="s">
        <v>141</v>
      </c>
      <c r="CA73" s="193" t="s">
        <v>141</v>
      </c>
      <c r="CB73" s="194" t="s">
        <v>141</v>
      </c>
      <c r="CC73" s="195" t="s">
        <v>141</v>
      </c>
      <c r="CD73" s="196" t="s">
        <v>141</v>
      </c>
      <c r="CE73" s="197">
        <v>2018</v>
      </c>
      <c r="CF73" s="198" t="s">
        <v>141</v>
      </c>
      <c r="CG73" s="199" t="s">
        <v>141</v>
      </c>
      <c r="CH73" s="200" t="s">
        <v>141</v>
      </c>
      <c r="CI73" s="201" t="s">
        <v>141</v>
      </c>
      <c r="CJ73" s="202" t="s">
        <v>141</v>
      </c>
      <c r="CK73" s="203" t="s">
        <v>141</v>
      </c>
      <c r="CL73" s="204" t="s">
        <v>141</v>
      </c>
      <c r="CM73" s="205" t="s">
        <v>141</v>
      </c>
      <c r="CN73" s="206" t="s">
        <v>141</v>
      </c>
      <c r="CO73" s="207" t="s">
        <v>141</v>
      </c>
      <c r="CP73" s="208" t="s">
        <v>141</v>
      </c>
      <c r="CQ73" s="209" t="s">
        <v>141</v>
      </c>
      <c r="CR73" s="210" t="s">
        <v>141</v>
      </c>
      <c r="CS73" s="211" t="s">
        <v>141</v>
      </c>
      <c r="CT73" s="212" t="s">
        <v>141</v>
      </c>
      <c r="CU73" s="213" t="s">
        <v>141</v>
      </c>
      <c r="CV73" s="214" t="s">
        <v>141</v>
      </c>
      <c r="CW73" s="215" t="s">
        <v>141</v>
      </c>
      <c r="CX73" s="216" t="s">
        <v>141</v>
      </c>
      <c r="CY73" s="217" t="s">
        <v>640</v>
      </c>
      <c r="CZ73" s="218" t="s">
        <v>1136</v>
      </c>
      <c r="DA73" s="219" t="s">
        <v>642</v>
      </c>
      <c r="DB73" s="220" t="s">
        <v>643</v>
      </c>
      <c r="DC73" s="221" t="s">
        <v>1137</v>
      </c>
      <c r="DD73" s="222" t="s">
        <v>644</v>
      </c>
      <c r="DE73" s="223" t="s">
        <v>1185</v>
      </c>
      <c r="DF73" s="224" t="s">
        <v>641</v>
      </c>
      <c r="DG73" s="225">
        <v>2015</v>
      </c>
      <c r="DH73" s="226" t="s">
        <v>1186</v>
      </c>
      <c r="DI73" s="228" t="str">
        <f>HYPERLINK("https://my.pitchbook.com?c=135509-41T", "View company online")</f>
        <v>View company online</v>
      </c>
    </row>
    <row r="74" spans="1:113" x14ac:dyDescent="0.2">
      <c r="A74" s="3" t="s">
        <v>1189</v>
      </c>
      <c r="B74" s="4" t="s">
        <v>1190</v>
      </c>
      <c r="C74" s="5" t="s">
        <v>1191</v>
      </c>
      <c r="D74" s="6" t="s">
        <v>1192</v>
      </c>
      <c r="E74" s="7" t="s">
        <v>1193</v>
      </c>
      <c r="F74" s="8" t="s">
        <v>164</v>
      </c>
      <c r="G74" s="9" t="s">
        <v>165</v>
      </c>
      <c r="H74" s="10" t="s">
        <v>418</v>
      </c>
      <c r="I74" s="11" t="s">
        <v>1194</v>
      </c>
      <c r="J74" s="12" t="s">
        <v>211</v>
      </c>
      <c r="K74" s="13" t="s">
        <v>1195</v>
      </c>
      <c r="L74" s="14" t="s">
        <v>132</v>
      </c>
      <c r="M74" s="15" t="s">
        <v>133</v>
      </c>
      <c r="N74" s="16" t="s">
        <v>170</v>
      </c>
      <c r="O74" s="17" t="s">
        <v>1196</v>
      </c>
      <c r="P74" s="18" t="s">
        <v>1197</v>
      </c>
      <c r="Q74" s="19" t="s">
        <v>1198</v>
      </c>
      <c r="R74" s="20" t="s">
        <v>1199</v>
      </c>
      <c r="S74" s="21" t="s">
        <v>1200</v>
      </c>
      <c r="T74" s="22" t="s">
        <v>1201</v>
      </c>
      <c r="U74" s="23">
        <v>1</v>
      </c>
      <c r="V74" s="24" t="s">
        <v>1189</v>
      </c>
      <c r="W74" s="25" t="s">
        <v>141</v>
      </c>
      <c r="X74" s="26">
        <v>42339</v>
      </c>
      <c r="Y74" s="27">
        <v>2</v>
      </c>
      <c r="Z74" s="28" t="s">
        <v>887</v>
      </c>
      <c r="AA74" s="29" t="s">
        <v>141</v>
      </c>
      <c r="AB74" s="30" t="s">
        <v>141</v>
      </c>
      <c r="AC74" s="31" t="s">
        <v>141</v>
      </c>
      <c r="AD74" s="32" t="s">
        <v>141</v>
      </c>
      <c r="AE74" s="33">
        <v>2</v>
      </c>
      <c r="AF74" s="34" t="s">
        <v>1080</v>
      </c>
      <c r="AG74" s="35" t="s">
        <v>141</v>
      </c>
      <c r="AH74" s="36" t="s">
        <v>141</v>
      </c>
      <c r="AI74" s="37" t="s">
        <v>141</v>
      </c>
      <c r="AJ74" s="38" t="s">
        <v>1081</v>
      </c>
      <c r="AK74" s="39" t="s">
        <v>1081</v>
      </c>
      <c r="AL74" s="40" t="s">
        <v>141</v>
      </c>
      <c r="AM74" s="41" t="s">
        <v>485</v>
      </c>
      <c r="AN74" s="42" t="s">
        <v>1202</v>
      </c>
      <c r="AO74" s="43">
        <v>2</v>
      </c>
      <c r="AP74" s="44" t="s">
        <v>145</v>
      </c>
      <c r="AQ74" s="45" t="s">
        <v>141</v>
      </c>
      <c r="AR74" s="46" t="s">
        <v>141</v>
      </c>
      <c r="AS74" s="47" t="s">
        <v>141</v>
      </c>
      <c r="AT74" s="48" t="s">
        <v>141</v>
      </c>
      <c r="AU74" s="49" t="s">
        <v>141</v>
      </c>
      <c r="AV74" s="50" t="s">
        <v>141</v>
      </c>
      <c r="AW74" s="51" t="s">
        <v>141</v>
      </c>
      <c r="AX74" s="52" t="s">
        <v>141</v>
      </c>
      <c r="AY74" s="53" t="s">
        <v>141</v>
      </c>
      <c r="AZ74" s="54" t="s">
        <v>141</v>
      </c>
      <c r="BA74" s="55" t="s">
        <v>146</v>
      </c>
      <c r="BB74" s="56" t="s">
        <v>263</v>
      </c>
      <c r="BC74" s="57" t="s">
        <v>402</v>
      </c>
      <c r="BD74" s="58" t="s">
        <v>141</v>
      </c>
      <c r="BE74" s="59" t="s">
        <v>141</v>
      </c>
      <c r="BF74" s="60" t="s">
        <v>141</v>
      </c>
      <c r="BG74" s="61" t="s">
        <v>141</v>
      </c>
      <c r="BH74" s="62" t="s">
        <v>141</v>
      </c>
      <c r="BI74" s="63" t="s">
        <v>141</v>
      </c>
      <c r="BJ74" s="64" t="s">
        <v>141</v>
      </c>
      <c r="BK74" s="65" t="s">
        <v>141</v>
      </c>
      <c r="BL74" s="66" t="s">
        <v>141</v>
      </c>
      <c r="BM74" s="67" t="s">
        <v>141</v>
      </c>
      <c r="BN74" s="68" t="s">
        <v>141</v>
      </c>
      <c r="BO74" s="69" t="s">
        <v>141</v>
      </c>
      <c r="BP74" s="70" t="s">
        <v>141</v>
      </c>
      <c r="BQ74" s="71" t="s">
        <v>141</v>
      </c>
      <c r="BR74" s="72" t="s">
        <v>141</v>
      </c>
      <c r="BS74" s="73" t="s">
        <v>141</v>
      </c>
      <c r="BT74" s="74" t="s">
        <v>141</v>
      </c>
      <c r="BU74" s="75" t="s">
        <v>141</v>
      </c>
      <c r="BV74" s="76" t="s">
        <v>141</v>
      </c>
      <c r="BW74" s="77" t="s">
        <v>141</v>
      </c>
      <c r="BX74" s="78" t="s">
        <v>141</v>
      </c>
      <c r="BY74" s="79" t="s">
        <v>141</v>
      </c>
      <c r="BZ74" s="80" t="s">
        <v>141</v>
      </c>
      <c r="CA74" s="81" t="s">
        <v>141</v>
      </c>
      <c r="CB74" s="82" t="s">
        <v>141</v>
      </c>
      <c r="CC74" s="83" t="s">
        <v>141</v>
      </c>
      <c r="CD74" s="84" t="s">
        <v>141</v>
      </c>
      <c r="CE74" s="85" t="s">
        <v>141</v>
      </c>
      <c r="CF74" s="86" t="s">
        <v>141</v>
      </c>
      <c r="CG74" s="87" t="s">
        <v>141</v>
      </c>
      <c r="CH74" s="88" t="s">
        <v>141</v>
      </c>
      <c r="CI74" s="89" t="s">
        <v>141</v>
      </c>
      <c r="CJ74" s="90" t="s">
        <v>141</v>
      </c>
      <c r="CK74" s="91" t="s">
        <v>141</v>
      </c>
      <c r="CL74" s="92" t="s">
        <v>141</v>
      </c>
      <c r="CM74" s="93" t="s">
        <v>141</v>
      </c>
      <c r="CN74" s="94" t="s">
        <v>141</v>
      </c>
      <c r="CO74" s="95" t="s">
        <v>141</v>
      </c>
      <c r="CP74" s="96" t="s">
        <v>141</v>
      </c>
      <c r="CQ74" s="97" t="s">
        <v>141</v>
      </c>
      <c r="CR74" s="98" t="s">
        <v>141</v>
      </c>
      <c r="CS74" s="99" t="s">
        <v>141</v>
      </c>
      <c r="CT74" s="100" t="s">
        <v>141</v>
      </c>
      <c r="CU74" s="101" t="s">
        <v>141</v>
      </c>
      <c r="CV74" s="102" t="s">
        <v>141</v>
      </c>
      <c r="CW74" s="103" t="s">
        <v>141</v>
      </c>
      <c r="CX74" s="104" t="s">
        <v>141</v>
      </c>
      <c r="CY74" s="105" t="s">
        <v>150</v>
      </c>
      <c r="CZ74" s="106" t="s">
        <v>327</v>
      </c>
      <c r="DA74" s="107" t="s">
        <v>152</v>
      </c>
      <c r="DB74" s="108" t="s">
        <v>153</v>
      </c>
      <c r="DC74" s="109" t="s">
        <v>328</v>
      </c>
      <c r="DD74" s="110" t="s">
        <v>329</v>
      </c>
      <c r="DE74" s="111" t="s">
        <v>1203</v>
      </c>
      <c r="DF74" s="112" t="s">
        <v>157</v>
      </c>
      <c r="DG74" s="113">
        <v>2015</v>
      </c>
      <c r="DH74" s="114" t="s">
        <v>1204</v>
      </c>
      <c r="DI74" s="227" t="str">
        <f>HYPERLINK("https://my.pitchbook.com?c=77036-59T", "View company online")</f>
        <v>View company online</v>
      </c>
    </row>
    <row r="75" spans="1:113" x14ac:dyDescent="0.2">
      <c r="A75" s="115" t="s">
        <v>1205</v>
      </c>
      <c r="B75" s="116" t="s">
        <v>1206</v>
      </c>
      <c r="C75" s="117" t="s">
        <v>1207</v>
      </c>
      <c r="D75" s="118" t="s">
        <v>1208</v>
      </c>
      <c r="E75" s="119" t="s">
        <v>1209</v>
      </c>
      <c r="F75" s="120" t="s">
        <v>126</v>
      </c>
      <c r="G75" s="121" t="s">
        <v>127</v>
      </c>
      <c r="H75" s="122" t="s">
        <v>128</v>
      </c>
      <c r="I75" s="123" t="s">
        <v>1210</v>
      </c>
      <c r="J75" s="124" t="s">
        <v>708</v>
      </c>
      <c r="K75" s="125" t="s">
        <v>1211</v>
      </c>
      <c r="L75" s="126" t="s">
        <v>402</v>
      </c>
      <c r="M75" s="127" t="s">
        <v>133</v>
      </c>
      <c r="N75" s="128" t="s">
        <v>231</v>
      </c>
      <c r="O75" s="129" t="s">
        <v>1212</v>
      </c>
      <c r="P75" s="130" t="s">
        <v>1213</v>
      </c>
      <c r="Q75" s="131" t="s">
        <v>1214</v>
      </c>
      <c r="R75" s="132" t="s">
        <v>1215</v>
      </c>
      <c r="S75" s="133" t="s">
        <v>1216</v>
      </c>
      <c r="T75" s="134" t="s">
        <v>141</v>
      </c>
      <c r="U75" s="135">
        <v>1</v>
      </c>
      <c r="V75" s="136" t="s">
        <v>1205</v>
      </c>
      <c r="W75" s="137">
        <v>43089</v>
      </c>
      <c r="X75" s="138">
        <v>43102</v>
      </c>
      <c r="Y75" s="139">
        <v>0.25</v>
      </c>
      <c r="Z75" s="140" t="s">
        <v>177</v>
      </c>
      <c r="AA75" s="141" t="s">
        <v>141</v>
      </c>
      <c r="AB75" s="142" t="s">
        <v>141</v>
      </c>
      <c r="AC75" s="143" t="s">
        <v>141</v>
      </c>
      <c r="AD75" s="144" t="s">
        <v>141</v>
      </c>
      <c r="AE75" s="145">
        <v>0.25</v>
      </c>
      <c r="AF75" s="146" t="s">
        <v>1080</v>
      </c>
      <c r="AG75" s="147" t="s">
        <v>141</v>
      </c>
      <c r="AH75" s="148" t="s">
        <v>141</v>
      </c>
      <c r="AI75" s="149" t="s">
        <v>141</v>
      </c>
      <c r="AJ75" s="150" t="s">
        <v>1081</v>
      </c>
      <c r="AK75" s="151" t="s">
        <v>1081</v>
      </c>
      <c r="AL75" s="152" t="s">
        <v>141</v>
      </c>
      <c r="AM75" s="153" t="s">
        <v>485</v>
      </c>
      <c r="AN75" s="154" t="s">
        <v>1209</v>
      </c>
      <c r="AO75" s="155">
        <v>0.25</v>
      </c>
      <c r="AP75" s="156" t="s">
        <v>145</v>
      </c>
      <c r="AQ75" s="157" t="s">
        <v>141</v>
      </c>
      <c r="AR75" s="158" t="s">
        <v>141</v>
      </c>
      <c r="AS75" s="159" t="s">
        <v>141</v>
      </c>
      <c r="AT75" s="160" t="s">
        <v>141</v>
      </c>
      <c r="AU75" s="161" t="s">
        <v>141</v>
      </c>
      <c r="AV75" s="162" t="s">
        <v>141</v>
      </c>
      <c r="AW75" s="163" t="s">
        <v>141</v>
      </c>
      <c r="AX75" s="164" t="s">
        <v>141</v>
      </c>
      <c r="AY75" s="165" t="s">
        <v>141</v>
      </c>
      <c r="AZ75" s="166" t="s">
        <v>141</v>
      </c>
      <c r="BA75" s="167" t="s">
        <v>146</v>
      </c>
      <c r="BB75" s="168" t="s">
        <v>133</v>
      </c>
      <c r="BC75" s="169" t="s">
        <v>402</v>
      </c>
      <c r="BD75" s="170" t="s">
        <v>141</v>
      </c>
      <c r="BE75" s="171" t="s">
        <v>141</v>
      </c>
      <c r="BF75" s="172" t="s">
        <v>141</v>
      </c>
      <c r="BG75" s="173" t="s">
        <v>141</v>
      </c>
      <c r="BH75" s="174" t="s">
        <v>141</v>
      </c>
      <c r="BI75" s="175" t="s">
        <v>141</v>
      </c>
      <c r="BJ75" s="176" t="s">
        <v>141</v>
      </c>
      <c r="BK75" s="177" t="s">
        <v>141</v>
      </c>
      <c r="BL75" s="178" t="s">
        <v>141</v>
      </c>
      <c r="BM75" s="179" t="s">
        <v>141</v>
      </c>
      <c r="BN75" s="180" t="s">
        <v>141</v>
      </c>
      <c r="BO75" s="181" t="s">
        <v>141</v>
      </c>
      <c r="BP75" s="182" t="s">
        <v>141</v>
      </c>
      <c r="BQ75" s="183" t="s">
        <v>141</v>
      </c>
      <c r="BR75" s="184" t="s">
        <v>141</v>
      </c>
      <c r="BS75" s="185" t="s">
        <v>141</v>
      </c>
      <c r="BT75" s="186" t="s">
        <v>141</v>
      </c>
      <c r="BU75" s="187" t="s">
        <v>141</v>
      </c>
      <c r="BV75" s="188" t="s">
        <v>141</v>
      </c>
      <c r="BW75" s="189" t="s">
        <v>141</v>
      </c>
      <c r="BX75" s="190" t="s">
        <v>141</v>
      </c>
      <c r="BY75" s="191" t="s">
        <v>141</v>
      </c>
      <c r="BZ75" s="192" t="s">
        <v>141</v>
      </c>
      <c r="CA75" s="193" t="s">
        <v>141</v>
      </c>
      <c r="CB75" s="194" t="s">
        <v>141</v>
      </c>
      <c r="CC75" s="195" t="s">
        <v>141</v>
      </c>
      <c r="CD75" s="196" t="s">
        <v>141</v>
      </c>
      <c r="CE75" s="197" t="s">
        <v>141</v>
      </c>
      <c r="CF75" s="198" t="s">
        <v>141</v>
      </c>
      <c r="CG75" s="199" t="s">
        <v>141</v>
      </c>
      <c r="CH75" s="200" t="s">
        <v>141</v>
      </c>
      <c r="CI75" s="201" t="s">
        <v>141</v>
      </c>
      <c r="CJ75" s="202" t="s">
        <v>141</v>
      </c>
      <c r="CK75" s="203" t="s">
        <v>141</v>
      </c>
      <c r="CL75" s="204" t="s">
        <v>141</v>
      </c>
      <c r="CM75" s="205" t="s">
        <v>141</v>
      </c>
      <c r="CN75" s="206" t="s">
        <v>141</v>
      </c>
      <c r="CO75" s="207" t="s">
        <v>141</v>
      </c>
      <c r="CP75" s="208" t="s">
        <v>141</v>
      </c>
      <c r="CQ75" s="209" t="s">
        <v>141</v>
      </c>
      <c r="CR75" s="210" t="s">
        <v>141</v>
      </c>
      <c r="CS75" s="211" t="s">
        <v>141</v>
      </c>
      <c r="CT75" s="212" t="s">
        <v>141</v>
      </c>
      <c r="CU75" s="213" t="s">
        <v>141</v>
      </c>
      <c r="CV75" s="214" t="s">
        <v>141</v>
      </c>
      <c r="CW75" s="215" t="s">
        <v>141</v>
      </c>
      <c r="CX75" s="216" t="s">
        <v>141</v>
      </c>
      <c r="CY75" s="217" t="s">
        <v>150</v>
      </c>
      <c r="CZ75" s="218" t="s">
        <v>1169</v>
      </c>
      <c r="DA75" s="219" t="s">
        <v>152</v>
      </c>
      <c r="DB75" s="220" t="s">
        <v>153</v>
      </c>
      <c r="DC75" s="221" t="s">
        <v>1170</v>
      </c>
      <c r="DD75" s="222" t="s">
        <v>182</v>
      </c>
      <c r="DE75" s="223" t="s">
        <v>1217</v>
      </c>
      <c r="DF75" s="224" t="s">
        <v>157</v>
      </c>
      <c r="DG75" s="225">
        <v>2015</v>
      </c>
      <c r="DH75" s="226" t="s">
        <v>1218</v>
      </c>
      <c r="DI75" s="228" t="str">
        <f>HYPERLINK("https://my.pitchbook.com?c=100930-15T", "View company online")</f>
        <v>View company online</v>
      </c>
    </row>
    <row r="76" spans="1:113" x14ac:dyDescent="0.2">
      <c r="A76" s="3" t="s">
        <v>1219</v>
      </c>
      <c r="B76" s="4" t="s">
        <v>1220</v>
      </c>
      <c r="C76" s="5" t="s">
        <v>1221</v>
      </c>
      <c r="D76" s="6" t="s">
        <v>1222</v>
      </c>
      <c r="E76" s="7" t="s">
        <v>1223</v>
      </c>
      <c r="F76" s="8" t="s">
        <v>126</v>
      </c>
      <c r="G76" s="9" t="s">
        <v>127</v>
      </c>
      <c r="H76" s="10" t="s">
        <v>128</v>
      </c>
      <c r="I76" s="11" t="s">
        <v>1224</v>
      </c>
      <c r="J76" s="12" t="s">
        <v>1225</v>
      </c>
      <c r="K76" s="13" t="s">
        <v>1226</v>
      </c>
      <c r="L76" s="14" t="s">
        <v>132</v>
      </c>
      <c r="M76" s="15" t="s">
        <v>133</v>
      </c>
      <c r="N76" s="16" t="s">
        <v>170</v>
      </c>
      <c r="O76" s="17" t="s">
        <v>1227</v>
      </c>
      <c r="P76" s="18" t="s">
        <v>1228</v>
      </c>
      <c r="Q76" s="19" t="s">
        <v>1229</v>
      </c>
      <c r="R76" s="20" t="s">
        <v>1230</v>
      </c>
      <c r="S76" s="21" t="s">
        <v>1231</v>
      </c>
      <c r="T76" s="22" t="s">
        <v>1232</v>
      </c>
      <c r="U76" s="23">
        <v>2</v>
      </c>
      <c r="V76" s="24" t="s">
        <v>1219</v>
      </c>
      <c r="W76" s="25">
        <v>41487</v>
      </c>
      <c r="X76" s="26">
        <v>41537</v>
      </c>
      <c r="Y76" s="27">
        <v>2.35</v>
      </c>
      <c r="Z76" s="28" t="s">
        <v>177</v>
      </c>
      <c r="AA76" s="29" t="s">
        <v>141</v>
      </c>
      <c r="AB76" s="30" t="s">
        <v>141</v>
      </c>
      <c r="AC76" s="31" t="s">
        <v>141</v>
      </c>
      <c r="AD76" s="32" t="s">
        <v>141</v>
      </c>
      <c r="AE76" s="33">
        <v>1.64</v>
      </c>
      <c r="AF76" s="34" t="s">
        <v>1080</v>
      </c>
      <c r="AG76" s="35" t="s">
        <v>141</v>
      </c>
      <c r="AH76" s="36" t="s">
        <v>141</v>
      </c>
      <c r="AI76" s="37" t="s">
        <v>141</v>
      </c>
      <c r="AJ76" s="38" t="s">
        <v>1081</v>
      </c>
      <c r="AK76" s="39" t="s">
        <v>1081</v>
      </c>
      <c r="AL76" s="40" t="s">
        <v>141</v>
      </c>
      <c r="AM76" s="41" t="s">
        <v>485</v>
      </c>
      <c r="AN76" s="42" t="s">
        <v>1233</v>
      </c>
      <c r="AO76" s="43">
        <v>1.57</v>
      </c>
      <c r="AP76" s="44" t="s">
        <v>145</v>
      </c>
      <c r="AQ76" s="45" t="s">
        <v>141</v>
      </c>
      <c r="AR76" s="46" t="s">
        <v>141</v>
      </c>
      <c r="AS76" s="47" t="s">
        <v>141</v>
      </c>
      <c r="AT76" s="48" t="s">
        <v>141</v>
      </c>
      <c r="AU76" s="49" t="s">
        <v>141</v>
      </c>
      <c r="AV76" s="50" t="s">
        <v>141</v>
      </c>
      <c r="AW76" s="51" t="s">
        <v>141</v>
      </c>
      <c r="AX76" s="52" t="s">
        <v>141</v>
      </c>
      <c r="AY76" s="53" t="s">
        <v>141</v>
      </c>
      <c r="AZ76" s="54" t="s">
        <v>141</v>
      </c>
      <c r="BA76" s="55" t="s">
        <v>146</v>
      </c>
      <c r="BB76" s="56" t="s">
        <v>263</v>
      </c>
      <c r="BC76" s="57" t="s">
        <v>402</v>
      </c>
      <c r="BD76" s="58" t="s">
        <v>141</v>
      </c>
      <c r="BE76" s="59">
        <v>1</v>
      </c>
      <c r="BF76" s="60" t="s">
        <v>1234</v>
      </c>
      <c r="BG76" s="61">
        <v>1</v>
      </c>
      <c r="BH76" s="62" t="s">
        <v>141</v>
      </c>
      <c r="BI76" s="63" t="s">
        <v>141</v>
      </c>
      <c r="BJ76" s="64" t="s">
        <v>141</v>
      </c>
      <c r="BK76" s="65" t="s">
        <v>1235</v>
      </c>
      <c r="BL76" s="66" t="s">
        <v>1236</v>
      </c>
      <c r="BM76" s="67" t="s">
        <v>1236</v>
      </c>
      <c r="BN76" s="68" t="s">
        <v>1237</v>
      </c>
      <c r="BO76" s="69" t="s">
        <v>141</v>
      </c>
      <c r="BP76" s="70" t="s">
        <v>141</v>
      </c>
      <c r="BQ76" s="71" t="s">
        <v>141</v>
      </c>
      <c r="BR76" s="72" t="s">
        <v>141</v>
      </c>
      <c r="BS76" s="73" t="s">
        <v>141</v>
      </c>
      <c r="BT76" s="74" t="s">
        <v>141</v>
      </c>
      <c r="BU76" s="75" t="s">
        <v>141</v>
      </c>
      <c r="BV76" s="76" t="s">
        <v>141</v>
      </c>
      <c r="BW76" s="77" t="s">
        <v>141</v>
      </c>
      <c r="BX76" s="78" t="s">
        <v>141</v>
      </c>
      <c r="BY76" s="79" t="s">
        <v>141</v>
      </c>
      <c r="BZ76" s="80" t="s">
        <v>141</v>
      </c>
      <c r="CA76" s="81" t="s">
        <v>141</v>
      </c>
      <c r="CB76" s="82" t="s">
        <v>141</v>
      </c>
      <c r="CC76" s="83" t="s">
        <v>141</v>
      </c>
      <c r="CD76" s="84">
        <v>0</v>
      </c>
      <c r="CE76" s="85">
        <v>2013</v>
      </c>
      <c r="CF76" s="86" t="s">
        <v>141</v>
      </c>
      <c r="CG76" s="87" t="s">
        <v>141</v>
      </c>
      <c r="CH76" s="88" t="s">
        <v>141</v>
      </c>
      <c r="CI76" s="89" t="s">
        <v>141</v>
      </c>
      <c r="CJ76" s="90" t="s">
        <v>141</v>
      </c>
      <c r="CK76" s="91" t="s">
        <v>141</v>
      </c>
      <c r="CL76" s="92" t="s">
        <v>141</v>
      </c>
      <c r="CM76" s="93" t="s">
        <v>141</v>
      </c>
      <c r="CN76" s="94" t="s">
        <v>141</v>
      </c>
      <c r="CO76" s="95" t="s">
        <v>141</v>
      </c>
      <c r="CP76" s="96" t="s">
        <v>141</v>
      </c>
      <c r="CQ76" s="97" t="s">
        <v>141</v>
      </c>
      <c r="CR76" s="98" t="s">
        <v>141</v>
      </c>
      <c r="CS76" s="99" t="s">
        <v>141</v>
      </c>
      <c r="CT76" s="100" t="s">
        <v>141</v>
      </c>
      <c r="CU76" s="101" t="s">
        <v>141</v>
      </c>
      <c r="CV76" s="102" t="s">
        <v>141</v>
      </c>
      <c r="CW76" s="103" t="s">
        <v>141</v>
      </c>
      <c r="CX76" s="104">
        <v>100</v>
      </c>
      <c r="CY76" s="105" t="s">
        <v>640</v>
      </c>
      <c r="CZ76" s="106" t="s">
        <v>1136</v>
      </c>
      <c r="DA76" s="107" t="s">
        <v>642</v>
      </c>
      <c r="DB76" s="108" t="s">
        <v>643</v>
      </c>
      <c r="DC76" s="109" t="s">
        <v>1137</v>
      </c>
      <c r="DD76" s="110" t="s">
        <v>644</v>
      </c>
      <c r="DE76" s="111" t="s">
        <v>1238</v>
      </c>
      <c r="DF76" s="112" t="s">
        <v>641</v>
      </c>
      <c r="DG76" s="113">
        <v>2011</v>
      </c>
      <c r="DH76" s="114" t="s">
        <v>1239</v>
      </c>
      <c r="DI76" s="227" t="str">
        <f>HYPERLINK("https://my.pitchbook.com?c=30173-50T", "View company online")</f>
        <v>View company online</v>
      </c>
    </row>
    <row r="77" spans="1:113" x14ac:dyDescent="0.2">
      <c r="A77" s="115" t="s">
        <v>1240</v>
      </c>
      <c r="B77" s="116" t="s">
        <v>1220</v>
      </c>
      <c r="C77" s="117" t="s">
        <v>1221</v>
      </c>
      <c r="D77" s="118" t="s">
        <v>1222</v>
      </c>
      <c r="E77" s="119" t="s">
        <v>1223</v>
      </c>
      <c r="F77" s="120" t="s">
        <v>126</v>
      </c>
      <c r="G77" s="121" t="s">
        <v>127</v>
      </c>
      <c r="H77" s="122" t="s">
        <v>128</v>
      </c>
      <c r="I77" s="123" t="s">
        <v>1224</v>
      </c>
      <c r="J77" s="124" t="s">
        <v>1225</v>
      </c>
      <c r="K77" s="125" t="s">
        <v>1226</v>
      </c>
      <c r="L77" s="126" t="s">
        <v>132</v>
      </c>
      <c r="M77" s="127" t="s">
        <v>133</v>
      </c>
      <c r="N77" s="128" t="s">
        <v>170</v>
      </c>
      <c r="O77" s="129" t="s">
        <v>1227</v>
      </c>
      <c r="P77" s="130" t="s">
        <v>1228</v>
      </c>
      <c r="Q77" s="131" t="s">
        <v>1229</v>
      </c>
      <c r="R77" s="132" t="s">
        <v>1230</v>
      </c>
      <c r="S77" s="133" t="s">
        <v>1231</v>
      </c>
      <c r="T77" s="134" t="s">
        <v>1232</v>
      </c>
      <c r="U77" s="135">
        <v>4</v>
      </c>
      <c r="V77" s="136" t="s">
        <v>1240</v>
      </c>
      <c r="W77" s="137" t="s">
        <v>141</v>
      </c>
      <c r="X77" s="138">
        <v>41766</v>
      </c>
      <c r="Y77" s="139">
        <v>0.3</v>
      </c>
      <c r="Z77" s="140" t="s">
        <v>177</v>
      </c>
      <c r="AA77" s="141" t="s">
        <v>141</v>
      </c>
      <c r="AB77" s="142" t="s">
        <v>141</v>
      </c>
      <c r="AC77" s="143" t="s">
        <v>141</v>
      </c>
      <c r="AD77" s="144" t="s">
        <v>141</v>
      </c>
      <c r="AE77" s="145">
        <v>3.91</v>
      </c>
      <c r="AF77" s="146" t="s">
        <v>1080</v>
      </c>
      <c r="AG77" s="147" t="s">
        <v>141</v>
      </c>
      <c r="AH77" s="148" t="s">
        <v>141</v>
      </c>
      <c r="AI77" s="149" t="s">
        <v>141</v>
      </c>
      <c r="AJ77" s="150" t="s">
        <v>1081</v>
      </c>
      <c r="AK77" s="151" t="s">
        <v>1081</v>
      </c>
      <c r="AL77" s="152" t="s">
        <v>141</v>
      </c>
      <c r="AM77" s="153" t="s">
        <v>485</v>
      </c>
      <c r="AN77" s="154" t="s">
        <v>1241</v>
      </c>
      <c r="AO77" s="155">
        <v>0.3</v>
      </c>
      <c r="AP77" s="156" t="s">
        <v>145</v>
      </c>
      <c r="AQ77" s="157" t="s">
        <v>141</v>
      </c>
      <c r="AR77" s="158" t="s">
        <v>141</v>
      </c>
      <c r="AS77" s="159" t="s">
        <v>141</v>
      </c>
      <c r="AT77" s="160" t="s">
        <v>141</v>
      </c>
      <c r="AU77" s="161" t="s">
        <v>141</v>
      </c>
      <c r="AV77" s="162" t="s">
        <v>141</v>
      </c>
      <c r="AW77" s="163" t="s">
        <v>141</v>
      </c>
      <c r="AX77" s="164" t="s">
        <v>141</v>
      </c>
      <c r="AY77" s="165" t="s">
        <v>141</v>
      </c>
      <c r="AZ77" s="166" t="s">
        <v>141</v>
      </c>
      <c r="BA77" s="167" t="s">
        <v>146</v>
      </c>
      <c r="BB77" s="168" t="s">
        <v>133</v>
      </c>
      <c r="BC77" s="169" t="s">
        <v>132</v>
      </c>
      <c r="BD77" s="170">
        <v>13</v>
      </c>
      <c r="BE77" s="171" t="s">
        <v>141</v>
      </c>
      <c r="BF77" s="172" t="s">
        <v>141</v>
      </c>
      <c r="BG77" s="173" t="s">
        <v>141</v>
      </c>
      <c r="BH77" s="174" t="s">
        <v>141</v>
      </c>
      <c r="BI77" s="175" t="s">
        <v>141</v>
      </c>
      <c r="BJ77" s="176" t="s">
        <v>141</v>
      </c>
      <c r="BK77" s="177" t="s">
        <v>141</v>
      </c>
      <c r="BL77" s="178" t="s">
        <v>141</v>
      </c>
      <c r="BM77" s="179" t="s">
        <v>141</v>
      </c>
      <c r="BN77" s="180" t="s">
        <v>141</v>
      </c>
      <c r="BO77" s="181" t="s">
        <v>141</v>
      </c>
      <c r="BP77" s="182" t="s">
        <v>141</v>
      </c>
      <c r="BQ77" s="183" t="s">
        <v>141</v>
      </c>
      <c r="BR77" s="184" t="s">
        <v>141</v>
      </c>
      <c r="BS77" s="185" t="s">
        <v>141</v>
      </c>
      <c r="BT77" s="186" t="s">
        <v>141</v>
      </c>
      <c r="BU77" s="187" t="s">
        <v>141</v>
      </c>
      <c r="BV77" s="188" t="s">
        <v>141</v>
      </c>
      <c r="BW77" s="189" t="s">
        <v>141</v>
      </c>
      <c r="BX77" s="190" t="s">
        <v>141</v>
      </c>
      <c r="BY77" s="191" t="s">
        <v>141</v>
      </c>
      <c r="BZ77" s="192" t="s">
        <v>141</v>
      </c>
      <c r="CA77" s="193" t="s">
        <v>141</v>
      </c>
      <c r="CB77" s="194" t="s">
        <v>141</v>
      </c>
      <c r="CC77" s="195" t="s">
        <v>141</v>
      </c>
      <c r="CD77" s="196">
        <v>0</v>
      </c>
      <c r="CE77" s="197">
        <v>2014</v>
      </c>
      <c r="CF77" s="198" t="s">
        <v>141</v>
      </c>
      <c r="CG77" s="199" t="s">
        <v>141</v>
      </c>
      <c r="CH77" s="200" t="s">
        <v>141</v>
      </c>
      <c r="CI77" s="201" t="s">
        <v>141</v>
      </c>
      <c r="CJ77" s="202" t="s">
        <v>141</v>
      </c>
      <c r="CK77" s="203" t="s">
        <v>141</v>
      </c>
      <c r="CL77" s="204" t="s">
        <v>141</v>
      </c>
      <c r="CM77" s="205" t="s">
        <v>141</v>
      </c>
      <c r="CN77" s="206" t="s">
        <v>141</v>
      </c>
      <c r="CO77" s="207" t="s">
        <v>141</v>
      </c>
      <c r="CP77" s="208" t="s">
        <v>141</v>
      </c>
      <c r="CQ77" s="209" t="s">
        <v>141</v>
      </c>
      <c r="CR77" s="210" t="s">
        <v>141</v>
      </c>
      <c r="CS77" s="211" t="s">
        <v>141</v>
      </c>
      <c r="CT77" s="212" t="s">
        <v>141</v>
      </c>
      <c r="CU77" s="213" t="s">
        <v>141</v>
      </c>
      <c r="CV77" s="214" t="s">
        <v>141</v>
      </c>
      <c r="CW77" s="215" t="s">
        <v>141</v>
      </c>
      <c r="CX77" s="216">
        <v>100</v>
      </c>
      <c r="CY77" s="217" t="s">
        <v>150</v>
      </c>
      <c r="CZ77" s="218" t="s">
        <v>1136</v>
      </c>
      <c r="DA77" s="219" t="s">
        <v>642</v>
      </c>
      <c r="DB77" s="220" t="s">
        <v>643</v>
      </c>
      <c r="DC77" s="221" t="s">
        <v>1137</v>
      </c>
      <c r="DD77" s="222" t="s">
        <v>644</v>
      </c>
      <c r="DE77" s="223" t="s">
        <v>1238</v>
      </c>
      <c r="DF77" s="224" t="s">
        <v>641</v>
      </c>
      <c r="DG77" s="225">
        <v>2011</v>
      </c>
      <c r="DH77" s="226" t="s">
        <v>1239</v>
      </c>
      <c r="DI77" s="228" t="str">
        <f>HYPERLINK("https://my.pitchbook.com?c=33709-42T", "View company online")</f>
        <v>View company online</v>
      </c>
    </row>
    <row r="78" spans="1:113" x14ac:dyDescent="0.2">
      <c r="A78" s="3" t="s">
        <v>1242</v>
      </c>
      <c r="B78" s="4" t="s">
        <v>1243</v>
      </c>
      <c r="C78" s="5" t="s">
        <v>1244</v>
      </c>
      <c r="D78" s="6" t="s">
        <v>1245</v>
      </c>
      <c r="E78" s="7" t="s">
        <v>1246</v>
      </c>
      <c r="F78" s="8" t="s">
        <v>126</v>
      </c>
      <c r="G78" s="9" t="s">
        <v>127</v>
      </c>
      <c r="H78" s="10" t="s">
        <v>128</v>
      </c>
      <c r="I78" s="11" t="s">
        <v>318</v>
      </c>
      <c r="J78" s="12" t="s">
        <v>838</v>
      </c>
      <c r="K78" s="13" t="s">
        <v>1247</v>
      </c>
      <c r="L78" s="14" t="s">
        <v>345</v>
      </c>
      <c r="M78" s="15" t="s">
        <v>133</v>
      </c>
      <c r="N78" s="16" t="s">
        <v>134</v>
      </c>
      <c r="O78" s="17" t="s">
        <v>1248</v>
      </c>
      <c r="P78" s="18" t="s">
        <v>1249</v>
      </c>
      <c r="Q78" s="19" t="s">
        <v>141</v>
      </c>
      <c r="R78" s="20" t="s">
        <v>1250</v>
      </c>
      <c r="S78" s="21" t="s">
        <v>1251</v>
      </c>
      <c r="T78" s="22" t="s">
        <v>1252</v>
      </c>
      <c r="U78" s="23">
        <v>1</v>
      </c>
      <c r="V78" s="24" t="s">
        <v>1242</v>
      </c>
      <c r="W78" s="25" t="s">
        <v>141</v>
      </c>
      <c r="X78" s="26">
        <v>39083</v>
      </c>
      <c r="Y78" s="27">
        <v>0.5</v>
      </c>
      <c r="Z78" s="28" t="s">
        <v>177</v>
      </c>
      <c r="AA78" s="29">
        <v>1.25</v>
      </c>
      <c r="AB78" s="30">
        <v>1.75</v>
      </c>
      <c r="AC78" s="31" t="s">
        <v>141</v>
      </c>
      <c r="AD78" s="32" t="s">
        <v>141</v>
      </c>
      <c r="AE78" s="33">
        <v>0.5</v>
      </c>
      <c r="AF78" s="34" t="s">
        <v>1080</v>
      </c>
      <c r="AG78" s="35" t="s">
        <v>141</v>
      </c>
      <c r="AH78" s="36" t="s">
        <v>141</v>
      </c>
      <c r="AI78" s="37" t="s">
        <v>141</v>
      </c>
      <c r="AJ78" s="38" t="s">
        <v>1081</v>
      </c>
      <c r="AK78" s="39" t="s">
        <v>1081</v>
      </c>
      <c r="AL78" s="40" t="s">
        <v>141</v>
      </c>
      <c r="AM78" s="41" t="s">
        <v>485</v>
      </c>
      <c r="AN78" s="42" t="s">
        <v>1253</v>
      </c>
      <c r="AO78" s="43">
        <v>0.5</v>
      </c>
      <c r="AP78" s="44" t="s">
        <v>145</v>
      </c>
      <c r="AQ78" s="45" t="s">
        <v>141</v>
      </c>
      <c r="AR78" s="46" t="s">
        <v>141</v>
      </c>
      <c r="AS78" s="47" t="s">
        <v>141</v>
      </c>
      <c r="AT78" s="48" t="s">
        <v>141</v>
      </c>
      <c r="AU78" s="49" t="s">
        <v>141</v>
      </c>
      <c r="AV78" s="50" t="s">
        <v>141</v>
      </c>
      <c r="AW78" s="51" t="s">
        <v>141</v>
      </c>
      <c r="AX78" s="52" t="s">
        <v>141</v>
      </c>
      <c r="AY78" s="53" t="s">
        <v>141</v>
      </c>
      <c r="AZ78" s="54" t="s">
        <v>141</v>
      </c>
      <c r="BA78" s="55" t="s">
        <v>146</v>
      </c>
      <c r="BB78" s="56" t="s">
        <v>263</v>
      </c>
      <c r="BC78" s="57" t="s">
        <v>402</v>
      </c>
      <c r="BD78" s="58" t="s">
        <v>141</v>
      </c>
      <c r="BE78" s="59" t="s">
        <v>141</v>
      </c>
      <c r="BF78" s="60" t="s">
        <v>141</v>
      </c>
      <c r="BG78" s="61" t="s">
        <v>141</v>
      </c>
      <c r="BH78" s="62" t="s">
        <v>141</v>
      </c>
      <c r="BI78" s="63" t="s">
        <v>141</v>
      </c>
      <c r="BJ78" s="64" t="s">
        <v>141</v>
      </c>
      <c r="BK78" s="65" t="s">
        <v>141</v>
      </c>
      <c r="BL78" s="66" t="s">
        <v>141</v>
      </c>
      <c r="BM78" s="67" t="s">
        <v>141</v>
      </c>
      <c r="BN78" s="68" t="s">
        <v>141</v>
      </c>
      <c r="BO78" s="69" t="s">
        <v>141</v>
      </c>
      <c r="BP78" s="70" t="s">
        <v>141</v>
      </c>
      <c r="BQ78" s="71" t="s">
        <v>141</v>
      </c>
      <c r="BR78" s="72" t="s">
        <v>141</v>
      </c>
      <c r="BS78" s="73" t="s">
        <v>141</v>
      </c>
      <c r="BT78" s="74" t="s">
        <v>141</v>
      </c>
      <c r="BU78" s="75" t="s">
        <v>141</v>
      </c>
      <c r="BV78" s="76" t="s">
        <v>141</v>
      </c>
      <c r="BW78" s="77" t="s">
        <v>141</v>
      </c>
      <c r="BX78" s="78" t="s">
        <v>141</v>
      </c>
      <c r="BY78" s="79" t="s">
        <v>141</v>
      </c>
      <c r="BZ78" s="80" t="s">
        <v>141</v>
      </c>
      <c r="CA78" s="81" t="s">
        <v>141</v>
      </c>
      <c r="CB78" s="82" t="s">
        <v>141</v>
      </c>
      <c r="CC78" s="83" t="s">
        <v>141</v>
      </c>
      <c r="CD78" s="84" t="s">
        <v>141</v>
      </c>
      <c r="CE78" s="85" t="s">
        <v>141</v>
      </c>
      <c r="CF78" s="86" t="s">
        <v>141</v>
      </c>
      <c r="CG78" s="87" t="s">
        <v>141</v>
      </c>
      <c r="CH78" s="88" t="s">
        <v>141</v>
      </c>
      <c r="CI78" s="89" t="s">
        <v>141</v>
      </c>
      <c r="CJ78" s="90" t="s">
        <v>141</v>
      </c>
      <c r="CK78" s="91" t="s">
        <v>141</v>
      </c>
      <c r="CL78" s="92" t="s">
        <v>141</v>
      </c>
      <c r="CM78" s="93" t="s">
        <v>141</v>
      </c>
      <c r="CN78" s="94" t="s">
        <v>141</v>
      </c>
      <c r="CO78" s="95" t="s">
        <v>141</v>
      </c>
      <c r="CP78" s="96" t="s">
        <v>141</v>
      </c>
      <c r="CQ78" s="97" t="s">
        <v>141</v>
      </c>
      <c r="CR78" s="98" t="s">
        <v>141</v>
      </c>
      <c r="CS78" s="99" t="s">
        <v>141</v>
      </c>
      <c r="CT78" s="100" t="s">
        <v>141</v>
      </c>
      <c r="CU78" s="101" t="s">
        <v>141</v>
      </c>
      <c r="CV78" s="102" t="s">
        <v>141</v>
      </c>
      <c r="CW78" s="103" t="s">
        <v>141</v>
      </c>
      <c r="CX78" s="104">
        <v>130</v>
      </c>
      <c r="CY78" s="105" t="s">
        <v>150</v>
      </c>
      <c r="CZ78" s="106" t="s">
        <v>1254</v>
      </c>
      <c r="DA78" s="107" t="s">
        <v>152</v>
      </c>
      <c r="DB78" s="108" t="s">
        <v>153</v>
      </c>
      <c r="DC78" s="109" t="s">
        <v>1255</v>
      </c>
      <c r="DD78" s="110" t="s">
        <v>1256</v>
      </c>
      <c r="DE78" s="111" t="s">
        <v>1257</v>
      </c>
      <c r="DF78" s="112" t="s">
        <v>1258</v>
      </c>
      <c r="DG78" s="113">
        <v>2006</v>
      </c>
      <c r="DH78" s="114" t="s">
        <v>1259</v>
      </c>
      <c r="DI78" s="227" t="str">
        <f>HYPERLINK("https://my.pitchbook.com?c=53815-51T", "View company online")</f>
        <v>View company online</v>
      </c>
    </row>
    <row r="79" spans="1:113" x14ac:dyDescent="0.2">
      <c r="A79" s="115" t="s">
        <v>1260</v>
      </c>
      <c r="B79" s="116" t="s">
        <v>1243</v>
      </c>
      <c r="C79" s="117" t="s">
        <v>1244</v>
      </c>
      <c r="D79" s="118" t="s">
        <v>1245</v>
      </c>
      <c r="E79" s="119" t="s">
        <v>1246</v>
      </c>
      <c r="F79" s="120" t="s">
        <v>126</v>
      </c>
      <c r="G79" s="121" t="s">
        <v>127</v>
      </c>
      <c r="H79" s="122" t="s">
        <v>128</v>
      </c>
      <c r="I79" s="123" t="s">
        <v>318</v>
      </c>
      <c r="J79" s="124" t="s">
        <v>838</v>
      </c>
      <c r="K79" s="125" t="s">
        <v>1247</v>
      </c>
      <c r="L79" s="126" t="s">
        <v>345</v>
      </c>
      <c r="M79" s="127" t="s">
        <v>133</v>
      </c>
      <c r="N79" s="128" t="s">
        <v>134</v>
      </c>
      <c r="O79" s="129" t="s">
        <v>1248</v>
      </c>
      <c r="P79" s="130" t="s">
        <v>1249</v>
      </c>
      <c r="Q79" s="131" t="s">
        <v>141</v>
      </c>
      <c r="R79" s="132" t="s">
        <v>1250</v>
      </c>
      <c r="S79" s="133" t="s">
        <v>1251</v>
      </c>
      <c r="T79" s="134" t="s">
        <v>1252</v>
      </c>
      <c r="U79" s="135">
        <v>2</v>
      </c>
      <c r="V79" s="136" t="s">
        <v>1260</v>
      </c>
      <c r="W79" s="137" t="s">
        <v>141</v>
      </c>
      <c r="X79" s="138">
        <v>40058</v>
      </c>
      <c r="Y79" s="139">
        <v>0.4</v>
      </c>
      <c r="Z79" s="140" t="s">
        <v>177</v>
      </c>
      <c r="AA79" s="141" t="s">
        <v>141</v>
      </c>
      <c r="AB79" s="142" t="s">
        <v>141</v>
      </c>
      <c r="AC79" s="143" t="s">
        <v>141</v>
      </c>
      <c r="AD79" s="144" t="s">
        <v>141</v>
      </c>
      <c r="AE79" s="145">
        <v>0.9</v>
      </c>
      <c r="AF79" s="146" t="s">
        <v>1080</v>
      </c>
      <c r="AG79" s="147" t="s">
        <v>141</v>
      </c>
      <c r="AH79" s="148" t="s">
        <v>141</v>
      </c>
      <c r="AI79" s="149" t="s">
        <v>141</v>
      </c>
      <c r="AJ79" s="150" t="s">
        <v>1081</v>
      </c>
      <c r="AK79" s="151" t="s">
        <v>1081</v>
      </c>
      <c r="AL79" s="152" t="s">
        <v>141</v>
      </c>
      <c r="AM79" s="153" t="s">
        <v>485</v>
      </c>
      <c r="AN79" s="154" t="s">
        <v>1261</v>
      </c>
      <c r="AO79" s="155">
        <v>0.4</v>
      </c>
      <c r="AP79" s="156" t="s">
        <v>145</v>
      </c>
      <c r="AQ79" s="157" t="s">
        <v>141</v>
      </c>
      <c r="AR79" s="158" t="s">
        <v>141</v>
      </c>
      <c r="AS79" s="159" t="s">
        <v>141</v>
      </c>
      <c r="AT79" s="160" t="s">
        <v>141</v>
      </c>
      <c r="AU79" s="161" t="s">
        <v>141</v>
      </c>
      <c r="AV79" s="162" t="s">
        <v>141</v>
      </c>
      <c r="AW79" s="163" t="s">
        <v>141</v>
      </c>
      <c r="AX79" s="164" t="s">
        <v>141</v>
      </c>
      <c r="AY79" s="165" t="s">
        <v>141</v>
      </c>
      <c r="AZ79" s="166" t="s">
        <v>141</v>
      </c>
      <c r="BA79" s="167" t="s">
        <v>146</v>
      </c>
      <c r="BB79" s="168" t="s">
        <v>263</v>
      </c>
      <c r="BC79" s="169" t="s">
        <v>402</v>
      </c>
      <c r="BD79" s="170" t="s">
        <v>141</v>
      </c>
      <c r="BE79" s="171">
        <v>1</v>
      </c>
      <c r="BF79" s="172" t="s">
        <v>1262</v>
      </c>
      <c r="BG79" s="173">
        <v>1</v>
      </c>
      <c r="BH79" s="174" t="s">
        <v>141</v>
      </c>
      <c r="BI79" s="175" t="s">
        <v>141</v>
      </c>
      <c r="BJ79" s="176" t="s">
        <v>141</v>
      </c>
      <c r="BK79" s="177" t="s">
        <v>1263</v>
      </c>
      <c r="BL79" s="178" t="s">
        <v>1262</v>
      </c>
      <c r="BM79" s="179" t="s">
        <v>1262</v>
      </c>
      <c r="BN79" s="180" t="s">
        <v>141</v>
      </c>
      <c r="BO79" s="181" t="s">
        <v>141</v>
      </c>
      <c r="BP79" s="182" t="s">
        <v>141</v>
      </c>
      <c r="BQ79" s="183" t="s">
        <v>141</v>
      </c>
      <c r="BR79" s="184" t="s">
        <v>141</v>
      </c>
      <c r="BS79" s="185" t="s">
        <v>141</v>
      </c>
      <c r="BT79" s="186" t="s">
        <v>141</v>
      </c>
      <c r="BU79" s="187" t="s">
        <v>141</v>
      </c>
      <c r="BV79" s="188" t="s">
        <v>141</v>
      </c>
      <c r="BW79" s="189" t="s">
        <v>141</v>
      </c>
      <c r="BX79" s="190" t="s">
        <v>141</v>
      </c>
      <c r="BY79" s="191" t="s">
        <v>141</v>
      </c>
      <c r="BZ79" s="192" t="s">
        <v>141</v>
      </c>
      <c r="CA79" s="193" t="s">
        <v>141</v>
      </c>
      <c r="CB79" s="194" t="s">
        <v>141</v>
      </c>
      <c r="CC79" s="195" t="s">
        <v>141</v>
      </c>
      <c r="CD79" s="196" t="s">
        <v>141</v>
      </c>
      <c r="CE79" s="197" t="s">
        <v>141</v>
      </c>
      <c r="CF79" s="198" t="s">
        <v>141</v>
      </c>
      <c r="CG79" s="199" t="s">
        <v>141</v>
      </c>
      <c r="CH79" s="200" t="s">
        <v>141</v>
      </c>
      <c r="CI79" s="201" t="s">
        <v>141</v>
      </c>
      <c r="CJ79" s="202" t="s">
        <v>141</v>
      </c>
      <c r="CK79" s="203" t="s">
        <v>141</v>
      </c>
      <c r="CL79" s="204" t="s">
        <v>141</v>
      </c>
      <c r="CM79" s="205" t="s">
        <v>141</v>
      </c>
      <c r="CN79" s="206" t="s">
        <v>141</v>
      </c>
      <c r="CO79" s="207" t="s">
        <v>141</v>
      </c>
      <c r="CP79" s="208" t="s">
        <v>141</v>
      </c>
      <c r="CQ79" s="209" t="s">
        <v>141</v>
      </c>
      <c r="CR79" s="210" t="s">
        <v>141</v>
      </c>
      <c r="CS79" s="211" t="s">
        <v>141</v>
      </c>
      <c r="CT79" s="212" t="s">
        <v>141</v>
      </c>
      <c r="CU79" s="213" t="s">
        <v>141</v>
      </c>
      <c r="CV79" s="214" t="s">
        <v>141</v>
      </c>
      <c r="CW79" s="215" t="s">
        <v>141</v>
      </c>
      <c r="CX79" s="216">
        <v>130</v>
      </c>
      <c r="CY79" s="217" t="s">
        <v>150</v>
      </c>
      <c r="CZ79" s="218" t="s">
        <v>1254</v>
      </c>
      <c r="DA79" s="219" t="s">
        <v>152</v>
      </c>
      <c r="DB79" s="220" t="s">
        <v>153</v>
      </c>
      <c r="DC79" s="221" t="s">
        <v>1255</v>
      </c>
      <c r="DD79" s="222" t="s">
        <v>1256</v>
      </c>
      <c r="DE79" s="223" t="s">
        <v>1257</v>
      </c>
      <c r="DF79" s="224" t="s">
        <v>1258</v>
      </c>
      <c r="DG79" s="225">
        <v>2006</v>
      </c>
      <c r="DH79" s="226" t="s">
        <v>1259</v>
      </c>
      <c r="DI79" s="228" t="str">
        <f>HYPERLINK("https://my.pitchbook.com?c=53816-41T", "View company online")</f>
        <v>View company online</v>
      </c>
    </row>
    <row r="80" spans="1:113" x14ac:dyDescent="0.2">
      <c r="A80" s="3" t="s">
        <v>1264</v>
      </c>
      <c r="B80" s="4" t="s">
        <v>1243</v>
      </c>
      <c r="C80" s="5" t="s">
        <v>1244</v>
      </c>
      <c r="D80" s="6" t="s">
        <v>1245</v>
      </c>
      <c r="E80" s="7" t="s">
        <v>1246</v>
      </c>
      <c r="F80" s="8" t="s">
        <v>126</v>
      </c>
      <c r="G80" s="9" t="s">
        <v>127</v>
      </c>
      <c r="H80" s="10" t="s">
        <v>128</v>
      </c>
      <c r="I80" s="11" t="s">
        <v>318</v>
      </c>
      <c r="J80" s="12" t="s">
        <v>838</v>
      </c>
      <c r="K80" s="13" t="s">
        <v>1247</v>
      </c>
      <c r="L80" s="14" t="s">
        <v>345</v>
      </c>
      <c r="M80" s="15" t="s">
        <v>133</v>
      </c>
      <c r="N80" s="16" t="s">
        <v>134</v>
      </c>
      <c r="O80" s="17" t="s">
        <v>1248</v>
      </c>
      <c r="P80" s="18" t="s">
        <v>1249</v>
      </c>
      <c r="Q80" s="19" t="s">
        <v>141</v>
      </c>
      <c r="R80" s="20" t="s">
        <v>1250</v>
      </c>
      <c r="S80" s="21" t="s">
        <v>1251</v>
      </c>
      <c r="T80" s="22" t="s">
        <v>1252</v>
      </c>
      <c r="U80" s="23">
        <v>4</v>
      </c>
      <c r="V80" s="24" t="s">
        <v>1264</v>
      </c>
      <c r="W80" s="25" t="s">
        <v>141</v>
      </c>
      <c r="X80" s="26">
        <v>41435</v>
      </c>
      <c r="Y80" s="27" t="s">
        <v>141</v>
      </c>
      <c r="Z80" s="28" t="s">
        <v>141</v>
      </c>
      <c r="AA80" s="29" t="s">
        <v>141</v>
      </c>
      <c r="AB80" s="30" t="s">
        <v>141</v>
      </c>
      <c r="AC80" s="31" t="s">
        <v>141</v>
      </c>
      <c r="AD80" s="32" t="s">
        <v>141</v>
      </c>
      <c r="AE80" s="33">
        <v>0.9</v>
      </c>
      <c r="AF80" s="34" t="s">
        <v>1080</v>
      </c>
      <c r="AG80" s="35" t="s">
        <v>141</v>
      </c>
      <c r="AH80" s="36" t="s">
        <v>141</v>
      </c>
      <c r="AI80" s="37" t="s">
        <v>141</v>
      </c>
      <c r="AJ80" s="38" t="s">
        <v>1081</v>
      </c>
      <c r="AK80" s="39" t="s">
        <v>1081</v>
      </c>
      <c r="AL80" s="40" t="s">
        <v>141</v>
      </c>
      <c r="AM80" s="41" t="s">
        <v>485</v>
      </c>
      <c r="AN80" s="42" t="s">
        <v>1265</v>
      </c>
      <c r="AO80" s="43" t="s">
        <v>141</v>
      </c>
      <c r="AP80" s="44" t="s">
        <v>145</v>
      </c>
      <c r="AQ80" s="45" t="s">
        <v>141</v>
      </c>
      <c r="AR80" s="46" t="s">
        <v>141</v>
      </c>
      <c r="AS80" s="47" t="s">
        <v>141</v>
      </c>
      <c r="AT80" s="48" t="s">
        <v>141</v>
      </c>
      <c r="AU80" s="49" t="s">
        <v>141</v>
      </c>
      <c r="AV80" s="50" t="s">
        <v>141</v>
      </c>
      <c r="AW80" s="51" t="s">
        <v>141</v>
      </c>
      <c r="AX80" s="52" t="s">
        <v>141</v>
      </c>
      <c r="AY80" s="53" t="s">
        <v>141</v>
      </c>
      <c r="AZ80" s="54" t="s">
        <v>141</v>
      </c>
      <c r="BA80" s="55" t="s">
        <v>146</v>
      </c>
      <c r="BB80" s="56" t="s">
        <v>133</v>
      </c>
      <c r="BC80" s="57" t="s">
        <v>402</v>
      </c>
      <c r="BD80" s="58" t="s">
        <v>141</v>
      </c>
      <c r="BE80" s="59">
        <v>1</v>
      </c>
      <c r="BF80" s="60" t="s">
        <v>141</v>
      </c>
      <c r="BG80" s="61" t="s">
        <v>141</v>
      </c>
      <c r="BH80" s="62" t="s">
        <v>1262</v>
      </c>
      <c r="BI80" s="63">
        <v>1</v>
      </c>
      <c r="BJ80" s="64" t="s">
        <v>141</v>
      </c>
      <c r="BK80" s="65" t="s">
        <v>1263</v>
      </c>
      <c r="BL80" s="66" t="s">
        <v>1262</v>
      </c>
      <c r="BM80" s="67" t="s">
        <v>1262</v>
      </c>
      <c r="BN80" s="68" t="s">
        <v>141</v>
      </c>
      <c r="BO80" s="69" t="s">
        <v>141</v>
      </c>
      <c r="BP80" s="70" t="s">
        <v>141</v>
      </c>
      <c r="BQ80" s="71" t="s">
        <v>141</v>
      </c>
      <c r="BR80" s="72" t="s">
        <v>141</v>
      </c>
      <c r="BS80" s="73" t="s">
        <v>141</v>
      </c>
      <c r="BT80" s="74" t="s">
        <v>141</v>
      </c>
      <c r="BU80" s="75" t="s">
        <v>141</v>
      </c>
      <c r="BV80" s="76" t="s">
        <v>141</v>
      </c>
      <c r="BW80" s="77" t="s">
        <v>141</v>
      </c>
      <c r="BX80" s="78" t="s">
        <v>141</v>
      </c>
      <c r="BY80" s="79" t="s">
        <v>141</v>
      </c>
      <c r="BZ80" s="80" t="s">
        <v>141</v>
      </c>
      <c r="CA80" s="81" t="s">
        <v>141</v>
      </c>
      <c r="CB80" s="82" t="s">
        <v>141</v>
      </c>
      <c r="CC80" s="83" t="s">
        <v>141</v>
      </c>
      <c r="CD80" s="84" t="s">
        <v>141</v>
      </c>
      <c r="CE80" s="85" t="s">
        <v>141</v>
      </c>
      <c r="CF80" s="86" t="s">
        <v>141</v>
      </c>
      <c r="CG80" s="87" t="s">
        <v>141</v>
      </c>
      <c r="CH80" s="88" t="s">
        <v>141</v>
      </c>
      <c r="CI80" s="89" t="s">
        <v>141</v>
      </c>
      <c r="CJ80" s="90" t="s">
        <v>141</v>
      </c>
      <c r="CK80" s="91" t="s">
        <v>141</v>
      </c>
      <c r="CL80" s="92" t="s">
        <v>141</v>
      </c>
      <c r="CM80" s="93" t="s">
        <v>141</v>
      </c>
      <c r="CN80" s="94" t="s">
        <v>141</v>
      </c>
      <c r="CO80" s="95" t="s">
        <v>141</v>
      </c>
      <c r="CP80" s="96" t="s">
        <v>141</v>
      </c>
      <c r="CQ80" s="97" t="s">
        <v>141</v>
      </c>
      <c r="CR80" s="98" t="s">
        <v>141</v>
      </c>
      <c r="CS80" s="99" t="s">
        <v>141</v>
      </c>
      <c r="CT80" s="100" t="s">
        <v>141</v>
      </c>
      <c r="CU80" s="101" t="s">
        <v>141</v>
      </c>
      <c r="CV80" s="102" t="s">
        <v>141</v>
      </c>
      <c r="CW80" s="103" t="s">
        <v>141</v>
      </c>
      <c r="CX80" s="104">
        <v>130</v>
      </c>
      <c r="CY80" s="105" t="s">
        <v>150</v>
      </c>
      <c r="CZ80" s="106" t="s">
        <v>1254</v>
      </c>
      <c r="DA80" s="107" t="s">
        <v>152</v>
      </c>
      <c r="DB80" s="108" t="s">
        <v>153</v>
      </c>
      <c r="DC80" s="109" t="s">
        <v>1255</v>
      </c>
      <c r="DD80" s="110" t="s">
        <v>1256</v>
      </c>
      <c r="DE80" s="111" t="s">
        <v>1257</v>
      </c>
      <c r="DF80" s="112" t="s">
        <v>1258</v>
      </c>
      <c r="DG80" s="113">
        <v>2006</v>
      </c>
      <c r="DH80" s="114" t="s">
        <v>1259</v>
      </c>
      <c r="DI80" s="227" t="str">
        <f>HYPERLINK("https://my.pitchbook.com?c=53817-13T", "View company online")</f>
        <v>View company online</v>
      </c>
    </row>
    <row r="81" spans="1:113" x14ac:dyDescent="0.2">
      <c r="A81" s="115" t="s">
        <v>1266</v>
      </c>
      <c r="B81" s="116" t="s">
        <v>1267</v>
      </c>
      <c r="C81" s="117" t="s">
        <v>1268</v>
      </c>
      <c r="D81" s="118" t="s">
        <v>1269</v>
      </c>
      <c r="E81" s="119" t="s">
        <v>1270</v>
      </c>
      <c r="F81" s="120" t="s">
        <v>126</v>
      </c>
      <c r="G81" s="121" t="s">
        <v>127</v>
      </c>
      <c r="H81" s="122" t="s">
        <v>128</v>
      </c>
      <c r="I81" s="123" t="s">
        <v>1224</v>
      </c>
      <c r="J81" s="124" t="s">
        <v>141</v>
      </c>
      <c r="K81" s="125" t="s">
        <v>1271</v>
      </c>
      <c r="L81" s="126" t="s">
        <v>402</v>
      </c>
      <c r="M81" s="127" t="s">
        <v>263</v>
      </c>
      <c r="N81" s="128" t="s">
        <v>231</v>
      </c>
      <c r="O81" s="129" t="s">
        <v>1272</v>
      </c>
      <c r="P81" s="130" t="s">
        <v>1273</v>
      </c>
      <c r="Q81" s="131" t="s">
        <v>1274</v>
      </c>
      <c r="R81" s="132" t="s">
        <v>1275</v>
      </c>
      <c r="S81" s="133" t="s">
        <v>1276</v>
      </c>
      <c r="T81" s="134" t="s">
        <v>141</v>
      </c>
      <c r="U81" s="135">
        <v>1</v>
      </c>
      <c r="V81" s="136" t="s">
        <v>1266</v>
      </c>
      <c r="W81" s="137" t="s">
        <v>141</v>
      </c>
      <c r="X81" s="138">
        <v>42126</v>
      </c>
      <c r="Y81" s="139">
        <v>0.3</v>
      </c>
      <c r="Z81" s="140" t="s">
        <v>177</v>
      </c>
      <c r="AA81" s="141" t="s">
        <v>141</v>
      </c>
      <c r="AB81" s="142" t="s">
        <v>141</v>
      </c>
      <c r="AC81" s="143" t="s">
        <v>141</v>
      </c>
      <c r="AD81" s="144" t="s">
        <v>141</v>
      </c>
      <c r="AE81" s="145">
        <v>0.3</v>
      </c>
      <c r="AF81" s="146" t="s">
        <v>1080</v>
      </c>
      <c r="AG81" s="147" t="s">
        <v>141</v>
      </c>
      <c r="AH81" s="148" t="s">
        <v>141</v>
      </c>
      <c r="AI81" s="149" t="s">
        <v>141</v>
      </c>
      <c r="AJ81" s="150" t="s">
        <v>1081</v>
      </c>
      <c r="AK81" s="151" t="s">
        <v>1081</v>
      </c>
      <c r="AL81" s="152" t="s">
        <v>141</v>
      </c>
      <c r="AM81" s="153" t="s">
        <v>485</v>
      </c>
      <c r="AN81" s="154" t="s">
        <v>1270</v>
      </c>
      <c r="AO81" s="155">
        <v>0.3</v>
      </c>
      <c r="AP81" s="156" t="s">
        <v>145</v>
      </c>
      <c r="AQ81" s="157" t="s">
        <v>141</v>
      </c>
      <c r="AR81" s="158" t="s">
        <v>141</v>
      </c>
      <c r="AS81" s="159" t="s">
        <v>141</v>
      </c>
      <c r="AT81" s="160" t="s">
        <v>141</v>
      </c>
      <c r="AU81" s="161" t="s">
        <v>141</v>
      </c>
      <c r="AV81" s="162" t="s">
        <v>141</v>
      </c>
      <c r="AW81" s="163" t="s">
        <v>141</v>
      </c>
      <c r="AX81" s="164" t="s">
        <v>141</v>
      </c>
      <c r="AY81" s="165" t="s">
        <v>141</v>
      </c>
      <c r="AZ81" s="166" t="s">
        <v>141</v>
      </c>
      <c r="BA81" s="167" t="s">
        <v>146</v>
      </c>
      <c r="BB81" s="168" t="s">
        <v>263</v>
      </c>
      <c r="BC81" s="169" t="s">
        <v>402</v>
      </c>
      <c r="BD81" s="170" t="s">
        <v>141</v>
      </c>
      <c r="BE81" s="171" t="s">
        <v>141</v>
      </c>
      <c r="BF81" s="172" t="s">
        <v>141</v>
      </c>
      <c r="BG81" s="173" t="s">
        <v>141</v>
      </c>
      <c r="BH81" s="174" t="s">
        <v>141</v>
      </c>
      <c r="BI81" s="175" t="s">
        <v>141</v>
      </c>
      <c r="BJ81" s="176" t="s">
        <v>141</v>
      </c>
      <c r="BK81" s="177" t="s">
        <v>141</v>
      </c>
      <c r="BL81" s="178" t="s">
        <v>141</v>
      </c>
      <c r="BM81" s="179" t="s">
        <v>141</v>
      </c>
      <c r="BN81" s="180" t="s">
        <v>141</v>
      </c>
      <c r="BO81" s="181" t="s">
        <v>141</v>
      </c>
      <c r="BP81" s="182" t="s">
        <v>141</v>
      </c>
      <c r="BQ81" s="183" t="s">
        <v>141</v>
      </c>
      <c r="BR81" s="184" t="s">
        <v>141</v>
      </c>
      <c r="BS81" s="185" t="s">
        <v>141</v>
      </c>
      <c r="BT81" s="186" t="s">
        <v>141</v>
      </c>
      <c r="BU81" s="187" t="s">
        <v>141</v>
      </c>
      <c r="BV81" s="188" t="s">
        <v>141</v>
      </c>
      <c r="BW81" s="189" t="s">
        <v>141</v>
      </c>
      <c r="BX81" s="190" t="s">
        <v>141</v>
      </c>
      <c r="BY81" s="191" t="s">
        <v>141</v>
      </c>
      <c r="BZ81" s="192" t="s">
        <v>141</v>
      </c>
      <c r="CA81" s="193" t="s">
        <v>141</v>
      </c>
      <c r="CB81" s="194" t="s">
        <v>141</v>
      </c>
      <c r="CC81" s="195" t="s">
        <v>141</v>
      </c>
      <c r="CD81" s="196" t="s">
        <v>141</v>
      </c>
      <c r="CE81" s="197" t="s">
        <v>141</v>
      </c>
      <c r="CF81" s="198" t="s">
        <v>141</v>
      </c>
      <c r="CG81" s="199" t="s">
        <v>141</v>
      </c>
      <c r="CH81" s="200" t="s">
        <v>141</v>
      </c>
      <c r="CI81" s="201" t="s">
        <v>141</v>
      </c>
      <c r="CJ81" s="202" t="s">
        <v>141</v>
      </c>
      <c r="CK81" s="203" t="s">
        <v>141</v>
      </c>
      <c r="CL81" s="204" t="s">
        <v>141</v>
      </c>
      <c r="CM81" s="205" t="s">
        <v>141</v>
      </c>
      <c r="CN81" s="206" t="s">
        <v>141</v>
      </c>
      <c r="CO81" s="207" t="s">
        <v>141</v>
      </c>
      <c r="CP81" s="208" t="s">
        <v>141</v>
      </c>
      <c r="CQ81" s="209" t="s">
        <v>141</v>
      </c>
      <c r="CR81" s="210" t="s">
        <v>141</v>
      </c>
      <c r="CS81" s="211" t="s">
        <v>141</v>
      </c>
      <c r="CT81" s="212" t="s">
        <v>141</v>
      </c>
      <c r="CU81" s="213" t="s">
        <v>141</v>
      </c>
      <c r="CV81" s="214" t="s">
        <v>141</v>
      </c>
      <c r="CW81" s="215" t="s">
        <v>141</v>
      </c>
      <c r="CX81" s="216" t="s">
        <v>141</v>
      </c>
      <c r="CY81" s="217" t="s">
        <v>150</v>
      </c>
      <c r="CZ81" s="218" t="s">
        <v>1277</v>
      </c>
      <c r="DA81" s="219" t="s">
        <v>152</v>
      </c>
      <c r="DB81" s="220" t="s">
        <v>153</v>
      </c>
      <c r="DC81" s="221" t="s">
        <v>1278</v>
      </c>
      <c r="DD81" s="222" t="s">
        <v>242</v>
      </c>
      <c r="DE81" s="223" t="s">
        <v>1279</v>
      </c>
      <c r="DF81" s="224" t="s">
        <v>157</v>
      </c>
      <c r="DG81" s="225">
        <v>2013</v>
      </c>
      <c r="DH81" s="226" t="s">
        <v>1280</v>
      </c>
      <c r="DI81" s="228" t="str">
        <f>HYPERLINK("https://my.pitchbook.com?c=50407-75T", "View company online")</f>
        <v>View company online</v>
      </c>
    </row>
    <row r="82" spans="1:113" x14ac:dyDescent="0.2">
      <c r="A82" s="3" t="s">
        <v>1281</v>
      </c>
      <c r="B82" s="4" t="s">
        <v>601</v>
      </c>
      <c r="C82" s="5" t="s">
        <v>602</v>
      </c>
      <c r="D82" s="6" t="s">
        <v>603</v>
      </c>
      <c r="E82" s="7" t="s">
        <v>604</v>
      </c>
      <c r="F82" s="8" t="s">
        <v>126</v>
      </c>
      <c r="G82" s="9" t="s">
        <v>456</v>
      </c>
      <c r="H82" s="10" t="s">
        <v>457</v>
      </c>
      <c r="I82" s="11" t="s">
        <v>605</v>
      </c>
      <c r="J82" s="12" t="s">
        <v>606</v>
      </c>
      <c r="K82" s="13" t="s">
        <v>607</v>
      </c>
      <c r="L82" s="14" t="s">
        <v>193</v>
      </c>
      <c r="M82" s="15" t="s">
        <v>608</v>
      </c>
      <c r="N82" s="16" t="s">
        <v>231</v>
      </c>
      <c r="O82" s="17" t="s">
        <v>609</v>
      </c>
      <c r="P82" s="18" t="s">
        <v>610</v>
      </c>
      <c r="Q82" s="19" t="s">
        <v>141</v>
      </c>
      <c r="R82" s="20" t="s">
        <v>611</v>
      </c>
      <c r="S82" s="21" t="s">
        <v>612</v>
      </c>
      <c r="T82" s="22" t="s">
        <v>613</v>
      </c>
      <c r="U82" s="23">
        <v>4</v>
      </c>
      <c r="V82" s="24" t="s">
        <v>1281</v>
      </c>
      <c r="W82" s="25" t="s">
        <v>141</v>
      </c>
      <c r="X82" s="26">
        <v>43579</v>
      </c>
      <c r="Y82" s="27" t="s">
        <v>141</v>
      </c>
      <c r="Z82" s="28" t="s">
        <v>141</v>
      </c>
      <c r="AA82" s="29" t="s">
        <v>141</v>
      </c>
      <c r="AB82" s="30" t="s">
        <v>141</v>
      </c>
      <c r="AC82" s="31" t="s">
        <v>141</v>
      </c>
      <c r="AD82" s="32" t="s">
        <v>141</v>
      </c>
      <c r="AE82" s="33" t="s">
        <v>141</v>
      </c>
      <c r="AF82" s="34" t="s">
        <v>1080</v>
      </c>
      <c r="AG82" s="35" t="s">
        <v>141</v>
      </c>
      <c r="AH82" s="36" t="s">
        <v>141</v>
      </c>
      <c r="AI82" s="37" t="s">
        <v>141</v>
      </c>
      <c r="AJ82" s="38" t="s">
        <v>1081</v>
      </c>
      <c r="AK82" s="39" t="s">
        <v>1081</v>
      </c>
      <c r="AL82" s="40" t="s">
        <v>141</v>
      </c>
      <c r="AM82" s="41" t="s">
        <v>485</v>
      </c>
      <c r="AN82" s="42" t="s">
        <v>1282</v>
      </c>
      <c r="AO82" s="43" t="s">
        <v>141</v>
      </c>
      <c r="AP82" s="44" t="s">
        <v>145</v>
      </c>
      <c r="AQ82" s="45" t="s">
        <v>141</v>
      </c>
      <c r="AR82" s="46" t="s">
        <v>141</v>
      </c>
      <c r="AS82" s="47" t="s">
        <v>141</v>
      </c>
      <c r="AT82" s="48" t="s">
        <v>141</v>
      </c>
      <c r="AU82" s="49" t="s">
        <v>141</v>
      </c>
      <c r="AV82" s="50" t="s">
        <v>141</v>
      </c>
      <c r="AW82" s="51" t="s">
        <v>141</v>
      </c>
      <c r="AX82" s="52" t="s">
        <v>141</v>
      </c>
      <c r="AY82" s="53" t="s">
        <v>141</v>
      </c>
      <c r="AZ82" s="54" t="s">
        <v>141</v>
      </c>
      <c r="BA82" s="55" t="s">
        <v>1283</v>
      </c>
      <c r="BB82" s="56" t="s">
        <v>133</v>
      </c>
      <c r="BC82" s="57" t="s">
        <v>193</v>
      </c>
      <c r="BD82" s="58">
        <v>3</v>
      </c>
      <c r="BE82" s="59" t="s">
        <v>141</v>
      </c>
      <c r="BF82" s="60" t="s">
        <v>141</v>
      </c>
      <c r="BG82" s="61" t="s">
        <v>141</v>
      </c>
      <c r="BH82" s="62" t="s">
        <v>141</v>
      </c>
      <c r="BI82" s="63" t="s">
        <v>141</v>
      </c>
      <c r="BJ82" s="64" t="s">
        <v>141</v>
      </c>
      <c r="BK82" s="65" t="s">
        <v>141</v>
      </c>
      <c r="BL82" s="66" t="s">
        <v>141</v>
      </c>
      <c r="BM82" s="67" t="s">
        <v>141</v>
      </c>
      <c r="BN82" s="68" t="s">
        <v>141</v>
      </c>
      <c r="BO82" s="69" t="s">
        <v>141</v>
      </c>
      <c r="BP82" s="70" t="s">
        <v>141</v>
      </c>
      <c r="BQ82" s="71" t="s">
        <v>141</v>
      </c>
      <c r="BR82" s="72" t="s">
        <v>141</v>
      </c>
      <c r="BS82" s="73" t="s">
        <v>141</v>
      </c>
      <c r="BT82" s="74" t="s">
        <v>141</v>
      </c>
      <c r="BU82" s="75" t="s">
        <v>141</v>
      </c>
      <c r="BV82" s="76" t="s">
        <v>141</v>
      </c>
      <c r="BW82" s="77" t="s">
        <v>141</v>
      </c>
      <c r="BX82" s="78" t="s">
        <v>141</v>
      </c>
      <c r="BY82" s="79" t="s">
        <v>141</v>
      </c>
      <c r="BZ82" s="80" t="s">
        <v>141</v>
      </c>
      <c r="CA82" s="81" t="s">
        <v>141</v>
      </c>
      <c r="CB82" s="82" t="s">
        <v>141</v>
      </c>
      <c r="CC82" s="83" t="s">
        <v>141</v>
      </c>
      <c r="CD82" s="84" t="s">
        <v>141</v>
      </c>
      <c r="CE82" s="85" t="s">
        <v>141</v>
      </c>
      <c r="CF82" s="86" t="s">
        <v>141</v>
      </c>
      <c r="CG82" s="87" t="s">
        <v>141</v>
      </c>
      <c r="CH82" s="88" t="s">
        <v>141</v>
      </c>
      <c r="CI82" s="89" t="s">
        <v>141</v>
      </c>
      <c r="CJ82" s="90" t="s">
        <v>141</v>
      </c>
      <c r="CK82" s="91" t="s">
        <v>141</v>
      </c>
      <c r="CL82" s="92" t="s">
        <v>141</v>
      </c>
      <c r="CM82" s="93" t="s">
        <v>141</v>
      </c>
      <c r="CN82" s="94" t="s">
        <v>141</v>
      </c>
      <c r="CO82" s="95" t="s">
        <v>141</v>
      </c>
      <c r="CP82" s="96" t="s">
        <v>141</v>
      </c>
      <c r="CQ82" s="97" t="s">
        <v>141</v>
      </c>
      <c r="CR82" s="98" t="s">
        <v>141</v>
      </c>
      <c r="CS82" s="99" t="s">
        <v>141</v>
      </c>
      <c r="CT82" s="100" t="s">
        <v>141</v>
      </c>
      <c r="CU82" s="101" t="s">
        <v>141</v>
      </c>
      <c r="CV82" s="102" t="s">
        <v>141</v>
      </c>
      <c r="CW82" s="103" t="s">
        <v>141</v>
      </c>
      <c r="CX82" s="104">
        <v>3</v>
      </c>
      <c r="CY82" s="105" t="s">
        <v>150</v>
      </c>
      <c r="CZ82" s="106" t="s">
        <v>617</v>
      </c>
      <c r="DA82" s="107" t="s">
        <v>152</v>
      </c>
      <c r="DB82" s="108" t="s">
        <v>153</v>
      </c>
      <c r="DC82" s="109" t="s">
        <v>618</v>
      </c>
      <c r="DD82" s="110" t="s">
        <v>619</v>
      </c>
      <c r="DE82" s="111" t="s">
        <v>141</v>
      </c>
      <c r="DF82" s="112" t="s">
        <v>157</v>
      </c>
      <c r="DG82" s="113">
        <v>2017</v>
      </c>
      <c r="DH82" s="114" t="s">
        <v>620</v>
      </c>
      <c r="DI82" s="227" t="str">
        <f>HYPERLINK("https://my.pitchbook.com?c=132709-69T", "View company online")</f>
        <v>View company online</v>
      </c>
    </row>
    <row r="83" spans="1:113" x14ac:dyDescent="0.2">
      <c r="A83" s="115" t="s">
        <v>1284</v>
      </c>
      <c r="B83" s="116" t="s">
        <v>626</v>
      </c>
      <c r="C83" s="117" t="s">
        <v>627</v>
      </c>
      <c r="D83" s="118" t="s">
        <v>628</v>
      </c>
      <c r="E83" s="119" t="s">
        <v>629</v>
      </c>
      <c r="F83" s="120" t="s">
        <v>126</v>
      </c>
      <c r="G83" s="121" t="s">
        <v>127</v>
      </c>
      <c r="H83" s="122" t="s">
        <v>128</v>
      </c>
      <c r="I83" s="123" t="s">
        <v>129</v>
      </c>
      <c r="J83" s="124" t="s">
        <v>130</v>
      </c>
      <c r="K83" s="125" t="s">
        <v>630</v>
      </c>
      <c r="L83" s="126" t="s">
        <v>345</v>
      </c>
      <c r="M83" s="127" t="s">
        <v>631</v>
      </c>
      <c r="N83" s="128" t="s">
        <v>170</v>
      </c>
      <c r="O83" s="129" t="s">
        <v>1285</v>
      </c>
      <c r="P83" s="130" t="s">
        <v>1286</v>
      </c>
      <c r="Q83" s="131" t="s">
        <v>141</v>
      </c>
      <c r="R83" s="132" t="s">
        <v>141</v>
      </c>
      <c r="S83" s="133" t="s">
        <v>1287</v>
      </c>
      <c r="T83" s="134" t="s">
        <v>1288</v>
      </c>
      <c r="U83" s="135">
        <v>1</v>
      </c>
      <c r="V83" s="136" t="s">
        <v>1284</v>
      </c>
      <c r="W83" s="137">
        <v>42081</v>
      </c>
      <c r="X83" s="138">
        <v>42093</v>
      </c>
      <c r="Y83" s="139">
        <v>5.99</v>
      </c>
      <c r="Z83" s="140" t="s">
        <v>177</v>
      </c>
      <c r="AA83" s="141">
        <v>16.41</v>
      </c>
      <c r="AB83" s="142">
        <v>22.4</v>
      </c>
      <c r="AC83" s="143" t="s">
        <v>177</v>
      </c>
      <c r="AD83" s="144">
        <v>26.73</v>
      </c>
      <c r="AE83" s="145">
        <v>5.99</v>
      </c>
      <c r="AF83" s="146" t="s">
        <v>1080</v>
      </c>
      <c r="AG83" s="147" t="s">
        <v>141</v>
      </c>
      <c r="AH83" s="148">
        <v>46.31</v>
      </c>
      <c r="AI83" s="149" t="s">
        <v>141</v>
      </c>
      <c r="AJ83" s="150" t="s">
        <v>1081</v>
      </c>
      <c r="AK83" s="151" t="s">
        <v>1081</v>
      </c>
      <c r="AL83" s="152" t="s">
        <v>141</v>
      </c>
      <c r="AM83" s="153" t="s">
        <v>485</v>
      </c>
      <c r="AN83" s="154" t="s">
        <v>1289</v>
      </c>
      <c r="AO83" s="155">
        <v>5.99</v>
      </c>
      <c r="AP83" s="156" t="s">
        <v>145</v>
      </c>
      <c r="AQ83" s="157" t="s">
        <v>141</v>
      </c>
      <c r="AR83" s="158" t="s">
        <v>141</v>
      </c>
      <c r="AS83" s="159" t="s">
        <v>141</v>
      </c>
      <c r="AT83" s="160" t="s">
        <v>141</v>
      </c>
      <c r="AU83" s="161" t="s">
        <v>141</v>
      </c>
      <c r="AV83" s="162" t="s">
        <v>141</v>
      </c>
      <c r="AW83" s="163" t="s">
        <v>141</v>
      </c>
      <c r="AX83" s="164" t="s">
        <v>141</v>
      </c>
      <c r="AY83" s="165" t="s">
        <v>141</v>
      </c>
      <c r="AZ83" s="166" t="s">
        <v>141</v>
      </c>
      <c r="BA83" s="167" t="s">
        <v>146</v>
      </c>
      <c r="BB83" s="168" t="s">
        <v>133</v>
      </c>
      <c r="BC83" s="169" t="s">
        <v>132</v>
      </c>
      <c r="BD83" s="170">
        <v>16</v>
      </c>
      <c r="BE83" s="171">
        <v>2</v>
      </c>
      <c r="BF83" s="172" t="s">
        <v>1290</v>
      </c>
      <c r="BG83" s="173">
        <v>2</v>
      </c>
      <c r="BH83" s="174" t="s">
        <v>141</v>
      </c>
      <c r="BI83" s="175" t="s">
        <v>141</v>
      </c>
      <c r="BJ83" s="176" t="s">
        <v>141</v>
      </c>
      <c r="BK83" s="177" t="s">
        <v>141</v>
      </c>
      <c r="BL83" s="178" t="s">
        <v>1291</v>
      </c>
      <c r="BM83" s="179" t="s">
        <v>141</v>
      </c>
      <c r="BN83" s="180" t="s">
        <v>141</v>
      </c>
      <c r="BO83" s="181" t="s">
        <v>141</v>
      </c>
      <c r="BP83" s="182" t="s">
        <v>141</v>
      </c>
      <c r="BQ83" s="183" t="s">
        <v>141</v>
      </c>
      <c r="BR83" s="184" t="s">
        <v>141</v>
      </c>
      <c r="BS83" s="185" t="s">
        <v>141</v>
      </c>
      <c r="BT83" s="186" t="s">
        <v>141</v>
      </c>
      <c r="BU83" s="187" t="s">
        <v>141</v>
      </c>
      <c r="BV83" s="188" t="s">
        <v>141</v>
      </c>
      <c r="BW83" s="189" t="s">
        <v>141</v>
      </c>
      <c r="BX83" s="190">
        <v>0.25</v>
      </c>
      <c r="BY83" s="191" t="s">
        <v>141</v>
      </c>
      <c r="BZ83" s="192" t="s">
        <v>141</v>
      </c>
      <c r="CA83" s="193" t="s">
        <v>141</v>
      </c>
      <c r="CB83" s="194">
        <v>-3.41</v>
      </c>
      <c r="CC83" s="195">
        <v>-3.41</v>
      </c>
      <c r="CD83" s="196">
        <v>0</v>
      </c>
      <c r="CE83" s="197">
        <v>2015</v>
      </c>
      <c r="CF83" s="198">
        <v>-6.57</v>
      </c>
      <c r="CG83" s="199">
        <v>-6.56</v>
      </c>
      <c r="CH83" s="200" t="s">
        <v>141</v>
      </c>
      <c r="CI83" s="201">
        <v>88.51</v>
      </c>
      <c r="CJ83" s="202" t="s">
        <v>141</v>
      </c>
      <c r="CK83" s="203">
        <v>-1.76</v>
      </c>
      <c r="CL83" s="204">
        <v>-1.75</v>
      </c>
      <c r="CM83" s="205" t="s">
        <v>141</v>
      </c>
      <c r="CN83" s="206">
        <v>23.66</v>
      </c>
      <c r="CO83" s="207" t="s">
        <v>141</v>
      </c>
      <c r="CP83" s="208" t="s">
        <v>141</v>
      </c>
      <c r="CQ83" s="209" t="s">
        <v>141</v>
      </c>
      <c r="CR83" s="210" t="s">
        <v>141</v>
      </c>
      <c r="CS83" s="211" t="s">
        <v>141</v>
      </c>
      <c r="CT83" s="212" t="s">
        <v>141</v>
      </c>
      <c r="CU83" s="213" t="s">
        <v>141</v>
      </c>
      <c r="CV83" s="214" t="s">
        <v>141</v>
      </c>
      <c r="CW83" s="215">
        <v>-1346.4</v>
      </c>
      <c r="CX83" s="216">
        <v>37</v>
      </c>
      <c r="CY83" s="217" t="s">
        <v>640</v>
      </c>
      <c r="CZ83" s="218" t="s">
        <v>641</v>
      </c>
      <c r="DA83" s="219" t="s">
        <v>642</v>
      </c>
      <c r="DB83" s="220" t="s">
        <v>643</v>
      </c>
      <c r="DC83" s="221" t="s">
        <v>141</v>
      </c>
      <c r="DD83" s="222" t="s">
        <v>644</v>
      </c>
      <c r="DE83" s="223" t="s">
        <v>645</v>
      </c>
      <c r="DF83" s="224" t="s">
        <v>641</v>
      </c>
      <c r="DG83" s="225">
        <v>2014</v>
      </c>
      <c r="DH83" s="226" t="s">
        <v>646</v>
      </c>
      <c r="DI83" s="228" t="str">
        <f>HYPERLINK("https://my.pitchbook.com?c=47609-47T", "View company online")</f>
        <v>View company online</v>
      </c>
    </row>
    <row r="84" spans="1:113" x14ac:dyDescent="0.2">
      <c r="A84" s="3" t="s">
        <v>1292</v>
      </c>
      <c r="B84" s="4" t="s">
        <v>626</v>
      </c>
      <c r="C84" s="5" t="s">
        <v>627</v>
      </c>
      <c r="D84" s="6" t="s">
        <v>628</v>
      </c>
      <c r="E84" s="7" t="s">
        <v>629</v>
      </c>
      <c r="F84" s="8" t="s">
        <v>126</v>
      </c>
      <c r="G84" s="9" t="s">
        <v>127</v>
      </c>
      <c r="H84" s="10" t="s">
        <v>128</v>
      </c>
      <c r="I84" s="11" t="s">
        <v>129</v>
      </c>
      <c r="J84" s="12" t="s">
        <v>130</v>
      </c>
      <c r="K84" s="13" t="s">
        <v>630</v>
      </c>
      <c r="L84" s="14" t="s">
        <v>345</v>
      </c>
      <c r="M84" s="15" t="s">
        <v>631</v>
      </c>
      <c r="N84" s="16" t="s">
        <v>170</v>
      </c>
      <c r="O84" s="17" t="s">
        <v>1285</v>
      </c>
      <c r="P84" s="18" t="s">
        <v>1286</v>
      </c>
      <c r="Q84" s="19" t="s">
        <v>141</v>
      </c>
      <c r="R84" s="20" t="s">
        <v>141</v>
      </c>
      <c r="S84" s="21" t="s">
        <v>1287</v>
      </c>
      <c r="T84" s="22" t="s">
        <v>1288</v>
      </c>
      <c r="U84" s="23">
        <v>2</v>
      </c>
      <c r="V84" s="24" t="s">
        <v>1292</v>
      </c>
      <c r="W84" s="25">
        <v>42380</v>
      </c>
      <c r="X84" s="26">
        <v>42605</v>
      </c>
      <c r="Y84" s="27">
        <v>6.57</v>
      </c>
      <c r="Z84" s="28" t="s">
        <v>177</v>
      </c>
      <c r="AA84" s="29">
        <v>24.12</v>
      </c>
      <c r="AB84" s="30">
        <v>30.68</v>
      </c>
      <c r="AC84" s="31" t="s">
        <v>177</v>
      </c>
      <c r="AD84" s="32">
        <v>21.4</v>
      </c>
      <c r="AE84" s="33">
        <v>12.56</v>
      </c>
      <c r="AF84" s="34" t="s">
        <v>1080</v>
      </c>
      <c r="AG84" s="35" t="s">
        <v>1188</v>
      </c>
      <c r="AH84" s="36">
        <v>57.03</v>
      </c>
      <c r="AI84" s="37" t="s">
        <v>141</v>
      </c>
      <c r="AJ84" s="38" t="s">
        <v>1081</v>
      </c>
      <c r="AK84" s="39" t="s">
        <v>1081</v>
      </c>
      <c r="AL84" s="40" t="s">
        <v>141</v>
      </c>
      <c r="AM84" s="41" t="s">
        <v>485</v>
      </c>
      <c r="AN84" s="42" t="s">
        <v>1293</v>
      </c>
      <c r="AO84" s="43">
        <v>6.57</v>
      </c>
      <c r="AP84" s="44" t="s">
        <v>145</v>
      </c>
      <c r="AQ84" s="45" t="s">
        <v>141</v>
      </c>
      <c r="AR84" s="46" t="s">
        <v>141</v>
      </c>
      <c r="AS84" s="47" t="s">
        <v>141</v>
      </c>
      <c r="AT84" s="48" t="s">
        <v>141</v>
      </c>
      <c r="AU84" s="49" t="s">
        <v>141</v>
      </c>
      <c r="AV84" s="50" t="s">
        <v>141</v>
      </c>
      <c r="AW84" s="51" t="s">
        <v>141</v>
      </c>
      <c r="AX84" s="52" t="s">
        <v>141</v>
      </c>
      <c r="AY84" s="53" t="s">
        <v>141</v>
      </c>
      <c r="AZ84" s="54" t="s">
        <v>141</v>
      </c>
      <c r="BA84" s="55" t="s">
        <v>146</v>
      </c>
      <c r="BB84" s="56" t="s">
        <v>133</v>
      </c>
      <c r="BC84" s="57" t="s">
        <v>132</v>
      </c>
      <c r="BD84" s="58">
        <v>37</v>
      </c>
      <c r="BE84" s="59">
        <v>1</v>
      </c>
      <c r="BF84" s="60" t="s">
        <v>1294</v>
      </c>
      <c r="BG84" s="61">
        <v>1</v>
      </c>
      <c r="BH84" s="62" t="s">
        <v>141</v>
      </c>
      <c r="BI84" s="63" t="s">
        <v>141</v>
      </c>
      <c r="BJ84" s="64" t="s">
        <v>141</v>
      </c>
      <c r="BK84" s="65" t="s">
        <v>1295</v>
      </c>
      <c r="BL84" s="66" t="s">
        <v>1294</v>
      </c>
      <c r="BM84" s="67" t="s">
        <v>1294</v>
      </c>
      <c r="BN84" s="68" t="s">
        <v>141</v>
      </c>
      <c r="BO84" s="69" t="s">
        <v>141</v>
      </c>
      <c r="BP84" s="70" t="s">
        <v>141</v>
      </c>
      <c r="BQ84" s="71" t="s">
        <v>141</v>
      </c>
      <c r="BR84" s="72" t="s">
        <v>1296</v>
      </c>
      <c r="BS84" s="73" t="s">
        <v>1296</v>
      </c>
      <c r="BT84" s="74" t="s">
        <v>141</v>
      </c>
      <c r="BU84" s="75" t="s">
        <v>141</v>
      </c>
      <c r="BV84" s="76" t="s">
        <v>141</v>
      </c>
      <c r="BW84" s="77" t="s">
        <v>141</v>
      </c>
      <c r="BX84" s="78" t="s">
        <v>141</v>
      </c>
      <c r="BY84" s="79" t="s">
        <v>141</v>
      </c>
      <c r="BZ84" s="80" t="s">
        <v>141</v>
      </c>
      <c r="CA84" s="81" t="s">
        <v>141</v>
      </c>
      <c r="CB84" s="82" t="s">
        <v>141</v>
      </c>
      <c r="CC84" s="83" t="s">
        <v>141</v>
      </c>
      <c r="CD84" s="84" t="s">
        <v>141</v>
      </c>
      <c r="CE84" s="85">
        <v>2016</v>
      </c>
      <c r="CF84" s="86" t="s">
        <v>141</v>
      </c>
      <c r="CG84" s="87" t="s">
        <v>141</v>
      </c>
      <c r="CH84" s="88" t="s">
        <v>141</v>
      </c>
      <c r="CI84" s="89" t="s">
        <v>141</v>
      </c>
      <c r="CJ84" s="90" t="s">
        <v>141</v>
      </c>
      <c r="CK84" s="91" t="s">
        <v>141</v>
      </c>
      <c r="CL84" s="92" t="s">
        <v>141</v>
      </c>
      <c r="CM84" s="93" t="s">
        <v>141</v>
      </c>
      <c r="CN84" s="94" t="s">
        <v>141</v>
      </c>
      <c r="CO84" s="95" t="s">
        <v>141</v>
      </c>
      <c r="CP84" s="96" t="s">
        <v>141</v>
      </c>
      <c r="CQ84" s="97" t="s">
        <v>141</v>
      </c>
      <c r="CR84" s="98" t="s">
        <v>141</v>
      </c>
      <c r="CS84" s="99" t="s">
        <v>141</v>
      </c>
      <c r="CT84" s="100" t="s">
        <v>141</v>
      </c>
      <c r="CU84" s="101" t="s">
        <v>141</v>
      </c>
      <c r="CV84" s="102" t="s">
        <v>141</v>
      </c>
      <c r="CW84" s="103" t="s">
        <v>141</v>
      </c>
      <c r="CX84" s="104">
        <v>37</v>
      </c>
      <c r="CY84" s="105" t="s">
        <v>640</v>
      </c>
      <c r="CZ84" s="106" t="s">
        <v>641</v>
      </c>
      <c r="DA84" s="107" t="s">
        <v>642</v>
      </c>
      <c r="DB84" s="108" t="s">
        <v>643</v>
      </c>
      <c r="DC84" s="109" t="s">
        <v>141</v>
      </c>
      <c r="DD84" s="110" t="s">
        <v>644</v>
      </c>
      <c r="DE84" s="111" t="s">
        <v>645</v>
      </c>
      <c r="DF84" s="112" t="s">
        <v>641</v>
      </c>
      <c r="DG84" s="113">
        <v>2014</v>
      </c>
      <c r="DH84" s="114" t="s">
        <v>646</v>
      </c>
      <c r="DI84" s="227" t="str">
        <f>HYPERLINK("https://my.pitchbook.com?c=73643-32T", "View company online")</f>
        <v>View company online</v>
      </c>
    </row>
    <row r="85" spans="1:113" x14ac:dyDescent="0.2">
      <c r="A85" s="115" t="s">
        <v>1297</v>
      </c>
      <c r="B85" s="116" t="s">
        <v>648</v>
      </c>
      <c r="C85" s="117" t="s">
        <v>649</v>
      </c>
      <c r="D85" s="118" t="s">
        <v>650</v>
      </c>
      <c r="E85" s="119" t="s">
        <v>651</v>
      </c>
      <c r="F85" s="120" t="s">
        <v>126</v>
      </c>
      <c r="G85" s="121" t="s">
        <v>127</v>
      </c>
      <c r="H85" s="122" t="s">
        <v>128</v>
      </c>
      <c r="I85" s="123" t="s">
        <v>129</v>
      </c>
      <c r="J85" s="124" t="s">
        <v>652</v>
      </c>
      <c r="K85" s="125" t="s">
        <v>653</v>
      </c>
      <c r="L85" s="126" t="s">
        <v>193</v>
      </c>
      <c r="M85" s="127" t="s">
        <v>133</v>
      </c>
      <c r="N85" s="128" t="s">
        <v>231</v>
      </c>
      <c r="O85" s="129" t="s">
        <v>654</v>
      </c>
      <c r="P85" s="130" t="s">
        <v>655</v>
      </c>
      <c r="Q85" s="131" t="s">
        <v>656</v>
      </c>
      <c r="R85" s="132" t="s">
        <v>657</v>
      </c>
      <c r="S85" s="133" t="s">
        <v>658</v>
      </c>
      <c r="T85" s="134" t="s">
        <v>141</v>
      </c>
      <c r="U85" s="135">
        <v>3</v>
      </c>
      <c r="V85" s="136" t="s">
        <v>1297</v>
      </c>
      <c r="W85" s="137" t="s">
        <v>141</v>
      </c>
      <c r="X85" s="138" t="s">
        <v>141</v>
      </c>
      <c r="Y85" s="139">
        <v>0.9</v>
      </c>
      <c r="Z85" s="140" t="s">
        <v>177</v>
      </c>
      <c r="AA85" s="141" t="s">
        <v>141</v>
      </c>
      <c r="AB85" s="142" t="s">
        <v>141</v>
      </c>
      <c r="AC85" s="143" t="s">
        <v>141</v>
      </c>
      <c r="AD85" s="144" t="s">
        <v>141</v>
      </c>
      <c r="AE85" s="145" t="s">
        <v>141</v>
      </c>
      <c r="AF85" s="146" t="s">
        <v>1080</v>
      </c>
      <c r="AG85" s="147" t="s">
        <v>141</v>
      </c>
      <c r="AH85" s="148" t="s">
        <v>141</v>
      </c>
      <c r="AI85" s="149" t="s">
        <v>141</v>
      </c>
      <c r="AJ85" s="150" t="s">
        <v>1081</v>
      </c>
      <c r="AK85" s="151" t="s">
        <v>1081</v>
      </c>
      <c r="AL85" s="152" t="s">
        <v>141</v>
      </c>
      <c r="AM85" s="153" t="s">
        <v>485</v>
      </c>
      <c r="AN85" s="154" t="s">
        <v>1298</v>
      </c>
      <c r="AO85" s="155" t="s">
        <v>141</v>
      </c>
      <c r="AP85" s="156" t="s">
        <v>145</v>
      </c>
      <c r="AQ85" s="157" t="s">
        <v>141</v>
      </c>
      <c r="AR85" s="158" t="s">
        <v>141</v>
      </c>
      <c r="AS85" s="159" t="s">
        <v>141</v>
      </c>
      <c r="AT85" s="160" t="s">
        <v>141</v>
      </c>
      <c r="AU85" s="161" t="s">
        <v>141</v>
      </c>
      <c r="AV85" s="162" t="s">
        <v>141</v>
      </c>
      <c r="AW85" s="163" t="s">
        <v>141</v>
      </c>
      <c r="AX85" s="164" t="s">
        <v>141</v>
      </c>
      <c r="AY85" s="165" t="s">
        <v>141</v>
      </c>
      <c r="AZ85" s="166" t="s">
        <v>141</v>
      </c>
      <c r="BA85" s="167" t="s">
        <v>1299</v>
      </c>
      <c r="BB85" s="168" t="s">
        <v>133</v>
      </c>
      <c r="BC85" s="169" t="s">
        <v>1300</v>
      </c>
      <c r="BD85" s="170">
        <v>7</v>
      </c>
      <c r="BE85" s="171" t="s">
        <v>141</v>
      </c>
      <c r="BF85" s="172" t="s">
        <v>141</v>
      </c>
      <c r="BG85" s="173" t="s">
        <v>141</v>
      </c>
      <c r="BH85" s="174" t="s">
        <v>141</v>
      </c>
      <c r="BI85" s="175" t="s">
        <v>141</v>
      </c>
      <c r="BJ85" s="176" t="s">
        <v>141</v>
      </c>
      <c r="BK85" s="177" t="s">
        <v>141</v>
      </c>
      <c r="BL85" s="178" t="s">
        <v>141</v>
      </c>
      <c r="BM85" s="179" t="s">
        <v>141</v>
      </c>
      <c r="BN85" s="180" t="s">
        <v>141</v>
      </c>
      <c r="BO85" s="181" t="s">
        <v>141</v>
      </c>
      <c r="BP85" s="182" t="s">
        <v>141</v>
      </c>
      <c r="BQ85" s="183" t="s">
        <v>141</v>
      </c>
      <c r="BR85" s="184" t="s">
        <v>141</v>
      </c>
      <c r="BS85" s="185" t="s">
        <v>141</v>
      </c>
      <c r="BT85" s="186" t="s">
        <v>141</v>
      </c>
      <c r="BU85" s="187" t="s">
        <v>141</v>
      </c>
      <c r="BV85" s="188" t="s">
        <v>141</v>
      </c>
      <c r="BW85" s="189" t="s">
        <v>141</v>
      </c>
      <c r="BX85" s="190" t="s">
        <v>141</v>
      </c>
      <c r="BY85" s="191" t="s">
        <v>141</v>
      </c>
      <c r="BZ85" s="192" t="s">
        <v>141</v>
      </c>
      <c r="CA85" s="193" t="s">
        <v>141</v>
      </c>
      <c r="CB85" s="194" t="s">
        <v>141</v>
      </c>
      <c r="CC85" s="195" t="s">
        <v>141</v>
      </c>
      <c r="CD85" s="196" t="s">
        <v>141</v>
      </c>
      <c r="CE85" s="197" t="s">
        <v>141</v>
      </c>
      <c r="CF85" s="198" t="s">
        <v>141</v>
      </c>
      <c r="CG85" s="199" t="s">
        <v>141</v>
      </c>
      <c r="CH85" s="200" t="s">
        <v>141</v>
      </c>
      <c r="CI85" s="201" t="s">
        <v>141</v>
      </c>
      <c r="CJ85" s="202" t="s">
        <v>141</v>
      </c>
      <c r="CK85" s="203" t="s">
        <v>141</v>
      </c>
      <c r="CL85" s="204" t="s">
        <v>141</v>
      </c>
      <c r="CM85" s="205" t="s">
        <v>141</v>
      </c>
      <c r="CN85" s="206" t="s">
        <v>141</v>
      </c>
      <c r="CO85" s="207" t="s">
        <v>141</v>
      </c>
      <c r="CP85" s="208" t="s">
        <v>141</v>
      </c>
      <c r="CQ85" s="209" t="s">
        <v>141</v>
      </c>
      <c r="CR85" s="210" t="s">
        <v>141</v>
      </c>
      <c r="CS85" s="211" t="s">
        <v>141</v>
      </c>
      <c r="CT85" s="212" t="s">
        <v>141</v>
      </c>
      <c r="CU85" s="213" t="s">
        <v>141</v>
      </c>
      <c r="CV85" s="214" t="s">
        <v>141</v>
      </c>
      <c r="CW85" s="215" t="s">
        <v>141</v>
      </c>
      <c r="CX85" s="216">
        <v>7</v>
      </c>
      <c r="CY85" s="217" t="s">
        <v>150</v>
      </c>
      <c r="CZ85" s="218" t="s">
        <v>240</v>
      </c>
      <c r="DA85" s="219" t="s">
        <v>152</v>
      </c>
      <c r="DB85" s="220" t="s">
        <v>153</v>
      </c>
      <c r="DC85" s="221" t="s">
        <v>241</v>
      </c>
      <c r="DD85" s="222" t="s">
        <v>242</v>
      </c>
      <c r="DE85" s="223" t="s">
        <v>141</v>
      </c>
      <c r="DF85" s="224" t="s">
        <v>157</v>
      </c>
      <c r="DG85" s="225" t="s">
        <v>141</v>
      </c>
      <c r="DH85" s="226" t="s">
        <v>660</v>
      </c>
      <c r="DI85" s="228" t="str">
        <f>HYPERLINK("https://my.pitchbook.com?c=132365-89T", "View company online")</f>
        <v>View company online</v>
      </c>
    </row>
    <row r="86" spans="1:113" x14ac:dyDescent="0.2">
      <c r="A86" s="3" t="s">
        <v>1301</v>
      </c>
      <c r="B86" s="4" t="s">
        <v>1302</v>
      </c>
      <c r="C86" s="5" t="s">
        <v>1303</v>
      </c>
      <c r="D86" s="6" t="s">
        <v>1304</v>
      </c>
      <c r="E86" s="7" t="s">
        <v>1305</v>
      </c>
      <c r="F86" s="8" t="s">
        <v>164</v>
      </c>
      <c r="G86" s="9" t="s">
        <v>165</v>
      </c>
      <c r="H86" s="10" t="s">
        <v>190</v>
      </c>
      <c r="I86" s="11" t="s">
        <v>229</v>
      </c>
      <c r="J86" s="12" t="s">
        <v>838</v>
      </c>
      <c r="K86" s="13" t="s">
        <v>1306</v>
      </c>
      <c r="L86" s="14" t="s">
        <v>402</v>
      </c>
      <c r="M86" s="15" t="s">
        <v>263</v>
      </c>
      <c r="N86" s="16" t="s">
        <v>231</v>
      </c>
      <c r="O86" s="17" t="s">
        <v>1307</v>
      </c>
      <c r="P86" s="18" t="s">
        <v>1308</v>
      </c>
      <c r="Q86" s="19" t="s">
        <v>1309</v>
      </c>
      <c r="R86" s="20" t="s">
        <v>1310</v>
      </c>
      <c r="S86" s="21" t="s">
        <v>1311</v>
      </c>
      <c r="T86" s="22" t="s">
        <v>141</v>
      </c>
      <c r="U86" s="23">
        <v>1</v>
      </c>
      <c r="V86" s="24" t="s">
        <v>1301</v>
      </c>
      <c r="W86" s="25" t="s">
        <v>141</v>
      </c>
      <c r="X86" s="26">
        <v>41866</v>
      </c>
      <c r="Y86" s="27" t="s">
        <v>141</v>
      </c>
      <c r="Z86" s="28" t="s">
        <v>141</v>
      </c>
      <c r="AA86" s="29" t="s">
        <v>141</v>
      </c>
      <c r="AB86" s="30" t="s">
        <v>141</v>
      </c>
      <c r="AC86" s="31" t="s">
        <v>141</v>
      </c>
      <c r="AD86" s="32" t="s">
        <v>141</v>
      </c>
      <c r="AE86" s="33" t="s">
        <v>141</v>
      </c>
      <c r="AF86" s="34" t="s">
        <v>1080</v>
      </c>
      <c r="AG86" s="35" t="s">
        <v>141</v>
      </c>
      <c r="AH86" s="36" t="s">
        <v>141</v>
      </c>
      <c r="AI86" s="37" t="s">
        <v>141</v>
      </c>
      <c r="AJ86" s="38" t="s">
        <v>1081</v>
      </c>
      <c r="AK86" s="39" t="s">
        <v>1081</v>
      </c>
      <c r="AL86" s="40" t="s">
        <v>141</v>
      </c>
      <c r="AM86" s="41" t="s">
        <v>485</v>
      </c>
      <c r="AN86" s="42" t="s">
        <v>1305</v>
      </c>
      <c r="AO86" s="43" t="s">
        <v>141</v>
      </c>
      <c r="AP86" s="44" t="s">
        <v>145</v>
      </c>
      <c r="AQ86" s="45" t="s">
        <v>141</v>
      </c>
      <c r="AR86" s="46" t="s">
        <v>141</v>
      </c>
      <c r="AS86" s="47" t="s">
        <v>141</v>
      </c>
      <c r="AT86" s="48" t="s">
        <v>141</v>
      </c>
      <c r="AU86" s="49" t="s">
        <v>141</v>
      </c>
      <c r="AV86" s="50" t="s">
        <v>141</v>
      </c>
      <c r="AW86" s="51" t="s">
        <v>141</v>
      </c>
      <c r="AX86" s="52" t="s">
        <v>141</v>
      </c>
      <c r="AY86" s="53" t="s">
        <v>141</v>
      </c>
      <c r="AZ86" s="54" t="s">
        <v>141</v>
      </c>
      <c r="BA86" s="55" t="s">
        <v>146</v>
      </c>
      <c r="BB86" s="56" t="s">
        <v>263</v>
      </c>
      <c r="BC86" s="57" t="s">
        <v>402</v>
      </c>
      <c r="BD86" s="58" t="s">
        <v>141</v>
      </c>
      <c r="BE86" s="59" t="s">
        <v>141</v>
      </c>
      <c r="BF86" s="60" t="s">
        <v>141</v>
      </c>
      <c r="BG86" s="61" t="s">
        <v>141</v>
      </c>
      <c r="BH86" s="62" t="s">
        <v>141</v>
      </c>
      <c r="BI86" s="63" t="s">
        <v>141</v>
      </c>
      <c r="BJ86" s="64" t="s">
        <v>141</v>
      </c>
      <c r="BK86" s="65" t="s">
        <v>141</v>
      </c>
      <c r="BL86" s="66" t="s">
        <v>141</v>
      </c>
      <c r="BM86" s="67" t="s">
        <v>141</v>
      </c>
      <c r="BN86" s="68" t="s">
        <v>141</v>
      </c>
      <c r="BO86" s="69" t="s">
        <v>141</v>
      </c>
      <c r="BP86" s="70" t="s">
        <v>141</v>
      </c>
      <c r="BQ86" s="71" t="s">
        <v>141</v>
      </c>
      <c r="BR86" s="72" t="s">
        <v>141</v>
      </c>
      <c r="BS86" s="73" t="s">
        <v>141</v>
      </c>
      <c r="BT86" s="74" t="s">
        <v>141</v>
      </c>
      <c r="BU86" s="75" t="s">
        <v>141</v>
      </c>
      <c r="BV86" s="76" t="s">
        <v>141</v>
      </c>
      <c r="BW86" s="77" t="s">
        <v>141</v>
      </c>
      <c r="BX86" s="78" t="s">
        <v>141</v>
      </c>
      <c r="BY86" s="79" t="s">
        <v>141</v>
      </c>
      <c r="BZ86" s="80" t="s">
        <v>141</v>
      </c>
      <c r="CA86" s="81" t="s">
        <v>141</v>
      </c>
      <c r="CB86" s="82" t="s">
        <v>141</v>
      </c>
      <c r="CC86" s="83" t="s">
        <v>141</v>
      </c>
      <c r="CD86" s="84" t="s">
        <v>141</v>
      </c>
      <c r="CE86" s="85" t="s">
        <v>141</v>
      </c>
      <c r="CF86" s="86" t="s">
        <v>141</v>
      </c>
      <c r="CG86" s="87" t="s">
        <v>141</v>
      </c>
      <c r="CH86" s="88" t="s">
        <v>141</v>
      </c>
      <c r="CI86" s="89" t="s">
        <v>141</v>
      </c>
      <c r="CJ86" s="90" t="s">
        <v>141</v>
      </c>
      <c r="CK86" s="91" t="s">
        <v>141</v>
      </c>
      <c r="CL86" s="92" t="s">
        <v>141</v>
      </c>
      <c r="CM86" s="93" t="s">
        <v>141</v>
      </c>
      <c r="CN86" s="94" t="s">
        <v>141</v>
      </c>
      <c r="CO86" s="95" t="s">
        <v>141</v>
      </c>
      <c r="CP86" s="96" t="s">
        <v>141</v>
      </c>
      <c r="CQ86" s="97" t="s">
        <v>141</v>
      </c>
      <c r="CR86" s="98" t="s">
        <v>141</v>
      </c>
      <c r="CS86" s="99" t="s">
        <v>141</v>
      </c>
      <c r="CT86" s="100" t="s">
        <v>141</v>
      </c>
      <c r="CU86" s="101" t="s">
        <v>141</v>
      </c>
      <c r="CV86" s="102" t="s">
        <v>141</v>
      </c>
      <c r="CW86" s="103" t="s">
        <v>141</v>
      </c>
      <c r="CX86" s="104" t="s">
        <v>141</v>
      </c>
      <c r="CY86" s="105" t="s">
        <v>150</v>
      </c>
      <c r="CZ86" s="106" t="s">
        <v>200</v>
      </c>
      <c r="DA86" s="107" t="s">
        <v>152</v>
      </c>
      <c r="DB86" s="108" t="s">
        <v>153</v>
      </c>
      <c r="DC86" s="109" t="s">
        <v>201</v>
      </c>
      <c r="DD86" s="110" t="s">
        <v>201</v>
      </c>
      <c r="DE86" s="111" t="s">
        <v>1312</v>
      </c>
      <c r="DF86" s="112" t="s">
        <v>157</v>
      </c>
      <c r="DG86" s="113">
        <v>2014</v>
      </c>
      <c r="DH86" s="114" t="s">
        <v>1313</v>
      </c>
      <c r="DI86" s="227" t="str">
        <f>HYPERLINK("https://my.pitchbook.com?c=53091-10T", "View company online")</f>
        <v>View company online</v>
      </c>
    </row>
    <row r="87" spans="1:113" x14ac:dyDescent="0.2">
      <c r="A87" s="115" t="s">
        <v>1314</v>
      </c>
      <c r="B87" s="116" t="s">
        <v>1315</v>
      </c>
      <c r="C87" s="117" t="s">
        <v>1316</v>
      </c>
      <c r="D87" s="118" t="s">
        <v>1317</v>
      </c>
      <c r="E87" s="119" t="s">
        <v>1318</v>
      </c>
      <c r="F87" s="120" t="s">
        <v>164</v>
      </c>
      <c r="G87" s="121" t="s">
        <v>165</v>
      </c>
      <c r="H87" s="122" t="s">
        <v>418</v>
      </c>
      <c r="I87" s="123" t="s">
        <v>1319</v>
      </c>
      <c r="J87" s="124" t="s">
        <v>1320</v>
      </c>
      <c r="K87" s="125" t="s">
        <v>1321</v>
      </c>
      <c r="L87" s="126" t="s">
        <v>402</v>
      </c>
      <c r="M87" s="127" t="s">
        <v>133</v>
      </c>
      <c r="N87" s="128" t="s">
        <v>231</v>
      </c>
      <c r="O87" s="129" t="s">
        <v>1322</v>
      </c>
      <c r="P87" s="130" t="s">
        <v>1323</v>
      </c>
      <c r="Q87" s="131" t="s">
        <v>1324</v>
      </c>
      <c r="R87" s="132" t="s">
        <v>141</v>
      </c>
      <c r="S87" s="133" t="s">
        <v>1325</v>
      </c>
      <c r="T87" s="134" t="s">
        <v>141</v>
      </c>
      <c r="U87" s="135">
        <v>1</v>
      </c>
      <c r="V87" s="136" t="s">
        <v>1314</v>
      </c>
      <c r="W87" s="137">
        <v>43391</v>
      </c>
      <c r="X87" s="138">
        <v>43433</v>
      </c>
      <c r="Y87" s="139">
        <v>2.77</v>
      </c>
      <c r="Z87" s="140" t="s">
        <v>177</v>
      </c>
      <c r="AA87" s="141" t="s">
        <v>141</v>
      </c>
      <c r="AB87" s="142" t="s">
        <v>141</v>
      </c>
      <c r="AC87" s="143" t="s">
        <v>141</v>
      </c>
      <c r="AD87" s="144" t="s">
        <v>141</v>
      </c>
      <c r="AE87" s="145">
        <v>2.77</v>
      </c>
      <c r="AF87" s="146" t="s">
        <v>1080</v>
      </c>
      <c r="AG87" s="147" t="s">
        <v>141</v>
      </c>
      <c r="AH87" s="148" t="s">
        <v>141</v>
      </c>
      <c r="AI87" s="149" t="s">
        <v>141</v>
      </c>
      <c r="AJ87" s="150" t="s">
        <v>1081</v>
      </c>
      <c r="AK87" s="151" t="s">
        <v>1081</v>
      </c>
      <c r="AL87" s="152" t="s">
        <v>141</v>
      </c>
      <c r="AM87" s="153" t="s">
        <v>485</v>
      </c>
      <c r="AN87" s="154" t="s">
        <v>1318</v>
      </c>
      <c r="AO87" s="155">
        <v>2.77</v>
      </c>
      <c r="AP87" s="156" t="s">
        <v>145</v>
      </c>
      <c r="AQ87" s="157" t="s">
        <v>141</v>
      </c>
      <c r="AR87" s="158" t="s">
        <v>141</v>
      </c>
      <c r="AS87" s="159" t="s">
        <v>141</v>
      </c>
      <c r="AT87" s="160" t="s">
        <v>141</v>
      </c>
      <c r="AU87" s="161" t="s">
        <v>141</v>
      </c>
      <c r="AV87" s="162" t="s">
        <v>141</v>
      </c>
      <c r="AW87" s="163" t="s">
        <v>141</v>
      </c>
      <c r="AX87" s="164" t="s">
        <v>141</v>
      </c>
      <c r="AY87" s="165" t="s">
        <v>141</v>
      </c>
      <c r="AZ87" s="166" t="s">
        <v>141</v>
      </c>
      <c r="BA87" s="167" t="s">
        <v>146</v>
      </c>
      <c r="BB87" s="168" t="s">
        <v>133</v>
      </c>
      <c r="BC87" s="169" t="s">
        <v>402</v>
      </c>
      <c r="BD87" s="170" t="s">
        <v>141</v>
      </c>
      <c r="BE87" s="171" t="s">
        <v>141</v>
      </c>
      <c r="BF87" s="172" t="s">
        <v>141</v>
      </c>
      <c r="BG87" s="173" t="s">
        <v>141</v>
      </c>
      <c r="BH87" s="174" t="s">
        <v>141</v>
      </c>
      <c r="BI87" s="175" t="s">
        <v>141</v>
      </c>
      <c r="BJ87" s="176" t="s">
        <v>141</v>
      </c>
      <c r="BK87" s="177" t="s">
        <v>141</v>
      </c>
      <c r="BL87" s="178" t="s">
        <v>141</v>
      </c>
      <c r="BM87" s="179" t="s">
        <v>141</v>
      </c>
      <c r="BN87" s="180" t="s">
        <v>141</v>
      </c>
      <c r="BO87" s="181" t="s">
        <v>141</v>
      </c>
      <c r="BP87" s="182" t="s">
        <v>141</v>
      </c>
      <c r="BQ87" s="183" t="s">
        <v>141</v>
      </c>
      <c r="BR87" s="184" t="s">
        <v>141</v>
      </c>
      <c r="BS87" s="185" t="s">
        <v>141</v>
      </c>
      <c r="BT87" s="186" t="s">
        <v>141</v>
      </c>
      <c r="BU87" s="187" t="s">
        <v>141</v>
      </c>
      <c r="BV87" s="188" t="s">
        <v>141</v>
      </c>
      <c r="BW87" s="189" t="s">
        <v>141</v>
      </c>
      <c r="BX87" s="190" t="s">
        <v>141</v>
      </c>
      <c r="BY87" s="191" t="s">
        <v>141</v>
      </c>
      <c r="BZ87" s="192" t="s">
        <v>141</v>
      </c>
      <c r="CA87" s="193" t="s">
        <v>141</v>
      </c>
      <c r="CB87" s="194" t="s">
        <v>141</v>
      </c>
      <c r="CC87" s="195" t="s">
        <v>141</v>
      </c>
      <c r="CD87" s="196" t="s">
        <v>141</v>
      </c>
      <c r="CE87" s="197" t="s">
        <v>141</v>
      </c>
      <c r="CF87" s="198" t="s">
        <v>141</v>
      </c>
      <c r="CG87" s="199" t="s">
        <v>141</v>
      </c>
      <c r="CH87" s="200" t="s">
        <v>141</v>
      </c>
      <c r="CI87" s="201" t="s">
        <v>141</v>
      </c>
      <c r="CJ87" s="202" t="s">
        <v>141</v>
      </c>
      <c r="CK87" s="203" t="s">
        <v>141</v>
      </c>
      <c r="CL87" s="204" t="s">
        <v>141</v>
      </c>
      <c r="CM87" s="205" t="s">
        <v>141</v>
      </c>
      <c r="CN87" s="206" t="s">
        <v>141</v>
      </c>
      <c r="CO87" s="207" t="s">
        <v>141</v>
      </c>
      <c r="CP87" s="208" t="s">
        <v>141</v>
      </c>
      <c r="CQ87" s="209" t="s">
        <v>141</v>
      </c>
      <c r="CR87" s="210" t="s">
        <v>141</v>
      </c>
      <c r="CS87" s="211" t="s">
        <v>141</v>
      </c>
      <c r="CT87" s="212" t="s">
        <v>141</v>
      </c>
      <c r="CU87" s="213" t="s">
        <v>141</v>
      </c>
      <c r="CV87" s="214" t="s">
        <v>141</v>
      </c>
      <c r="CW87" s="215" t="s">
        <v>141</v>
      </c>
      <c r="CX87" s="216" t="s">
        <v>141</v>
      </c>
      <c r="CY87" s="217" t="s">
        <v>150</v>
      </c>
      <c r="CZ87" s="218" t="s">
        <v>1326</v>
      </c>
      <c r="DA87" s="219" t="s">
        <v>152</v>
      </c>
      <c r="DB87" s="220" t="s">
        <v>153</v>
      </c>
      <c r="DC87" s="221" t="s">
        <v>1327</v>
      </c>
      <c r="DD87" s="222" t="s">
        <v>182</v>
      </c>
      <c r="DE87" s="223" t="s">
        <v>1328</v>
      </c>
      <c r="DF87" s="224" t="s">
        <v>157</v>
      </c>
      <c r="DG87" s="225">
        <v>2016</v>
      </c>
      <c r="DH87" s="226" t="s">
        <v>1329</v>
      </c>
      <c r="DI87" s="228" t="str">
        <f>HYPERLINK("https://my.pitchbook.com?c=113478-67T", "View company online")</f>
        <v>View company online</v>
      </c>
    </row>
    <row r="88" spans="1:113" x14ac:dyDescent="0.2">
      <c r="A88" s="3" t="s">
        <v>1330</v>
      </c>
      <c r="B88" s="4" t="s">
        <v>1331</v>
      </c>
      <c r="C88" s="5" t="s">
        <v>1332</v>
      </c>
      <c r="D88" s="6" t="s">
        <v>1333</v>
      </c>
      <c r="E88" s="7" t="s">
        <v>1334</v>
      </c>
      <c r="F88" s="8" t="s">
        <v>126</v>
      </c>
      <c r="G88" s="9" t="s">
        <v>456</v>
      </c>
      <c r="H88" s="10" t="s">
        <v>457</v>
      </c>
      <c r="I88" s="11" t="s">
        <v>1335</v>
      </c>
      <c r="J88" s="12" t="s">
        <v>168</v>
      </c>
      <c r="K88" s="13" t="s">
        <v>1336</v>
      </c>
      <c r="L88" s="14" t="s">
        <v>132</v>
      </c>
      <c r="M88" s="15" t="s">
        <v>133</v>
      </c>
      <c r="N88" s="16" t="s">
        <v>170</v>
      </c>
      <c r="O88" s="17" t="s">
        <v>1337</v>
      </c>
      <c r="P88" s="18" t="s">
        <v>1338</v>
      </c>
      <c r="Q88" s="19" t="s">
        <v>141</v>
      </c>
      <c r="R88" s="20" t="s">
        <v>1339</v>
      </c>
      <c r="S88" s="21" t="s">
        <v>1340</v>
      </c>
      <c r="T88" s="22" t="s">
        <v>141</v>
      </c>
      <c r="U88" s="23">
        <v>2</v>
      </c>
      <c r="V88" s="24" t="s">
        <v>1330</v>
      </c>
      <c r="W88" s="25" t="s">
        <v>141</v>
      </c>
      <c r="X88" s="26">
        <v>42370</v>
      </c>
      <c r="Y88" s="27" t="s">
        <v>141</v>
      </c>
      <c r="Z88" s="28" t="s">
        <v>141</v>
      </c>
      <c r="AA88" s="29" t="s">
        <v>141</v>
      </c>
      <c r="AB88" s="30" t="s">
        <v>141</v>
      </c>
      <c r="AC88" s="31" t="s">
        <v>141</v>
      </c>
      <c r="AD88" s="32" t="s">
        <v>141</v>
      </c>
      <c r="AE88" s="33" t="s">
        <v>141</v>
      </c>
      <c r="AF88" s="34" t="s">
        <v>1080</v>
      </c>
      <c r="AG88" s="35" t="s">
        <v>141</v>
      </c>
      <c r="AH88" s="36" t="s">
        <v>141</v>
      </c>
      <c r="AI88" s="37" t="s">
        <v>141</v>
      </c>
      <c r="AJ88" s="38" t="s">
        <v>1081</v>
      </c>
      <c r="AK88" s="39" t="s">
        <v>1081</v>
      </c>
      <c r="AL88" s="40" t="s">
        <v>141</v>
      </c>
      <c r="AM88" s="41" t="s">
        <v>485</v>
      </c>
      <c r="AN88" s="42" t="s">
        <v>1341</v>
      </c>
      <c r="AO88" s="43" t="s">
        <v>141</v>
      </c>
      <c r="AP88" s="44" t="s">
        <v>145</v>
      </c>
      <c r="AQ88" s="45" t="s">
        <v>141</v>
      </c>
      <c r="AR88" s="46" t="s">
        <v>141</v>
      </c>
      <c r="AS88" s="47" t="s">
        <v>141</v>
      </c>
      <c r="AT88" s="48" t="s">
        <v>141</v>
      </c>
      <c r="AU88" s="49" t="s">
        <v>141</v>
      </c>
      <c r="AV88" s="50" t="s">
        <v>141</v>
      </c>
      <c r="AW88" s="51" t="s">
        <v>141</v>
      </c>
      <c r="AX88" s="52" t="s">
        <v>141</v>
      </c>
      <c r="AY88" s="53" t="s">
        <v>141</v>
      </c>
      <c r="AZ88" s="54" t="s">
        <v>141</v>
      </c>
      <c r="BA88" s="55" t="s">
        <v>146</v>
      </c>
      <c r="BB88" s="56" t="s">
        <v>133</v>
      </c>
      <c r="BC88" s="57" t="s">
        <v>402</v>
      </c>
      <c r="BD88" s="58" t="s">
        <v>141</v>
      </c>
      <c r="BE88" s="59" t="s">
        <v>141</v>
      </c>
      <c r="BF88" s="60" t="s">
        <v>141</v>
      </c>
      <c r="BG88" s="61" t="s">
        <v>141</v>
      </c>
      <c r="BH88" s="62" t="s">
        <v>141</v>
      </c>
      <c r="BI88" s="63" t="s">
        <v>141</v>
      </c>
      <c r="BJ88" s="64" t="s">
        <v>141</v>
      </c>
      <c r="BK88" s="65" t="s">
        <v>141</v>
      </c>
      <c r="BL88" s="66" t="s">
        <v>141</v>
      </c>
      <c r="BM88" s="67" t="s">
        <v>141</v>
      </c>
      <c r="BN88" s="68" t="s">
        <v>141</v>
      </c>
      <c r="BO88" s="69" t="s">
        <v>141</v>
      </c>
      <c r="BP88" s="70" t="s">
        <v>141</v>
      </c>
      <c r="BQ88" s="71" t="s">
        <v>141</v>
      </c>
      <c r="BR88" s="72" t="s">
        <v>141</v>
      </c>
      <c r="BS88" s="73" t="s">
        <v>141</v>
      </c>
      <c r="BT88" s="74" t="s">
        <v>141</v>
      </c>
      <c r="BU88" s="75" t="s">
        <v>141</v>
      </c>
      <c r="BV88" s="76" t="s">
        <v>141</v>
      </c>
      <c r="BW88" s="77" t="s">
        <v>141</v>
      </c>
      <c r="BX88" s="78" t="s">
        <v>141</v>
      </c>
      <c r="BY88" s="79" t="s">
        <v>141</v>
      </c>
      <c r="BZ88" s="80" t="s">
        <v>141</v>
      </c>
      <c r="CA88" s="81" t="s">
        <v>141</v>
      </c>
      <c r="CB88" s="82" t="s">
        <v>141</v>
      </c>
      <c r="CC88" s="83" t="s">
        <v>141</v>
      </c>
      <c r="CD88" s="84" t="s">
        <v>141</v>
      </c>
      <c r="CE88" s="85" t="s">
        <v>141</v>
      </c>
      <c r="CF88" s="86" t="s">
        <v>141</v>
      </c>
      <c r="CG88" s="87" t="s">
        <v>141</v>
      </c>
      <c r="CH88" s="88" t="s">
        <v>141</v>
      </c>
      <c r="CI88" s="89" t="s">
        <v>141</v>
      </c>
      <c r="CJ88" s="90" t="s">
        <v>141</v>
      </c>
      <c r="CK88" s="91" t="s">
        <v>141</v>
      </c>
      <c r="CL88" s="92" t="s">
        <v>141</v>
      </c>
      <c r="CM88" s="93" t="s">
        <v>141</v>
      </c>
      <c r="CN88" s="94" t="s">
        <v>141</v>
      </c>
      <c r="CO88" s="95" t="s">
        <v>141</v>
      </c>
      <c r="CP88" s="96" t="s">
        <v>141</v>
      </c>
      <c r="CQ88" s="97" t="s">
        <v>141</v>
      </c>
      <c r="CR88" s="98" t="s">
        <v>141</v>
      </c>
      <c r="CS88" s="99" t="s">
        <v>141</v>
      </c>
      <c r="CT88" s="100" t="s">
        <v>141</v>
      </c>
      <c r="CU88" s="101" t="s">
        <v>141</v>
      </c>
      <c r="CV88" s="102" t="s">
        <v>141</v>
      </c>
      <c r="CW88" s="103" t="s">
        <v>141</v>
      </c>
      <c r="CX88" s="104">
        <v>36</v>
      </c>
      <c r="CY88" s="105" t="s">
        <v>150</v>
      </c>
      <c r="CZ88" s="106" t="s">
        <v>1342</v>
      </c>
      <c r="DA88" s="107" t="s">
        <v>152</v>
      </c>
      <c r="DB88" s="108" t="s">
        <v>153</v>
      </c>
      <c r="DC88" s="109" t="s">
        <v>1343</v>
      </c>
      <c r="DD88" s="110" t="s">
        <v>182</v>
      </c>
      <c r="DE88" s="111" t="s">
        <v>1344</v>
      </c>
      <c r="DF88" s="112" t="s">
        <v>157</v>
      </c>
      <c r="DG88" s="113">
        <v>2014</v>
      </c>
      <c r="DH88" s="114" t="s">
        <v>1345</v>
      </c>
      <c r="DI88" s="227" t="str">
        <f>HYPERLINK("https://my.pitchbook.com?c=116414-65T", "View company online")</f>
        <v>View company online</v>
      </c>
    </row>
    <row r="89" spans="1:113" x14ac:dyDescent="0.2">
      <c r="A89" s="115" t="s">
        <v>1346</v>
      </c>
      <c r="B89" s="116" t="s">
        <v>1347</v>
      </c>
      <c r="C89" s="117" t="s">
        <v>1348</v>
      </c>
      <c r="D89" s="118" t="s">
        <v>1349</v>
      </c>
      <c r="E89" s="119" t="s">
        <v>1350</v>
      </c>
      <c r="F89" s="120" t="s">
        <v>164</v>
      </c>
      <c r="G89" s="121" t="s">
        <v>165</v>
      </c>
      <c r="H89" s="122" t="s">
        <v>418</v>
      </c>
      <c r="I89" s="123" t="s">
        <v>1194</v>
      </c>
      <c r="J89" s="124" t="s">
        <v>1351</v>
      </c>
      <c r="K89" s="125" t="s">
        <v>1352</v>
      </c>
      <c r="L89" s="126" t="s">
        <v>402</v>
      </c>
      <c r="M89" s="127" t="s">
        <v>1353</v>
      </c>
      <c r="N89" s="128" t="s">
        <v>231</v>
      </c>
      <c r="O89" s="129" t="s">
        <v>1354</v>
      </c>
      <c r="P89" s="130" t="s">
        <v>1355</v>
      </c>
      <c r="Q89" s="131" t="s">
        <v>1356</v>
      </c>
      <c r="R89" s="132" t="s">
        <v>1357</v>
      </c>
      <c r="S89" s="133" t="s">
        <v>1358</v>
      </c>
      <c r="T89" s="134" t="s">
        <v>141</v>
      </c>
      <c r="U89" s="135">
        <v>1</v>
      </c>
      <c r="V89" s="136" t="s">
        <v>1346</v>
      </c>
      <c r="W89" s="137" t="s">
        <v>141</v>
      </c>
      <c r="X89" s="138">
        <v>43784</v>
      </c>
      <c r="Y89" s="139">
        <v>0.02</v>
      </c>
      <c r="Z89" s="140" t="s">
        <v>177</v>
      </c>
      <c r="AA89" s="141" t="s">
        <v>141</v>
      </c>
      <c r="AB89" s="142" t="s">
        <v>141</v>
      </c>
      <c r="AC89" s="143" t="s">
        <v>141</v>
      </c>
      <c r="AD89" s="144" t="s">
        <v>141</v>
      </c>
      <c r="AE89" s="145" t="s">
        <v>141</v>
      </c>
      <c r="AF89" s="146" t="s">
        <v>1080</v>
      </c>
      <c r="AG89" s="147" t="s">
        <v>141</v>
      </c>
      <c r="AH89" s="148" t="s">
        <v>141</v>
      </c>
      <c r="AI89" s="149" t="s">
        <v>141</v>
      </c>
      <c r="AJ89" s="150" t="s">
        <v>1081</v>
      </c>
      <c r="AK89" s="151" t="s">
        <v>1081</v>
      </c>
      <c r="AL89" s="152" t="s">
        <v>141</v>
      </c>
      <c r="AM89" s="153" t="s">
        <v>485</v>
      </c>
      <c r="AN89" s="154" t="s">
        <v>1350</v>
      </c>
      <c r="AO89" s="155" t="s">
        <v>141</v>
      </c>
      <c r="AP89" s="156" t="s">
        <v>145</v>
      </c>
      <c r="AQ89" s="157" t="s">
        <v>141</v>
      </c>
      <c r="AR89" s="158" t="s">
        <v>141</v>
      </c>
      <c r="AS89" s="159" t="s">
        <v>141</v>
      </c>
      <c r="AT89" s="160" t="s">
        <v>141</v>
      </c>
      <c r="AU89" s="161" t="s">
        <v>141</v>
      </c>
      <c r="AV89" s="162" t="s">
        <v>141</v>
      </c>
      <c r="AW89" s="163" t="s">
        <v>141</v>
      </c>
      <c r="AX89" s="164" t="s">
        <v>141</v>
      </c>
      <c r="AY89" s="165" t="s">
        <v>141</v>
      </c>
      <c r="AZ89" s="166" t="s">
        <v>141</v>
      </c>
      <c r="BA89" s="167" t="s">
        <v>146</v>
      </c>
      <c r="BB89" s="168" t="s">
        <v>1353</v>
      </c>
      <c r="BC89" s="169" t="s">
        <v>402</v>
      </c>
      <c r="BD89" s="170" t="s">
        <v>141</v>
      </c>
      <c r="BE89" s="171">
        <v>2</v>
      </c>
      <c r="BF89" s="172" t="s">
        <v>1359</v>
      </c>
      <c r="BG89" s="173">
        <v>2</v>
      </c>
      <c r="BH89" s="174" t="s">
        <v>141</v>
      </c>
      <c r="BI89" s="175" t="s">
        <v>141</v>
      </c>
      <c r="BJ89" s="176" t="s">
        <v>141</v>
      </c>
      <c r="BK89" s="177" t="s">
        <v>141</v>
      </c>
      <c r="BL89" s="178" t="s">
        <v>1360</v>
      </c>
      <c r="BM89" s="179" t="s">
        <v>141</v>
      </c>
      <c r="BN89" s="180" t="s">
        <v>141</v>
      </c>
      <c r="BO89" s="181" t="s">
        <v>141</v>
      </c>
      <c r="BP89" s="182" t="s">
        <v>141</v>
      </c>
      <c r="BQ89" s="183" t="s">
        <v>141</v>
      </c>
      <c r="BR89" s="184" t="s">
        <v>1361</v>
      </c>
      <c r="BS89" s="185" t="s">
        <v>1361</v>
      </c>
      <c r="BT89" s="186" t="s">
        <v>141</v>
      </c>
      <c r="BU89" s="187" t="s">
        <v>141</v>
      </c>
      <c r="BV89" s="188" t="s">
        <v>141</v>
      </c>
      <c r="BW89" s="189" t="s">
        <v>141</v>
      </c>
      <c r="BX89" s="190" t="s">
        <v>141</v>
      </c>
      <c r="BY89" s="191" t="s">
        <v>141</v>
      </c>
      <c r="BZ89" s="192" t="s">
        <v>141</v>
      </c>
      <c r="CA89" s="193" t="s">
        <v>141</v>
      </c>
      <c r="CB89" s="194" t="s">
        <v>141</v>
      </c>
      <c r="CC89" s="195" t="s">
        <v>141</v>
      </c>
      <c r="CD89" s="196" t="s">
        <v>141</v>
      </c>
      <c r="CE89" s="197" t="s">
        <v>141</v>
      </c>
      <c r="CF89" s="198" t="s">
        <v>141</v>
      </c>
      <c r="CG89" s="199" t="s">
        <v>141</v>
      </c>
      <c r="CH89" s="200" t="s">
        <v>141</v>
      </c>
      <c r="CI89" s="201" t="s">
        <v>141</v>
      </c>
      <c r="CJ89" s="202" t="s">
        <v>141</v>
      </c>
      <c r="CK89" s="203" t="s">
        <v>141</v>
      </c>
      <c r="CL89" s="204" t="s">
        <v>141</v>
      </c>
      <c r="CM89" s="205" t="s">
        <v>141</v>
      </c>
      <c r="CN89" s="206" t="s">
        <v>141</v>
      </c>
      <c r="CO89" s="207" t="s">
        <v>141</v>
      </c>
      <c r="CP89" s="208" t="s">
        <v>141</v>
      </c>
      <c r="CQ89" s="209" t="s">
        <v>141</v>
      </c>
      <c r="CR89" s="210" t="s">
        <v>141</v>
      </c>
      <c r="CS89" s="211" t="s">
        <v>141</v>
      </c>
      <c r="CT89" s="212" t="s">
        <v>141</v>
      </c>
      <c r="CU89" s="213" t="s">
        <v>141</v>
      </c>
      <c r="CV89" s="214" t="s">
        <v>141</v>
      </c>
      <c r="CW89" s="215" t="s">
        <v>141</v>
      </c>
      <c r="CX89" s="216" t="s">
        <v>141</v>
      </c>
      <c r="CY89" s="217" t="s">
        <v>150</v>
      </c>
      <c r="CZ89" s="218" t="s">
        <v>1362</v>
      </c>
      <c r="DA89" s="219" t="s">
        <v>152</v>
      </c>
      <c r="DB89" s="220" t="s">
        <v>153</v>
      </c>
      <c r="DC89" s="221" t="s">
        <v>1363</v>
      </c>
      <c r="DD89" s="222" t="s">
        <v>182</v>
      </c>
      <c r="DE89" s="223" t="s">
        <v>1364</v>
      </c>
      <c r="DF89" s="224" t="s">
        <v>157</v>
      </c>
      <c r="DG89" s="225">
        <v>2019</v>
      </c>
      <c r="DH89" s="226" t="s">
        <v>1365</v>
      </c>
      <c r="DI89" s="228" t="str">
        <f>HYPERLINK("https://my.pitchbook.com?c=130931-47T", "View company online")</f>
        <v>View company online</v>
      </c>
    </row>
    <row r="90" spans="1:113" x14ac:dyDescent="0.2">
      <c r="A90" s="3" t="s">
        <v>1366</v>
      </c>
      <c r="B90" s="4" t="s">
        <v>1367</v>
      </c>
      <c r="C90" s="5" t="s">
        <v>1368</v>
      </c>
      <c r="D90" s="6" t="s">
        <v>1369</v>
      </c>
      <c r="E90" s="7" t="s">
        <v>1370</v>
      </c>
      <c r="F90" s="8" t="s">
        <v>164</v>
      </c>
      <c r="G90" s="9" t="s">
        <v>165</v>
      </c>
      <c r="H90" s="10" t="s">
        <v>190</v>
      </c>
      <c r="I90" s="11" t="s">
        <v>1371</v>
      </c>
      <c r="J90" s="12" t="s">
        <v>1372</v>
      </c>
      <c r="K90" s="13" t="s">
        <v>1373</v>
      </c>
      <c r="L90" s="14" t="s">
        <v>402</v>
      </c>
      <c r="M90" s="15" t="s">
        <v>263</v>
      </c>
      <c r="N90" s="16" t="s">
        <v>231</v>
      </c>
      <c r="O90" s="17" t="s">
        <v>1374</v>
      </c>
      <c r="P90" s="18" t="s">
        <v>1375</v>
      </c>
      <c r="Q90" s="19" t="s">
        <v>1376</v>
      </c>
      <c r="R90" s="20" t="s">
        <v>1377</v>
      </c>
      <c r="S90" s="21" t="s">
        <v>1378</v>
      </c>
      <c r="T90" s="22" t="s">
        <v>1379</v>
      </c>
      <c r="U90" s="23">
        <v>1</v>
      </c>
      <c r="V90" s="24" t="s">
        <v>1366</v>
      </c>
      <c r="W90" s="25">
        <v>42677</v>
      </c>
      <c r="X90" s="26">
        <v>42713</v>
      </c>
      <c r="Y90" s="27">
        <v>0.1</v>
      </c>
      <c r="Z90" s="28" t="s">
        <v>177</v>
      </c>
      <c r="AA90" s="29" t="s">
        <v>141</v>
      </c>
      <c r="AB90" s="30" t="s">
        <v>141</v>
      </c>
      <c r="AC90" s="31" t="s">
        <v>141</v>
      </c>
      <c r="AD90" s="32" t="s">
        <v>141</v>
      </c>
      <c r="AE90" s="33">
        <v>0.1</v>
      </c>
      <c r="AF90" s="34" t="s">
        <v>1080</v>
      </c>
      <c r="AG90" s="35" t="s">
        <v>141</v>
      </c>
      <c r="AH90" s="36" t="s">
        <v>141</v>
      </c>
      <c r="AI90" s="37" t="s">
        <v>141</v>
      </c>
      <c r="AJ90" s="38" t="s">
        <v>1081</v>
      </c>
      <c r="AK90" s="39" t="s">
        <v>1081</v>
      </c>
      <c r="AL90" s="40" t="s">
        <v>141</v>
      </c>
      <c r="AM90" s="41" t="s">
        <v>485</v>
      </c>
      <c r="AN90" s="42" t="s">
        <v>1370</v>
      </c>
      <c r="AO90" s="43">
        <v>0.1</v>
      </c>
      <c r="AP90" s="44" t="s">
        <v>145</v>
      </c>
      <c r="AQ90" s="45" t="s">
        <v>141</v>
      </c>
      <c r="AR90" s="46" t="s">
        <v>141</v>
      </c>
      <c r="AS90" s="47" t="s">
        <v>141</v>
      </c>
      <c r="AT90" s="48" t="s">
        <v>141</v>
      </c>
      <c r="AU90" s="49" t="s">
        <v>141</v>
      </c>
      <c r="AV90" s="50" t="s">
        <v>141</v>
      </c>
      <c r="AW90" s="51" t="s">
        <v>141</v>
      </c>
      <c r="AX90" s="52" t="s">
        <v>141</v>
      </c>
      <c r="AY90" s="53" t="s">
        <v>141</v>
      </c>
      <c r="AZ90" s="54" t="s">
        <v>141</v>
      </c>
      <c r="BA90" s="55" t="s">
        <v>146</v>
      </c>
      <c r="BB90" s="56" t="s">
        <v>263</v>
      </c>
      <c r="BC90" s="57" t="s">
        <v>402</v>
      </c>
      <c r="BD90" s="58">
        <v>2</v>
      </c>
      <c r="BE90" s="59" t="s">
        <v>141</v>
      </c>
      <c r="BF90" s="60" t="s">
        <v>141</v>
      </c>
      <c r="BG90" s="61" t="s">
        <v>141</v>
      </c>
      <c r="BH90" s="62" t="s">
        <v>141</v>
      </c>
      <c r="BI90" s="63" t="s">
        <v>141</v>
      </c>
      <c r="BJ90" s="64" t="s">
        <v>141</v>
      </c>
      <c r="BK90" s="65" t="s">
        <v>141</v>
      </c>
      <c r="BL90" s="66" t="s">
        <v>141</v>
      </c>
      <c r="BM90" s="67" t="s">
        <v>141</v>
      </c>
      <c r="BN90" s="68" t="s">
        <v>141</v>
      </c>
      <c r="BO90" s="69" t="s">
        <v>141</v>
      </c>
      <c r="BP90" s="70" t="s">
        <v>141</v>
      </c>
      <c r="BQ90" s="71" t="s">
        <v>141</v>
      </c>
      <c r="BR90" s="72" t="s">
        <v>141</v>
      </c>
      <c r="BS90" s="73" t="s">
        <v>141</v>
      </c>
      <c r="BT90" s="74" t="s">
        <v>141</v>
      </c>
      <c r="BU90" s="75" t="s">
        <v>141</v>
      </c>
      <c r="BV90" s="76" t="s">
        <v>141</v>
      </c>
      <c r="BW90" s="77" t="s">
        <v>141</v>
      </c>
      <c r="BX90" s="78" t="s">
        <v>141</v>
      </c>
      <c r="BY90" s="79" t="s">
        <v>141</v>
      </c>
      <c r="BZ90" s="80" t="s">
        <v>141</v>
      </c>
      <c r="CA90" s="81" t="s">
        <v>141</v>
      </c>
      <c r="CB90" s="82" t="s">
        <v>141</v>
      </c>
      <c r="CC90" s="83" t="s">
        <v>141</v>
      </c>
      <c r="CD90" s="84" t="s">
        <v>141</v>
      </c>
      <c r="CE90" s="85" t="s">
        <v>141</v>
      </c>
      <c r="CF90" s="86" t="s">
        <v>141</v>
      </c>
      <c r="CG90" s="87" t="s">
        <v>141</v>
      </c>
      <c r="CH90" s="88" t="s">
        <v>141</v>
      </c>
      <c r="CI90" s="89" t="s">
        <v>141</v>
      </c>
      <c r="CJ90" s="90" t="s">
        <v>141</v>
      </c>
      <c r="CK90" s="91" t="s">
        <v>141</v>
      </c>
      <c r="CL90" s="92" t="s">
        <v>141</v>
      </c>
      <c r="CM90" s="93" t="s">
        <v>141</v>
      </c>
      <c r="CN90" s="94" t="s">
        <v>141</v>
      </c>
      <c r="CO90" s="95" t="s">
        <v>141</v>
      </c>
      <c r="CP90" s="96" t="s">
        <v>141</v>
      </c>
      <c r="CQ90" s="97" t="s">
        <v>141</v>
      </c>
      <c r="CR90" s="98" t="s">
        <v>141</v>
      </c>
      <c r="CS90" s="99" t="s">
        <v>141</v>
      </c>
      <c r="CT90" s="100" t="s">
        <v>141</v>
      </c>
      <c r="CU90" s="101" t="s">
        <v>141</v>
      </c>
      <c r="CV90" s="102" t="s">
        <v>141</v>
      </c>
      <c r="CW90" s="103" t="s">
        <v>141</v>
      </c>
      <c r="CX90" s="104">
        <v>2</v>
      </c>
      <c r="CY90" s="105" t="s">
        <v>150</v>
      </c>
      <c r="CZ90" s="106" t="s">
        <v>180</v>
      </c>
      <c r="DA90" s="107" t="s">
        <v>152</v>
      </c>
      <c r="DB90" s="108" t="s">
        <v>153</v>
      </c>
      <c r="DC90" s="109" t="s">
        <v>181</v>
      </c>
      <c r="DD90" s="110" t="s">
        <v>182</v>
      </c>
      <c r="DE90" s="111" t="s">
        <v>1380</v>
      </c>
      <c r="DF90" s="112" t="s">
        <v>157</v>
      </c>
      <c r="DG90" s="113">
        <v>2016</v>
      </c>
      <c r="DH90" s="114" t="s">
        <v>1381</v>
      </c>
      <c r="DI90" s="227" t="str">
        <f>HYPERLINK("https://my.pitchbook.com?c=79670-89T", "View company online")</f>
        <v>View company online</v>
      </c>
    </row>
    <row r="91" spans="1:113" x14ac:dyDescent="0.2">
      <c r="A91" s="115" t="s">
        <v>1382</v>
      </c>
      <c r="B91" s="116" t="s">
        <v>1383</v>
      </c>
      <c r="C91" s="117" t="s">
        <v>1384</v>
      </c>
      <c r="D91" s="118" t="s">
        <v>1385</v>
      </c>
      <c r="E91" s="119" t="s">
        <v>1386</v>
      </c>
      <c r="F91" s="120" t="s">
        <v>126</v>
      </c>
      <c r="G91" s="121" t="s">
        <v>127</v>
      </c>
      <c r="H91" s="122" t="s">
        <v>128</v>
      </c>
      <c r="I91" s="123" t="s">
        <v>129</v>
      </c>
      <c r="J91" s="124" t="s">
        <v>130</v>
      </c>
      <c r="K91" s="125" t="s">
        <v>1387</v>
      </c>
      <c r="L91" s="126" t="s">
        <v>132</v>
      </c>
      <c r="M91" s="127" t="s">
        <v>133</v>
      </c>
      <c r="N91" s="128" t="s">
        <v>134</v>
      </c>
      <c r="O91" s="129" t="s">
        <v>1388</v>
      </c>
      <c r="P91" s="130" t="s">
        <v>1389</v>
      </c>
      <c r="Q91" s="131" t="s">
        <v>1390</v>
      </c>
      <c r="R91" s="132" t="s">
        <v>1391</v>
      </c>
      <c r="S91" s="133" t="s">
        <v>1392</v>
      </c>
      <c r="T91" s="134" t="s">
        <v>1393</v>
      </c>
      <c r="U91" s="135">
        <v>1</v>
      </c>
      <c r="V91" s="136" t="s">
        <v>1382</v>
      </c>
      <c r="W91" s="137" t="s">
        <v>141</v>
      </c>
      <c r="X91" s="138" t="s">
        <v>141</v>
      </c>
      <c r="Y91" s="139" t="s">
        <v>141</v>
      </c>
      <c r="Z91" s="140" t="s">
        <v>141</v>
      </c>
      <c r="AA91" s="141" t="s">
        <v>141</v>
      </c>
      <c r="AB91" s="142" t="s">
        <v>141</v>
      </c>
      <c r="AC91" s="143" t="s">
        <v>141</v>
      </c>
      <c r="AD91" s="144" t="s">
        <v>141</v>
      </c>
      <c r="AE91" s="145" t="s">
        <v>141</v>
      </c>
      <c r="AF91" s="146" t="s">
        <v>1080</v>
      </c>
      <c r="AG91" s="147" t="s">
        <v>141</v>
      </c>
      <c r="AH91" s="148" t="s">
        <v>141</v>
      </c>
      <c r="AI91" s="149" t="s">
        <v>141</v>
      </c>
      <c r="AJ91" s="150" t="s">
        <v>1081</v>
      </c>
      <c r="AK91" s="151" t="s">
        <v>1081</v>
      </c>
      <c r="AL91" s="152" t="s">
        <v>141</v>
      </c>
      <c r="AM91" s="153" t="s">
        <v>485</v>
      </c>
      <c r="AN91" s="154" t="s">
        <v>1394</v>
      </c>
      <c r="AO91" s="155" t="s">
        <v>141</v>
      </c>
      <c r="AP91" s="156" t="s">
        <v>145</v>
      </c>
      <c r="AQ91" s="157" t="s">
        <v>141</v>
      </c>
      <c r="AR91" s="158" t="s">
        <v>141</v>
      </c>
      <c r="AS91" s="159" t="s">
        <v>141</v>
      </c>
      <c r="AT91" s="160" t="s">
        <v>141</v>
      </c>
      <c r="AU91" s="161" t="s">
        <v>141</v>
      </c>
      <c r="AV91" s="162" t="s">
        <v>141</v>
      </c>
      <c r="AW91" s="163" t="s">
        <v>141</v>
      </c>
      <c r="AX91" s="164" t="s">
        <v>141</v>
      </c>
      <c r="AY91" s="165" t="s">
        <v>141</v>
      </c>
      <c r="AZ91" s="166" t="s">
        <v>141</v>
      </c>
      <c r="BA91" s="167" t="s">
        <v>146</v>
      </c>
      <c r="BB91" s="168" t="s">
        <v>133</v>
      </c>
      <c r="BC91" s="169" t="s">
        <v>402</v>
      </c>
      <c r="BD91" s="170" t="s">
        <v>141</v>
      </c>
      <c r="BE91" s="171" t="s">
        <v>141</v>
      </c>
      <c r="BF91" s="172" t="s">
        <v>141</v>
      </c>
      <c r="BG91" s="173" t="s">
        <v>141</v>
      </c>
      <c r="BH91" s="174" t="s">
        <v>141</v>
      </c>
      <c r="BI91" s="175" t="s">
        <v>141</v>
      </c>
      <c r="BJ91" s="176" t="s">
        <v>141</v>
      </c>
      <c r="BK91" s="177" t="s">
        <v>141</v>
      </c>
      <c r="BL91" s="178" t="s">
        <v>141</v>
      </c>
      <c r="BM91" s="179" t="s">
        <v>141</v>
      </c>
      <c r="BN91" s="180" t="s">
        <v>141</v>
      </c>
      <c r="BO91" s="181" t="s">
        <v>141</v>
      </c>
      <c r="BP91" s="182" t="s">
        <v>141</v>
      </c>
      <c r="BQ91" s="183" t="s">
        <v>141</v>
      </c>
      <c r="BR91" s="184" t="s">
        <v>141</v>
      </c>
      <c r="BS91" s="185" t="s">
        <v>141</v>
      </c>
      <c r="BT91" s="186" t="s">
        <v>141</v>
      </c>
      <c r="BU91" s="187" t="s">
        <v>141</v>
      </c>
      <c r="BV91" s="188" t="s">
        <v>141</v>
      </c>
      <c r="BW91" s="189" t="s">
        <v>141</v>
      </c>
      <c r="BX91" s="190" t="s">
        <v>141</v>
      </c>
      <c r="BY91" s="191" t="s">
        <v>141</v>
      </c>
      <c r="BZ91" s="192" t="s">
        <v>141</v>
      </c>
      <c r="CA91" s="193" t="s">
        <v>141</v>
      </c>
      <c r="CB91" s="194" t="s">
        <v>141</v>
      </c>
      <c r="CC91" s="195" t="s">
        <v>141</v>
      </c>
      <c r="CD91" s="196" t="s">
        <v>141</v>
      </c>
      <c r="CE91" s="197" t="s">
        <v>141</v>
      </c>
      <c r="CF91" s="198" t="s">
        <v>141</v>
      </c>
      <c r="CG91" s="199" t="s">
        <v>141</v>
      </c>
      <c r="CH91" s="200" t="s">
        <v>141</v>
      </c>
      <c r="CI91" s="201" t="s">
        <v>141</v>
      </c>
      <c r="CJ91" s="202" t="s">
        <v>141</v>
      </c>
      <c r="CK91" s="203" t="s">
        <v>141</v>
      </c>
      <c r="CL91" s="204" t="s">
        <v>141</v>
      </c>
      <c r="CM91" s="205" t="s">
        <v>141</v>
      </c>
      <c r="CN91" s="206" t="s">
        <v>141</v>
      </c>
      <c r="CO91" s="207" t="s">
        <v>141</v>
      </c>
      <c r="CP91" s="208" t="s">
        <v>141</v>
      </c>
      <c r="CQ91" s="209" t="s">
        <v>141</v>
      </c>
      <c r="CR91" s="210" t="s">
        <v>141</v>
      </c>
      <c r="CS91" s="211" t="s">
        <v>141</v>
      </c>
      <c r="CT91" s="212" t="s">
        <v>141</v>
      </c>
      <c r="CU91" s="213" t="s">
        <v>141</v>
      </c>
      <c r="CV91" s="214" t="s">
        <v>141</v>
      </c>
      <c r="CW91" s="215" t="s">
        <v>141</v>
      </c>
      <c r="CX91" s="216">
        <v>20</v>
      </c>
      <c r="CY91" s="217" t="s">
        <v>150</v>
      </c>
      <c r="CZ91" s="218" t="s">
        <v>1395</v>
      </c>
      <c r="DA91" s="219" t="s">
        <v>152</v>
      </c>
      <c r="DB91" s="220" t="s">
        <v>153</v>
      </c>
      <c r="DC91" s="221" t="s">
        <v>1396</v>
      </c>
      <c r="DD91" s="222" t="s">
        <v>201</v>
      </c>
      <c r="DE91" s="223" t="s">
        <v>1397</v>
      </c>
      <c r="DF91" s="224" t="s">
        <v>157</v>
      </c>
      <c r="DG91" s="225">
        <v>2013</v>
      </c>
      <c r="DH91" s="226" t="s">
        <v>1398</v>
      </c>
      <c r="DI91" s="228" t="str">
        <f>HYPERLINK("https://my.pitchbook.com?c=46195-12T", "View company online")</f>
        <v>View company online</v>
      </c>
    </row>
    <row r="92" spans="1:113" x14ac:dyDescent="0.2">
      <c r="A92" s="3" t="s">
        <v>1399</v>
      </c>
      <c r="B92" s="4" t="s">
        <v>1400</v>
      </c>
      <c r="C92" s="5" t="s">
        <v>1401</v>
      </c>
      <c r="D92" s="6" t="s">
        <v>1402</v>
      </c>
      <c r="E92" s="7" t="s">
        <v>1403</v>
      </c>
      <c r="F92" s="8" t="s">
        <v>126</v>
      </c>
      <c r="G92" s="9" t="s">
        <v>127</v>
      </c>
      <c r="H92" s="10" t="s">
        <v>128</v>
      </c>
      <c r="I92" s="11" t="s">
        <v>129</v>
      </c>
      <c r="J92" s="12" t="s">
        <v>838</v>
      </c>
      <c r="K92" s="13" t="s">
        <v>1404</v>
      </c>
      <c r="L92" s="14" t="s">
        <v>402</v>
      </c>
      <c r="M92" s="15" t="s">
        <v>263</v>
      </c>
      <c r="N92" s="16" t="s">
        <v>231</v>
      </c>
      <c r="O92" s="17" t="s">
        <v>1405</v>
      </c>
      <c r="P92" s="18" t="s">
        <v>1406</v>
      </c>
      <c r="Q92" s="19" t="s">
        <v>1407</v>
      </c>
      <c r="R92" s="20" t="s">
        <v>1408</v>
      </c>
      <c r="S92" s="21" t="s">
        <v>1409</v>
      </c>
      <c r="T92" s="22" t="s">
        <v>1410</v>
      </c>
      <c r="U92" s="23">
        <v>1</v>
      </c>
      <c r="V92" s="24" t="s">
        <v>1399</v>
      </c>
      <c r="W92" s="25">
        <v>42317</v>
      </c>
      <c r="X92" s="26">
        <v>42719</v>
      </c>
      <c r="Y92" s="27">
        <v>2.25</v>
      </c>
      <c r="Z92" s="28" t="s">
        <v>177</v>
      </c>
      <c r="AA92" s="29" t="s">
        <v>141</v>
      </c>
      <c r="AB92" s="30" t="s">
        <v>141</v>
      </c>
      <c r="AC92" s="31" t="s">
        <v>141</v>
      </c>
      <c r="AD92" s="32" t="s">
        <v>141</v>
      </c>
      <c r="AE92" s="33">
        <v>2.25</v>
      </c>
      <c r="AF92" s="34" t="s">
        <v>1080</v>
      </c>
      <c r="AG92" s="35" t="s">
        <v>141</v>
      </c>
      <c r="AH92" s="36" t="s">
        <v>141</v>
      </c>
      <c r="AI92" s="37" t="s">
        <v>141</v>
      </c>
      <c r="AJ92" s="38" t="s">
        <v>1081</v>
      </c>
      <c r="AK92" s="39" t="s">
        <v>1081</v>
      </c>
      <c r="AL92" s="40" t="s">
        <v>141</v>
      </c>
      <c r="AM92" s="41" t="s">
        <v>485</v>
      </c>
      <c r="AN92" s="42" t="s">
        <v>1403</v>
      </c>
      <c r="AO92" s="43">
        <v>2.25</v>
      </c>
      <c r="AP92" s="44" t="s">
        <v>145</v>
      </c>
      <c r="AQ92" s="45" t="s">
        <v>141</v>
      </c>
      <c r="AR92" s="46" t="s">
        <v>141</v>
      </c>
      <c r="AS92" s="47" t="s">
        <v>141</v>
      </c>
      <c r="AT92" s="48" t="s">
        <v>141</v>
      </c>
      <c r="AU92" s="49" t="s">
        <v>141</v>
      </c>
      <c r="AV92" s="50" t="s">
        <v>141</v>
      </c>
      <c r="AW92" s="51" t="s">
        <v>141</v>
      </c>
      <c r="AX92" s="52" t="s">
        <v>141</v>
      </c>
      <c r="AY92" s="53" t="s">
        <v>141</v>
      </c>
      <c r="AZ92" s="54" t="s">
        <v>141</v>
      </c>
      <c r="BA92" s="55" t="s">
        <v>146</v>
      </c>
      <c r="BB92" s="56" t="s">
        <v>263</v>
      </c>
      <c r="BC92" s="57" t="s">
        <v>402</v>
      </c>
      <c r="BD92" s="58" t="s">
        <v>141</v>
      </c>
      <c r="BE92" s="59" t="s">
        <v>141</v>
      </c>
      <c r="BF92" s="60" t="s">
        <v>141</v>
      </c>
      <c r="BG92" s="61" t="s">
        <v>141</v>
      </c>
      <c r="BH92" s="62" t="s">
        <v>141</v>
      </c>
      <c r="BI92" s="63" t="s">
        <v>141</v>
      </c>
      <c r="BJ92" s="64" t="s">
        <v>141</v>
      </c>
      <c r="BK92" s="65" t="s">
        <v>141</v>
      </c>
      <c r="BL92" s="66" t="s">
        <v>141</v>
      </c>
      <c r="BM92" s="67" t="s">
        <v>141</v>
      </c>
      <c r="BN92" s="68" t="s">
        <v>141</v>
      </c>
      <c r="BO92" s="69" t="s">
        <v>141</v>
      </c>
      <c r="BP92" s="70" t="s">
        <v>141</v>
      </c>
      <c r="BQ92" s="71" t="s">
        <v>141</v>
      </c>
      <c r="BR92" s="72" t="s">
        <v>141</v>
      </c>
      <c r="BS92" s="73" t="s">
        <v>141</v>
      </c>
      <c r="BT92" s="74" t="s">
        <v>141</v>
      </c>
      <c r="BU92" s="75" t="s">
        <v>141</v>
      </c>
      <c r="BV92" s="76" t="s">
        <v>141</v>
      </c>
      <c r="BW92" s="77" t="s">
        <v>141</v>
      </c>
      <c r="BX92" s="78" t="s">
        <v>141</v>
      </c>
      <c r="BY92" s="79" t="s">
        <v>141</v>
      </c>
      <c r="BZ92" s="80" t="s">
        <v>141</v>
      </c>
      <c r="CA92" s="81" t="s">
        <v>141</v>
      </c>
      <c r="CB92" s="82" t="s">
        <v>141</v>
      </c>
      <c r="CC92" s="83" t="s">
        <v>141</v>
      </c>
      <c r="CD92" s="84" t="s">
        <v>141</v>
      </c>
      <c r="CE92" s="85" t="s">
        <v>141</v>
      </c>
      <c r="CF92" s="86" t="s">
        <v>141</v>
      </c>
      <c r="CG92" s="87" t="s">
        <v>141</v>
      </c>
      <c r="CH92" s="88" t="s">
        <v>141</v>
      </c>
      <c r="CI92" s="89" t="s">
        <v>141</v>
      </c>
      <c r="CJ92" s="90" t="s">
        <v>141</v>
      </c>
      <c r="CK92" s="91" t="s">
        <v>141</v>
      </c>
      <c r="CL92" s="92" t="s">
        <v>141</v>
      </c>
      <c r="CM92" s="93" t="s">
        <v>141</v>
      </c>
      <c r="CN92" s="94" t="s">
        <v>141</v>
      </c>
      <c r="CO92" s="95" t="s">
        <v>141</v>
      </c>
      <c r="CP92" s="96" t="s">
        <v>141</v>
      </c>
      <c r="CQ92" s="97" t="s">
        <v>141</v>
      </c>
      <c r="CR92" s="98" t="s">
        <v>141</v>
      </c>
      <c r="CS92" s="99" t="s">
        <v>141</v>
      </c>
      <c r="CT92" s="100" t="s">
        <v>141</v>
      </c>
      <c r="CU92" s="101" t="s">
        <v>141</v>
      </c>
      <c r="CV92" s="102" t="s">
        <v>141</v>
      </c>
      <c r="CW92" s="103" t="s">
        <v>141</v>
      </c>
      <c r="CX92" s="104">
        <v>4</v>
      </c>
      <c r="CY92" s="105" t="s">
        <v>150</v>
      </c>
      <c r="CZ92" s="106" t="s">
        <v>1411</v>
      </c>
      <c r="DA92" s="107" t="s">
        <v>152</v>
      </c>
      <c r="DB92" s="108" t="s">
        <v>153</v>
      </c>
      <c r="DC92" s="109" t="s">
        <v>1412</v>
      </c>
      <c r="DD92" s="110" t="s">
        <v>1413</v>
      </c>
      <c r="DE92" s="111" t="s">
        <v>1414</v>
      </c>
      <c r="DF92" s="112" t="s">
        <v>157</v>
      </c>
      <c r="DG92" s="113">
        <v>2015</v>
      </c>
      <c r="DH92" s="114" t="s">
        <v>1415</v>
      </c>
      <c r="DI92" s="227" t="str">
        <f>HYPERLINK("https://my.pitchbook.com?c=64779-04T", "View company online")</f>
        <v>View company online</v>
      </c>
    </row>
    <row r="93" spans="1:113" x14ac:dyDescent="0.2">
      <c r="A93" s="115" t="s">
        <v>1416</v>
      </c>
      <c r="B93" s="116" t="s">
        <v>1417</v>
      </c>
      <c r="C93" s="117" t="s">
        <v>1418</v>
      </c>
      <c r="D93" s="118" t="s">
        <v>1419</v>
      </c>
      <c r="E93" s="119" t="s">
        <v>1420</v>
      </c>
      <c r="F93" s="120" t="s">
        <v>126</v>
      </c>
      <c r="G93" s="121" t="s">
        <v>340</v>
      </c>
      <c r="H93" s="122" t="s">
        <v>476</v>
      </c>
      <c r="I93" s="123" t="s">
        <v>1421</v>
      </c>
      <c r="J93" s="124" t="s">
        <v>495</v>
      </c>
      <c r="K93" s="125" t="s">
        <v>1422</v>
      </c>
      <c r="L93" s="126" t="s">
        <v>1423</v>
      </c>
      <c r="M93" s="127" t="s">
        <v>1424</v>
      </c>
      <c r="N93" s="128" t="s">
        <v>231</v>
      </c>
      <c r="O93" s="129" t="s">
        <v>1425</v>
      </c>
      <c r="P93" s="130" t="s">
        <v>1426</v>
      </c>
      <c r="Q93" s="131" t="s">
        <v>141</v>
      </c>
      <c r="R93" s="132" t="s">
        <v>141</v>
      </c>
      <c r="S93" s="133" t="s">
        <v>1427</v>
      </c>
      <c r="T93" s="134" t="s">
        <v>141</v>
      </c>
      <c r="U93" s="135">
        <v>1</v>
      </c>
      <c r="V93" s="136" t="s">
        <v>1416</v>
      </c>
      <c r="W93" s="137">
        <v>42214</v>
      </c>
      <c r="X93" s="138">
        <v>42846</v>
      </c>
      <c r="Y93" s="139">
        <v>0.37</v>
      </c>
      <c r="Z93" s="140" t="s">
        <v>177</v>
      </c>
      <c r="AA93" s="141" t="s">
        <v>141</v>
      </c>
      <c r="AB93" s="142" t="s">
        <v>141</v>
      </c>
      <c r="AC93" s="143" t="s">
        <v>141</v>
      </c>
      <c r="AD93" s="144" t="s">
        <v>141</v>
      </c>
      <c r="AE93" s="145">
        <v>0.37</v>
      </c>
      <c r="AF93" s="146" t="s">
        <v>1080</v>
      </c>
      <c r="AG93" s="147" t="s">
        <v>141</v>
      </c>
      <c r="AH93" s="148" t="s">
        <v>141</v>
      </c>
      <c r="AI93" s="149" t="s">
        <v>141</v>
      </c>
      <c r="AJ93" s="150" t="s">
        <v>1081</v>
      </c>
      <c r="AK93" s="151" t="s">
        <v>1081</v>
      </c>
      <c r="AL93" s="152" t="s">
        <v>141</v>
      </c>
      <c r="AM93" s="153" t="s">
        <v>485</v>
      </c>
      <c r="AN93" s="154" t="s">
        <v>1428</v>
      </c>
      <c r="AO93" s="155">
        <v>0.37</v>
      </c>
      <c r="AP93" s="156" t="s">
        <v>145</v>
      </c>
      <c r="AQ93" s="157" t="s">
        <v>141</v>
      </c>
      <c r="AR93" s="158" t="s">
        <v>141</v>
      </c>
      <c r="AS93" s="159" t="s">
        <v>141</v>
      </c>
      <c r="AT93" s="160" t="s">
        <v>141</v>
      </c>
      <c r="AU93" s="161" t="s">
        <v>141</v>
      </c>
      <c r="AV93" s="162" t="s">
        <v>141</v>
      </c>
      <c r="AW93" s="163" t="s">
        <v>141</v>
      </c>
      <c r="AX93" s="164" t="s">
        <v>141</v>
      </c>
      <c r="AY93" s="165" t="s">
        <v>141</v>
      </c>
      <c r="AZ93" s="166" t="s">
        <v>141</v>
      </c>
      <c r="BA93" s="167" t="s">
        <v>146</v>
      </c>
      <c r="BB93" s="168" t="s">
        <v>133</v>
      </c>
      <c r="BC93" s="169" t="s">
        <v>402</v>
      </c>
      <c r="BD93" s="170" t="s">
        <v>141</v>
      </c>
      <c r="BE93" s="171" t="s">
        <v>141</v>
      </c>
      <c r="BF93" s="172" t="s">
        <v>141</v>
      </c>
      <c r="BG93" s="173" t="s">
        <v>141</v>
      </c>
      <c r="BH93" s="174" t="s">
        <v>141</v>
      </c>
      <c r="BI93" s="175" t="s">
        <v>141</v>
      </c>
      <c r="BJ93" s="176" t="s">
        <v>141</v>
      </c>
      <c r="BK93" s="177" t="s">
        <v>141</v>
      </c>
      <c r="BL93" s="178" t="s">
        <v>141</v>
      </c>
      <c r="BM93" s="179" t="s">
        <v>141</v>
      </c>
      <c r="BN93" s="180" t="s">
        <v>141</v>
      </c>
      <c r="BO93" s="181" t="s">
        <v>141</v>
      </c>
      <c r="BP93" s="182" t="s">
        <v>141</v>
      </c>
      <c r="BQ93" s="183" t="s">
        <v>141</v>
      </c>
      <c r="BR93" s="184" t="s">
        <v>141</v>
      </c>
      <c r="BS93" s="185" t="s">
        <v>141</v>
      </c>
      <c r="BT93" s="186" t="s">
        <v>141</v>
      </c>
      <c r="BU93" s="187" t="s">
        <v>141</v>
      </c>
      <c r="BV93" s="188" t="s">
        <v>141</v>
      </c>
      <c r="BW93" s="189" t="s">
        <v>141</v>
      </c>
      <c r="BX93" s="190" t="s">
        <v>141</v>
      </c>
      <c r="BY93" s="191" t="s">
        <v>141</v>
      </c>
      <c r="BZ93" s="192" t="s">
        <v>141</v>
      </c>
      <c r="CA93" s="193" t="s">
        <v>141</v>
      </c>
      <c r="CB93" s="194" t="s">
        <v>141</v>
      </c>
      <c r="CC93" s="195" t="s">
        <v>141</v>
      </c>
      <c r="CD93" s="196" t="s">
        <v>141</v>
      </c>
      <c r="CE93" s="197" t="s">
        <v>141</v>
      </c>
      <c r="CF93" s="198" t="s">
        <v>141</v>
      </c>
      <c r="CG93" s="199" t="s">
        <v>141</v>
      </c>
      <c r="CH93" s="200" t="s">
        <v>141</v>
      </c>
      <c r="CI93" s="201" t="s">
        <v>141</v>
      </c>
      <c r="CJ93" s="202" t="s">
        <v>141</v>
      </c>
      <c r="CK93" s="203" t="s">
        <v>141</v>
      </c>
      <c r="CL93" s="204" t="s">
        <v>141</v>
      </c>
      <c r="CM93" s="205" t="s">
        <v>141</v>
      </c>
      <c r="CN93" s="206" t="s">
        <v>141</v>
      </c>
      <c r="CO93" s="207" t="s">
        <v>141</v>
      </c>
      <c r="CP93" s="208" t="s">
        <v>141</v>
      </c>
      <c r="CQ93" s="209" t="s">
        <v>141</v>
      </c>
      <c r="CR93" s="210" t="s">
        <v>141</v>
      </c>
      <c r="CS93" s="211" t="s">
        <v>141</v>
      </c>
      <c r="CT93" s="212" t="s">
        <v>141</v>
      </c>
      <c r="CU93" s="213" t="s">
        <v>141</v>
      </c>
      <c r="CV93" s="214" t="s">
        <v>141</v>
      </c>
      <c r="CW93" s="215" t="s">
        <v>141</v>
      </c>
      <c r="CX93" s="216" t="s">
        <v>141</v>
      </c>
      <c r="CY93" s="217" t="s">
        <v>150</v>
      </c>
      <c r="CZ93" s="218" t="s">
        <v>1429</v>
      </c>
      <c r="DA93" s="219" t="s">
        <v>152</v>
      </c>
      <c r="DB93" s="220" t="s">
        <v>153</v>
      </c>
      <c r="DC93" s="221" t="s">
        <v>1430</v>
      </c>
      <c r="DD93" s="222" t="s">
        <v>182</v>
      </c>
      <c r="DE93" s="223" t="s">
        <v>1431</v>
      </c>
      <c r="DF93" s="224" t="s">
        <v>157</v>
      </c>
      <c r="DG93" s="225">
        <v>2015</v>
      </c>
      <c r="DH93" s="226" t="s">
        <v>1432</v>
      </c>
      <c r="DI93" s="228" t="str">
        <f>HYPERLINK("https://my.pitchbook.com?c=87498-64T", "View company online")</f>
        <v>View company online</v>
      </c>
    </row>
    <row r="94" spans="1:113" x14ac:dyDescent="0.2">
      <c r="A94" s="3" t="s">
        <v>1433</v>
      </c>
      <c r="B94" s="4" t="s">
        <v>892</v>
      </c>
      <c r="C94" s="5" t="s">
        <v>893</v>
      </c>
      <c r="D94" s="6" t="s">
        <v>894</v>
      </c>
      <c r="E94" s="7" t="s">
        <v>895</v>
      </c>
      <c r="F94" s="8" t="s">
        <v>164</v>
      </c>
      <c r="G94" s="9" t="s">
        <v>165</v>
      </c>
      <c r="H94" s="10" t="s">
        <v>418</v>
      </c>
      <c r="I94" s="11" t="s">
        <v>896</v>
      </c>
      <c r="J94" s="12" t="s">
        <v>897</v>
      </c>
      <c r="K94" s="13" t="s">
        <v>898</v>
      </c>
      <c r="L94" s="14" t="s">
        <v>402</v>
      </c>
      <c r="M94" s="15" t="s">
        <v>133</v>
      </c>
      <c r="N94" s="16" t="s">
        <v>231</v>
      </c>
      <c r="O94" s="17" t="s">
        <v>899</v>
      </c>
      <c r="P94" s="18" t="s">
        <v>900</v>
      </c>
      <c r="Q94" s="19" t="s">
        <v>901</v>
      </c>
      <c r="R94" s="20" t="s">
        <v>902</v>
      </c>
      <c r="S94" s="21" t="s">
        <v>903</v>
      </c>
      <c r="T94" s="22" t="s">
        <v>904</v>
      </c>
      <c r="U94" s="23">
        <v>1</v>
      </c>
      <c r="V94" s="24" t="s">
        <v>1433</v>
      </c>
      <c r="W94" s="25">
        <v>42257</v>
      </c>
      <c r="X94" s="26">
        <v>42271</v>
      </c>
      <c r="Y94" s="27">
        <v>0.1</v>
      </c>
      <c r="Z94" s="28" t="s">
        <v>177</v>
      </c>
      <c r="AA94" s="29" t="s">
        <v>141</v>
      </c>
      <c r="AB94" s="30" t="s">
        <v>141</v>
      </c>
      <c r="AC94" s="31" t="s">
        <v>141</v>
      </c>
      <c r="AD94" s="32" t="s">
        <v>141</v>
      </c>
      <c r="AE94" s="33" t="s">
        <v>141</v>
      </c>
      <c r="AF94" s="34" t="s">
        <v>1080</v>
      </c>
      <c r="AG94" s="35" t="s">
        <v>141</v>
      </c>
      <c r="AH94" s="36" t="s">
        <v>141</v>
      </c>
      <c r="AI94" s="37" t="s">
        <v>141</v>
      </c>
      <c r="AJ94" s="38" t="s">
        <v>1081</v>
      </c>
      <c r="AK94" s="39" t="s">
        <v>1081</v>
      </c>
      <c r="AL94" s="40" t="s">
        <v>141</v>
      </c>
      <c r="AM94" s="41" t="s">
        <v>485</v>
      </c>
      <c r="AN94" s="42" t="s">
        <v>1434</v>
      </c>
      <c r="AO94" s="43" t="s">
        <v>141</v>
      </c>
      <c r="AP94" s="44" t="s">
        <v>145</v>
      </c>
      <c r="AQ94" s="45" t="s">
        <v>141</v>
      </c>
      <c r="AR94" s="46" t="s">
        <v>141</v>
      </c>
      <c r="AS94" s="47" t="s">
        <v>281</v>
      </c>
      <c r="AT94" s="48" t="s">
        <v>141</v>
      </c>
      <c r="AU94" s="49" t="s">
        <v>141</v>
      </c>
      <c r="AV94" s="50" t="s">
        <v>141</v>
      </c>
      <c r="AW94" s="51" t="s">
        <v>141</v>
      </c>
      <c r="AX94" s="52" t="s">
        <v>141</v>
      </c>
      <c r="AY94" s="53" t="s">
        <v>141</v>
      </c>
      <c r="AZ94" s="54" t="s">
        <v>141</v>
      </c>
      <c r="BA94" s="55" t="s">
        <v>146</v>
      </c>
      <c r="BB94" s="56" t="s">
        <v>133</v>
      </c>
      <c r="BC94" s="57" t="s">
        <v>402</v>
      </c>
      <c r="BD94" s="58" t="s">
        <v>141</v>
      </c>
      <c r="BE94" s="59" t="s">
        <v>141</v>
      </c>
      <c r="BF94" s="60" t="s">
        <v>141</v>
      </c>
      <c r="BG94" s="61" t="s">
        <v>141</v>
      </c>
      <c r="BH94" s="62" t="s">
        <v>141</v>
      </c>
      <c r="BI94" s="63" t="s">
        <v>141</v>
      </c>
      <c r="BJ94" s="64" t="s">
        <v>141</v>
      </c>
      <c r="BK94" s="65" t="s">
        <v>141</v>
      </c>
      <c r="BL94" s="66" t="s">
        <v>141</v>
      </c>
      <c r="BM94" s="67" t="s">
        <v>141</v>
      </c>
      <c r="BN94" s="68" t="s">
        <v>141</v>
      </c>
      <c r="BO94" s="69" t="s">
        <v>141</v>
      </c>
      <c r="BP94" s="70" t="s">
        <v>141</v>
      </c>
      <c r="BQ94" s="71" t="s">
        <v>141</v>
      </c>
      <c r="BR94" s="72" t="s">
        <v>141</v>
      </c>
      <c r="BS94" s="73" t="s">
        <v>141</v>
      </c>
      <c r="BT94" s="74" t="s">
        <v>141</v>
      </c>
      <c r="BU94" s="75" t="s">
        <v>141</v>
      </c>
      <c r="BV94" s="76" t="s">
        <v>141</v>
      </c>
      <c r="BW94" s="77" t="s">
        <v>141</v>
      </c>
      <c r="BX94" s="78" t="s">
        <v>141</v>
      </c>
      <c r="BY94" s="79" t="s">
        <v>141</v>
      </c>
      <c r="BZ94" s="80" t="s">
        <v>141</v>
      </c>
      <c r="CA94" s="81" t="s">
        <v>141</v>
      </c>
      <c r="CB94" s="82" t="s">
        <v>141</v>
      </c>
      <c r="CC94" s="83" t="s">
        <v>141</v>
      </c>
      <c r="CD94" s="84" t="s">
        <v>141</v>
      </c>
      <c r="CE94" s="85" t="s">
        <v>141</v>
      </c>
      <c r="CF94" s="86" t="s">
        <v>141</v>
      </c>
      <c r="CG94" s="87" t="s">
        <v>141</v>
      </c>
      <c r="CH94" s="88" t="s">
        <v>141</v>
      </c>
      <c r="CI94" s="89" t="s">
        <v>141</v>
      </c>
      <c r="CJ94" s="90" t="s">
        <v>141</v>
      </c>
      <c r="CK94" s="91" t="s">
        <v>141</v>
      </c>
      <c r="CL94" s="92" t="s">
        <v>141</v>
      </c>
      <c r="CM94" s="93" t="s">
        <v>141</v>
      </c>
      <c r="CN94" s="94" t="s">
        <v>141</v>
      </c>
      <c r="CO94" s="95" t="s">
        <v>141</v>
      </c>
      <c r="CP94" s="96" t="s">
        <v>141</v>
      </c>
      <c r="CQ94" s="97" t="s">
        <v>141</v>
      </c>
      <c r="CR94" s="98" t="s">
        <v>141</v>
      </c>
      <c r="CS94" s="99" t="s">
        <v>141</v>
      </c>
      <c r="CT94" s="100" t="s">
        <v>141</v>
      </c>
      <c r="CU94" s="101" t="s">
        <v>141</v>
      </c>
      <c r="CV94" s="102" t="s">
        <v>141</v>
      </c>
      <c r="CW94" s="103" t="s">
        <v>141</v>
      </c>
      <c r="CX94" s="104">
        <v>14</v>
      </c>
      <c r="CY94" s="105" t="s">
        <v>150</v>
      </c>
      <c r="CZ94" s="106" t="s">
        <v>908</v>
      </c>
      <c r="DA94" s="107" t="s">
        <v>152</v>
      </c>
      <c r="DB94" s="108" t="s">
        <v>153</v>
      </c>
      <c r="DC94" s="109" t="s">
        <v>909</v>
      </c>
      <c r="DD94" s="110" t="s">
        <v>910</v>
      </c>
      <c r="DE94" s="111" t="s">
        <v>911</v>
      </c>
      <c r="DF94" s="112" t="s">
        <v>157</v>
      </c>
      <c r="DG94" s="113">
        <v>2015</v>
      </c>
      <c r="DH94" s="114" t="s">
        <v>912</v>
      </c>
      <c r="DI94" s="227" t="str">
        <f>HYPERLINK("https://my.pitchbook.com?c=58289-41T", "View company online")</f>
        <v>View company online</v>
      </c>
    </row>
    <row r="95" spans="1:113" x14ac:dyDescent="0.2">
      <c r="A95" s="115" t="s">
        <v>1435</v>
      </c>
      <c r="B95" s="116" t="s">
        <v>892</v>
      </c>
      <c r="C95" s="117" t="s">
        <v>893</v>
      </c>
      <c r="D95" s="118" t="s">
        <v>894</v>
      </c>
      <c r="E95" s="119" t="s">
        <v>895</v>
      </c>
      <c r="F95" s="120" t="s">
        <v>164</v>
      </c>
      <c r="G95" s="121" t="s">
        <v>165</v>
      </c>
      <c r="H95" s="122" t="s">
        <v>418</v>
      </c>
      <c r="I95" s="123" t="s">
        <v>896</v>
      </c>
      <c r="J95" s="124" t="s">
        <v>897</v>
      </c>
      <c r="K95" s="125" t="s">
        <v>898</v>
      </c>
      <c r="L95" s="126" t="s">
        <v>402</v>
      </c>
      <c r="M95" s="127" t="s">
        <v>133</v>
      </c>
      <c r="N95" s="128" t="s">
        <v>231</v>
      </c>
      <c r="O95" s="129" t="s">
        <v>899</v>
      </c>
      <c r="P95" s="130" t="s">
        <v>900</v>
      </c>
      <c r="Q95" s="131" t="s">
        <v>901</v>
      </c>
      <c r="R95" s="132" t="s">
        <v>902</v>
      </c>
      <c r="S95" s="133" t="s">
        <v>903</v>
      </c>
      <c r="T95" s="134" t="s">
        <v>904</v>
      </c>
      <c r="U95" s="135">
        <v>2</v>
      </c>
      <c r="V95" s="136" t="s">
        <v>1435</v>
      </c>
      <c r="W95" s="137">
        <v>42531</v>
      </c>
      <c r="X95" s="138">
        <v>42536</v>
      </c>
      <c r="Y95" s="139">
        <v>0.02</v>
      </c>
      <c r="Z95" s="140" t="s">
        <v>177</v>
      </c>
      <c r="AA95" s="141" t="s">
        <v>141</v>
      </c>
      <c r="AB95" s="142" t="s">
        <v>141</v>
      </c>
      <c r="AC95" s="143" t="s">
        <v>141</v>
      </c>
      <c r="AD95" s="144" t="s">
        <v>141</v>
      </c>
      <c r="AE95" s="145" t="s">
        <v>141</v>
      </c>
      <c r="AF95" s="146" t="s">
        <v>1080</v>
      </c>
      <c r="AG95" s="147" t="s">
        <v>141</v>
      </c>
      <c r="AH95" s="148" t="s">
        <v>141</v>
      </c>
      <c r="AI95" s="149" t="s">
        <v>141</v>
      </c>
      <c r="AJ95" s="150" t="s">
        <v>1081</v>
      </c>
      <c r="AK95" s="151" t="s">
        <v>1081</v>
      </c>
      <c r="AL95" s="152" t="s">
        <v>141</v>
      </c>
      <c r="AM95" s="153" t="s">
        <v>485</v>
      </c>
      <c r="AN95" s="154" t="s">
        <v>1436</v>
      </c>
      <c r="AO95" s="155" t="s">
        <v>141</v>
      </c>
      <c r="AP95" s="156" t="s">
        <v>145</v>
      </c>
      <c r="AQ95" s="157" t="s">
        <v>141</v>
      </c>
      <c r="AR95" s="158" t="s">
        <v>141</v>
      </c>
      <c r="AS95" s="159" t="s">
        <v>281</v>
      </c>
      <c r="AT95" s="160" t="s">
        <v>141</v>
      </c>
      <c r="AU95" s="161" t="s">
        <v>141</v>
      </c>
      <c r="AV95" s="162" t="s">
        <v>141</v>
      </c>
      <c r="AW95" s="163" t="s">
        <v>141</v>
      </c>
      <c r="AX95" s="164" t="s">
        <v>141</v>
      </c>
      <c r="AY95" s="165" t="s">
        <v>141</v>
      </c>
      <c r="AZ95" s="166" t="s">
        <v>141</v>
      </c>
      <c r="BA95" s="167" t="s">
        <v>146</v>
      </c>
      <c r="BB95" s="168" t="s">
        <v>133</v>
      </c>
      <c r="BC95" s="169" t="s">
        <v>402</v>
      </c>
      <c r="BD95" s="170">
        <v>6</v>
      </c>
      <c r="BE95" s="171" t="s">
        <v>141</v>
      </c>
      <c r="BF95" s="172" t="s">
        <v>141</v>
      </c>
      <c r="BG95" s="173" t="s">
        <v>141</v>
      </c>
      <c r="BH95" s="174" t="s">
        <v>141</v>
      </c>
      <c r="BI95" s="175" t="s">
        <v>141</v>
      </c>
      <c r="BJ95" s="176" t="s">
        <v>141</v>
      </c>
      <c r="BK95" s="177" t="s">
        <v>141</v>
      </c>
      <c r="BL95" s="178" t="s">
        <v>141</v>
      </c>
      <c r="BM95" s="179" t="s">
        <v>141</v>
      </c>
      <c r="BN95" s="180" t="s">
        <v>141</v>
      </c>
      <c r="BO95" s="181" t="s">
        <v>141</v>
      </c>
      <c r="BP95" s="182" t="s">
        <v>141</v>
      </c>
      <c r="BQ95" s="183" t="s">
        <v>141</v>
      </c>
      <c r="BR95" s="184" t="s">
        <v>141</v>
      </c>
      <c r="BS95" s="185" t="s">
        <v>141</v>
      </c>
      <c r="BT95" s="186" t="s">
        <v>141</v>
      </c>
      <c r="BU95" s="187" t="s">
        <v>141</v>
      </c>
      <c r="BV95" s="188" t="s">
        <v>141</v>
      </c>
      <c r="BW95" s="189" t="s">
        <v>141</v>
      </c>
      <c r="BX95" s="190" t="s">
        <v>141</v>
      </c>
      <c r="BY95" s="191" t="s">
        <v>141</v>
      </c>
      <c r="BZ95" s="192" t="s">
        <v>141</v>
      </c>
      <c r="CA95" s="193" t="s">
        <v>141</v>
      </c>
      <c r="CB95" s="194" t="s">
        <v>141</v>
      </c>
      <c r="CC95" s="195" t="s">
        <v>141</v>
      </c>
      <c r="CD95" s="196" t="s">
        <v>141</v>
      </c>
      <c r="CE95" s="197" t="s">
        <v>141</v>
      </c>
      <c r="CF95" s="198" t="s">
        <v>141</v>
      </c>
      <c r="CG95" s="199" t="s">
        <v>141</v>
      </c>
      <c r="CH95" s="200" t="s">
        <v>141</v>
      </c>
      <c r="CI95" s="201" t="s">
        <v>141</v>
      </c>
      <c r="CJ95" s="202" t="s">
        <v>141</v>
      </c>
      <c r="CK95" s="203" t="s">
        <v>141</v>
      </c>
      <c r="CL95" s="204" t="s">
        <v>141</v>
      </c>
      <c r="CM95" s="205" t="s">
        <v>141</v>
      </c>
      <c r="CN95" s="206" t="s">
        <v>141</v>
      </c>
      <c r="CO95" s="207" t="s">
        <v>141</v>
      </c>
      <c r="CP95" s="208" t="s">
        <v>141</v>
      </c>
      <c r="CQ95" s="209" t="s">
        <v>141</v>
      </c>
      <c r="CR95" s="210" t="s">
        <v>141</v>
      </c>
      <c r="CS95" s="211" t="s">
        <v>141</v>
      </c>
      <c r="CT95" s="212" t="s">
        <v>141</v>
      </c>
      <c r="CU95" s="213" t="s">
        <v>141</v>
      </c>
      <c r="CV95" s="214" t="s">
        <v>141</v>
      </c>
      <c r="CW95" s="215" t="s">
        <v>141</v>
      </c>
      <c r="CX95" s="216">
        <v>14</v>
      </c>
      <c r="CY95" s="217" t="s">
        <v>150</v>
      </c>
      <c r="CZ95" s="218" t="s">
        <v>908</v>
      </c>
      <c r="DA95" s="219" t="s">
        <v>152</v>
      </c>
      <c r="DB95" s="220" t="s">
        <v>153</v>
      </c>
      <c r="DC95" s="221" t="s">
        <v>909</v>
      </c>
      <c r="DD95" s="222" t="s">
        <v>910</v>
      </c>
      <c r="DE95" s="223" t="s">
        <v>911</v>
      </c>
      <c r="DF95" s="224" t="s">
        <v>157</v>
      </c>
      <c r="DG95" s="225">
        <v>2015</v>
      </c>
      <c r="DH95" s="226" t="s">
        <v>912</v>
      </c>
      <c r="DI95" s="228" t="str">
        <f>HYPERLINK("https://my.pitchbook.com?c=71909-38T", "View company online")</f>
        <v>View company online</v>
      </c>
    </row>
    <row r="96" spans="1:113" x14ac:dyDescent="0.2">
      <c r="A96" s="3" t="s">
        <v>1437</v>
      </c>
      <c r="B96" s="4" t="s">
        <v>892</v>
      </c>
      <c r="C96" s="5" t="s">
        <v>893</v>
      </c>
      <c r="D96" s="6" t="s">
        <v>894</v>
      </c>
      <c r="E96" s="7" t="s">
        <v>895</v>
      </c>
      <c r="F96" s="8" t="s">
        <v>164</v>
      </c>
      <c r="G96" s="9" t="s">
        <v>165</v>
      </c>
      <c r="H96" s="10" t="s">
        <v>418</v>
      </c>
      <c r="I96" s="11" t="s">
        <v>896</v>
      </c>
      <c r="J96" s="12" t="s">
        <v>897</v>
      </c>
      <c r="K96" s="13" t="s">
        <v>898</v>
      </c>
      <c r="L96" s="14" t="s">
        <v>402</v>
      </c>
      <c r="M96" s="15" t="s">
        <v>133</v>
      </c>
      <c r="N96" s="16" t="s">
        <v>231</v>
      </c>
      <c r="O96" s="17" t="s">
        <v>899</v>
      </c>
      <c r="P96" s="18" t="s">
        <v>900</v>
      </c>
      <c r="Q96" s="19" t="s">
        <v>901</v>
      </c>
      <c r="R96" s="20" t="s">
        <v>902</v>
      </c>
      <c r="S96" s="21" t="s">
        <v>903</v>
      </c>
      <c r="T96" s="22" t="s">
        <v>904</v>
      </c>
      <c r="U96" s="23">
        <v>4</v>
      </c>
      <c r="V96" s="24" t="s">
        <v>1437</v>
      </c>
      <c r="W96" s="25" t="s">
        <v>141</v>
      </c>
      <c r="X96" s="26">
        <v>43040</v>
      </c>
      <c r="Y96" s="27">
        <v>0.01</v>
      </c>
      <c r="Z96" s="28" t="s">
        <v>177</v>
      </c>
      <c r="AA96" s="29" t="s">
        <v>141</v>
      </c>
      <c r="AB96" s="30" t="s">
        <v>141</v>
      </c>
      <c r="AC96" s="31" t="s">
        <v>141</v>
      </c>
      <c r="AD96" s="32" t="s">
        <v>141</v>
      </c>
      <c r="AE96" s="33">
        <v>0.01</v>
      </c>
      <c r="AF96" s="34" t="s">
        <v>1080</v>
      </c>
      <c r="AG96" s="35" t="s">
        <v>141</v>
      </c>
      <c r="AH96" s="36" t="s">
        <v>141</v>
      </c>
      <c r="AI96" s="37" t="s">
        <v>141</v>
      </c>
      <c r="AJ96" s="38" t="s">
        <v>1081</v>
      </c>
      <c r="AK96" s="39" t="s">
        <v>1081</v>
      </c>
      <c r="AL96" s="40" t="s">
        <v>141</v>
      </c>
      <c r="AM96" s="41" t="s">
        <v>485</v>
      </c>
      <c r="AN96" s="42" t="s">
        <v>895</v>
      </c>
      <c r="AO96" s="43">
        <v>0.01</v>
      </c>
      <c r="AP96" s="44" t="s">
        <v>145</v>
      </c>
      <c r="AQ96" s="45" t="s">
        <v>141</v>
      </c>
      <c r="AR96" s="46" t="s">
        <v>141</v>
      </c>
      <c r="AS96" s="47" t="s">
        <v>141</v>
      </c>
      <c r="AT96" s="48" t="s">
        <v>141</v>
      </c>
      <c r="AU96" s="49" t="s">
        <v>141</v>
      </c>
      <c r="AV96" s="50" t="s">
        <v>141</v>
      </c>
      <c r="AW96" s="51" t="s">
        <v>141</v>
      </c>
      <c r="AX96" s="52" t="s">
        <v>141</v>
      </c>
      <c r="AY96" s="53" t="s">
        <v>141</v>
      </c>
      <c r="AZ96" s="54" t="s">
        <v>141</v>
      </c>
      <c r="BA96" s="55" t="s">
        <v>146</v>
      </c>
      <c r="BB96" s="56" t="s">
        <v>133</v>
      </c>
      <c r="BC96" s="57" t="s">
        <v>402</v>
      </c>
      <c r="BD96" s="58">
        <v>14</v>
      </c>
      <c r="BE96" s="59" t="s">
        <v>141</v>
      </c>
      <c r="BF96" s="60" t="s">
        <v>141</v>
      </c>
      <c r="BG96" s="61" t="s">
        <v>141</v>
      </c>
      <c r="BH96" s="62" t="s">
        <v>141</v>
      </c>
      <c r="BI96" s="63" t="s">
        <v>141</v>
      </c>
      <c r="BJ96" s="64" t="s">
        <v>141</v>
      </c>
      <c r="BK96" s="65" t="s">
        <v>141</v>
      </c>
      <c r="BL96" s="66" t="s">
        <v>141</v>
      </c>
      <c r="BM96" s="67" t="s">
        <v>141</v>
      </c>
      <c r="BN96" s="68" t="s">
        <v>141</v>
      </c>
      <c r="BO96" s="69" t="s">
        <v>141</v>
      </c>
      <c r="BP96" s="70" t="s">
        <v>141</v>
      </c>
      <c r="BQ96" s="71" t="s">
        <v>141</v>
      </c>
      <c r="BR96" s="72" t="s">
        <v>141</v>
      </c>
      <c r="BS96" s="73" t="s">
        <v>141</v>
      </c>
      <c r="BT96" s="74" t="s">
        <v>141</v>
      </c>
      <c r="BU96" s="75" t="s">
        <v>141</v>
      </c>
      <c r="BV96" s="76" t="s">
        <v>141</v>
      </c>
      <c r="BW96" s="77" t="s">
        <v>141</v>
      </c>
      <c r="BX96" s="78" t="s">
        <v>141</v>
      </c>
      <c r="BY96" s="79" t="s">
        <v>141</v>
      </c>
      <c r="BZ96" s="80" t="s">
        <v>141</v>
      </c>
      <c r="CA96" s="81" t="s">
        <v>141</v>
      </c>
      <c r="CB96" s="82" t="s">
        <v>141</v>
      </c>
      <c r="CC96" s="83" t="s">
        <v>141</v>
      </c>
      <c r="CD96" s="84" t="s">
        <v>141</v>
      </c>
      <c r="CE96" s="85" t="s">
        <v>141</v>
      </c>
      <c r="CF96" s="86" t="s">
        <v>141</v>
      </c>
      <c r="CG96" s="87" t="s">
        <v>141</v>
      </c>
      <c r="CH96" s="88" t="s">
        <v>141</v>
      </c>
      <c r="CI96" s="89" t="s">
        <v>141</v>
      </c>
      <c r="CJ96" s="90" t="s">
        <v>141</v>
      </c>
      <c r="CK96" s="91" t="s">
        <v>141</v>
      </c>
      <c r="CL96" s="92" t="s">
        <v>141</v>
      </c>
      <c r="CM96" s="93" t="s">
        <v>141</v>
      </c>
      <c r="CN96" s="94" t="s">
        <v>141</v>
      </c>
      <c r="CO96" s="95" t="s">
        <v>141</v>
      </c>
      <c r="CP96" s="96" t="s">
        <v>141</v>
      </c>
      <c r="CQ96" s="97" t="s">
        <v>141</v>
      </c>
      <c r="CR96" s="98" t="s">
        <v>141</v>
      </c>
      <c r="CS96" s="99" t="s">
        <v>141</v>
      </c>
      <c r="CT96" s="100" t="s">
        <v>141</v>
      </c>
      <c r="CU96" s="101" t="s">
        <v>141</v>
      </c>
      <c r="CV96" s="102" t="s">
        <v>141</v>
      </c>
      <c r="CW96" s="103" t="s">
        <v>141</v>
      </c>
      <c r="CX96" s="104">
        <v>14</v>
      </c>
      <c r="CY96" s="105" t="s">
        <v>150</v>
      </c>
      <c r="CZ96" s="106" t="s">
        <v>908</v>
      </c>
      <c r="DA96" s="107" t="s">
        <v>152</v>
      </c>
      <c r="DB96" s="108" t="s">
        <v>153</v>
      </c>
      <c r="DC96" s="109" t="s">
        <v>909</v>
      </c>
      <c r="DD96" s="110" t="s">
        <v>910</v>
      </c>
      <c r="DE96" s="111" t="s">
        <v>911</v>
      </c>
      <c r="DF96" s="112" t="s">
        <v>157</v>
      </c>
      <c r="DG96" s="113">
        <v>2015</v>
      </c>
      <c r="DH96" s="114" t="s">
        <v>912</v>
      </c>
      <c r="DI96" s="227" t="str">
        <f>HYPERLINK("https://my.pitchbook.com?c=96671-53T", "View company online")</f>
        <v>View company online</v>
      </c>
    </row>
    <row r="97" spans="1:113" x14ac:dyDescent="0.2">
      <c r="A97" s="115" t="s">
        <v>1438</v>
      </c>
      <c r="B97" s="116" t="s">
        <v>1439</v>
      </c>
      <c r="C97" s="117" t="s">
        <v>1440</v>
      </c>
      <c r="D97" s="118" t="s">
        <v>1441</v>
      </c>
      <c r="E97" s="119" t="s">
        <v>1442</v>
      </c>
      <c r="F97" s="120" t="s">
        <v>126</v>
      </c>
      <c r="G97" s="121" t="s">
        <v>252</v>
      </c>
      <c r="H97" s="122" t="s">
        <v>253</v>
      </c>
      <c r="I97" s="123" t="s">
        <v>755</v>
      </c>
      <c r="J97" s="124" t="s">
        <v>773</v>
      </c>
      <c r="K97" s="125" t="s">
        <v>1443</v>
      </c>
      <c r="L97" s="126" t="s">
        <v>402</v>
      </c>
      <c r="M97" s="127" t="s">
        <v>133</v>
      </c>
      <c r="N97" s="128" t="s">
        <v>231</v>
      </c>
      <c r="O97" s="129" t="s">
        <v>1444</v>
      </c>
      <c r="P97" s="130" t="s">
        <v>1445</v>
      </c>
      <c r="Q97" s="131" t="s">
        <v>1446</v>
      </c>
      <c r="R97" s="132" t="s">
        <v>141</v>
      </c>
      <c r="S97" s="133" t="s">
        <v>1447</v>
      </c>
      <c r="T97" s="134" t="s">
        <v>141</v>
      </c>
      <c r="U97" s="135">
        <v>1</v>
      </c>
      <c r="V97" s="136" t="s">
        <v>1438</v>
      </c>
      <c r="W97" s="137" t="s">
        <v>141</v>
      </c>
      <c r="X97" s="138">
        <v>43910</v>
      </c>
      <c r="Y97" s="139">
        <v>0.05</v>
      </c>
      <c r="Z97" s="140" t="s">
        <v>177</v>
      </c>
      <c r="AA97" s="141" t="s">
        <v>141</v>
      </c>
      <c r="AB97" s="142" t="s">
        <v>141</v>
      </c>
      <c r="AC97" s="143" t="s">
        <v>141</v>
      </c>
      <c r="AD97" s="144" t="s">
        <v>141</v>
      </c>
      <c r="AE97" s="145">
        <v>0.05</v>
      </c>
      <c r="AF97" s="146" t="s">
        <v>1080</v>
      </c>
      <c r="AG97" s="147" t="s">
        <v>141</v>
      </c>
      <c r="AH97" s="148" t="s">
        <v>141</v>
      </c>
      <c r="AI97" s="149" t="s">
        <v>141</v>
      </c>
      <c r="AJ97" s="150" t="s">
        <v>1081</v>
      </c>
      <c r="AK97" s="151" t="s">
        <v>1081</v>
      </c>
      <c r="AL97" s="152" t="s">
        <v>141</v>
      </c>
      <c r="AM97" s="153" t="s">
        <v>485</v>
      </c>
      <c r="AN97" s="154" t="s">
        <v>1442</v>
      </c>
      <c r="AO97" s="155" t="s">
        <v>141</v>
      </c>
      <c r="AP97" s="156" t="s">
        <v>145</v>
      </c>
      <c r="AQ97" s="157" t="s">
        <v>141</v>
      </c>
      <c r="AR97" s="158" t="s">
        <v>141</v>
      </c>
      <c r="AS97" s="159" t="s">
        <v>281</v>
      </c>
      <c r="AT97" s="160" t="s">
        <v>141</v>
      </c>
      <c r="AU97" s="161" t="s">
        <v>141</v>
      </c>
      <c r="AV97" s="162">
        <v>0.05</v>
      </c>
      <c r="AW97" s="163" t="s">
        <v>141</v>
      </c>
      <c r="AX97" s="164" t="s">
        <v>141</v>
      </c>
      <c r="AY97" s="165">
        <v>0.05</v>
      </c>
      <c r="AZ97" s="166" t="s">
        <v>141</v>
      </c>
      <c r="BA97" s="167" t="s">
        <v>146</v>
      </c>
      <c r="BB97" s="168" t="s">
        <v>133</v>
      </c>
      <c r="BC97" s="169" t="s">
        <v>402</v>
      </c>
      <c r="BD97" s="170" t="s">
        <v>141</v>
      </c>
      <c r="BE97" s="171" t="s">
        <v>141</v>
      </c>
      <c r="BF97" s="172" t="s">
        <v>141</v>
      </c>
      <c r="BG97" s="173" t="s">
        <v>141</v>
      </c>
      <c r="BH97" s="174" t="s">
        <v>141</v>
      </c>
      <c r="BI97" s="175" t="s">
        <v>141</v>
      </c>
      <c r="BJ97" s="176" t="s">
        <v>141</v>
      </c>
      <c r="BK97" s="177" t="s">
        <v>141</v>
      </c>
      <c r="BL97" s="178" t="s">
        <v>141</v>
      </c>
      <c r="BM97" s="179" t="s">
        <v>141</v>
      </c>
      <c r="BN97" s="180" t="s">
        <v>141</v>
      </c>
      <c r="BO97" s="181" t="s">
        <v>141</v>
      </c>
      <c r="BP97" s="182" t="s">
        <v>141</v>
      </c>
      <c r="BQ97" s="183" t="s">
        <v>141</v>
      </c>
      <c r="BR97" s="184" t="s">
        <v>141</v>
      </c>
      <c r="BS97" s="185" t="s">
        <v>141</v>
      </c>
      <c r="BT97" s="186" t="s">
        <v>141</v>
      </c>
      <c r="BU97" s="187" t="s">
        <v>141</v>
      </c>
      <c r="BV97" s="188" t="s">
        <v>141</v>
      </c>
      <c r="BW97" s="189" t="s">
        <v>141</v>
      </c>
      <c r="BX97" s="190" t="s">
        <v>141</v>
      </c>
      <c r="BY97" s="191" t="s">
        <v>141</v>
      </c>
      <c r="BZ97" s="192" t="s">
        <v>141</v>
      </c>
      <c r="CA97" s="193" t="s">
        <v>141</v>
      </c>
      <c r="CB97" s="194" t="s">
        <v>141</v>
      </c>
      <c r="CC97" s="195" t="s">
        <v>141</v>
      </c>
      <c r="CD97" s="196" t="s">
        <v>141</v>
      </c>
      <c r="CE97" s="197" t="s">
        <v>141</v>
      </c>
      <c r="CF97" s="198" t="s">
        <v>141</v>
      </c>
      <c r="CG97" s="199" t="s">
        <v>141</v>
      </c>
      <c r="CH97" s="200" t="s">
        <v>141</v>
      </c>
      <c r="CI97" s="201" t="s">
        <v>141</v>
      </c>
      <c r="CJ97" s="202" t="s">
        <v>141</v>
      </c>
      <c r="CK97" s="203" t="s">
        <v>141</v>
      </c>
      <c r="CL97" s="204" t="s">
        <v>141</v>
      </c>
      <c r="CM97" s="205" t="s">
        <v>141</v>
      </c>
      <c r="CN97" s="206" t="s">
        <v>141</v>
      </c>
      <c r="CO97" s="207" t="s">
        <v>141</v>
      </c>
      <c r="CP97" s="208" t="s">
        <v>141</v>
      </c>
      <c r="CQ97" s="209" t="s">
        <v>141</v>
      </c>
      <c r="CR97" s="210" t="s">
        <v>141</v>
      </c>
      <c r="CS97" s="211" t="s">
        <v>141</v>
      </c>
      <c r="CT97" s="212" t="s">
        <v>141</v>
      </c>
      <c r="CU97" s="213" t="s">
        <v>141</v>
      </c>
      <c r="CV97" s="214" t="s">
        <v>141</v>
      </c>
      <c r="CW97" s="215" t="s">
        <v>141</v>
      </c>
      <c r="CX97" s="216" t="s">
        <v>141</v>
      </c>
      <c r="CY97" s="217" t="s">
        <v>150</v>
      </c>
      <c r="CZ97" s="218" t="s">
        <v>1448</v>
      </c>
      <c r="DA97" s="219" t="s">
        <v>152</v>
      </c>
      <c r="DB97" s="220" t="s">
        <v>153</v>
      </c>
      <c r="DC97" s="221" t="s">
        <v>1449</v>
      </c>
      <c r="DD97" s="222" t="s">
        <v>392</v>
      </c>
      <c r="DE97" s="223" t="s">
        <v>1450</v>
      </c>
      <c r="DF97" s="224" t="s">
        <v>157</v>
      </c>
      <c r="DG97" s="225">
        <v>2019</v>
      </c>
      <c r="DH97" s="226" t="s">
        <v>1451</v>
      </c>
      <c r="DI97" s="228" t="str">
        <f>HYPERLINK("https://my.pitchbook.com?c=134305-48T", "View company online")</f>
        <v>View company online</v>
      </c>
    </row>
    <row r="98" spans="1:113" x14ac:dyDescent="0.2">
      <c r="A98" s="3" t="s">
        <v>1452</v>
      </c>
      <c r="B98" s="4" t="s">
        <v>1453</v>
      </c>
      <c r="C98" s="5" t="s">
        <v>1454</v>
      </c>
      <c r="D98" s="6" t="s">
        <v>1455</v>
      </c>
      <c r="E98" s="7" t="s">
        <v>1456</v>
      </c>
      <c r="F98" s="8" t="s">
        <v>126</v>
      </c>
      <c r="G98" s="9" t="s">
        <v>127</v>
      </c>
      <c r="H98" s="10" t="s">
        <v>128</v>
      </c>
      <c r="I98" s="11" t="s">
        <v>1224</v>
      </c>
      <c r="J98" s="12" t="s">
        <v>141</v>
      </c>
      <c r="K98" s="13" t="s">
        <v>1457</v>
      </c>
      <c r="L98" s="14" t="s">
        <v>1300</v>
      </c>
      <c r="M98" s="15" t="s">
        <v>133</v>
      </c>
      <c r="N98" s="16" t="s">
        <v>1458</v>
      </c>
      <c r="O98" s="17" t="s">
        <v>1459</v>
      </c>
      <c r="P98" s="18" t="s">
        <v>1460</v>
      </c>
      <c r="Q98" s="19" t="s">
        <v>1461</v>
      </c>
      <c r="R98" s="20" t="s">
        <v>1462</v>
      </c>
      <c r="S98" s="21" t="s">
        <v>1463</v>
      </c>
      <c r="T98" s="22" t="s">
        <v>1464</v>
      </c>
      <c r="U98" s="23">
        <v>1</v>
      </c>
      <c r="V98" s="24" t="s">
        <v>1452</v>
      </c>
      <c r="W98" s="25">
        <v>43119</v>
      </c>
      <c r="X98" s="26">
        <v>43119</v>
      </c>
      <c r="Y98" s="27">
        <v>0.11</v>
      </c>
      <c r="Z98" s="28" t="s">
        <v>177</v>
      </c>
      <c r="AA98" s="29" t="s">
        <v>141</v>
      </c>
      <c r="AB98" s="30" t="s">
        <v>141</v>
      </c>
      <c r="AC98" s="31" t="s">
        <v>141</v>
      </c>
      <c r="AD98" s="32" t="s">
        <v>141</v>
      </c>
      <c r="AE98" s="33" t="s">
        <v>141</v>
      </c>
      <c r="AF98" s="34" t="s">
        <v>1080</v>
      </c>
      <c r="AG98" s="35" t="s">
        <v>141</v>
      </c>
      <c r="AH98" s="36" t="s">
        <v>141</v>
      </c>
      <c r="AI98" s="37" t="s">
        <v>141</v>
      </c>
      <c r="AJ98" s="38" t="s">
        <v>1081</v>
      </c>
      <c r="AK98" s="39" t="s">
        <v>1081</v>
      </c>
      <c r="AL98" s="40" t="s">
        <v>141</v>
      </c>
      <c r="AM98" s="41" t="s">
        <v>485</v>
      </c>
      <c r="AN98" s="42" t="s">
        <v>1465</v>
      </c>
      <c r="AO98" s="43" t="s">
        <v>141</v>
      </c>
      <c r="AP98" s="44" t="s">
        <v>145</v>
      </c>
      <c r="AQ98" s="45" t="s">
        <v>141</v>
      </c>
      <c r="AR98" s="46" t="s">
        <v>141</v>
      </c>
      <c r="AS98" s="47" t="s">
        <v>281</v>
      </c>
      <c r="AT98" s="48" t="s">
        <v>141</v>
      </c>
      <c r="AU98" s="49" t="s">
        <v>141</v>
      </c>
      <c r="AV98" s="50">
        <v>0.11</v>
      </c>
      <c r="AW98" s="51" t="s">
        <v>141</v>
      </c>
      <c r="AX98" s="52" t="s">
        <v>141</v>
      </c>
      <c r="AY98" s="53">
        <v>0.11</v>
      </c>
      <c r="AZ98" s="54" t="s">
        <v>141</v>
      </c>
      <c r="BA98" s="55" t="s">
        <v>1283</v>
      </c>
      <c r="BB98" s="56" t="s">
        <v>133</v>
      </c>
      <c r="BC98" s="57" t="s">
        <v>1466</v>
      </c>
      <c r="BD98" s="58" t="s">
        <v>141</v>
      </c>
      <c r="BE98" s="59" t="s">
        <v>141</v>
      </c>
      <c r="BF98" s="60" t="s">
        <v>141</v>
      </c>
      <c r="BG98" s="61" t="s">
        <v>141</v>
      </c>
      <c r="BH98" s="62" t="s">
        <v>141</v>
      </c>
      <c r="BI98" s="63" t="s">
        <v>141</v>
      </c>
      <c r="BJ98" s="64" t="s">
        <v>141</v>
      </c>
      <c r="BK98" s="65" t="s">
        <v>141</v>
      </c>
      <c r="BL98" s="66" t="s">
        <v>141</v>
      </c>
      <c r="BM98" s="67" t="s">
        <v>141</v>
      </c>
      <c r="BN98" s="68" t="s">
        <v>141</v>
      </c>
      <c r="BO98" s="69" t="s">
        <v>141</v>
      </c>
      <c r="BP98" s="70" t="s">
        <v>141</v>
      </c>
      <c r="BQ98" s="71" t="s">
        <v>141</v>
      </c>
      <c r="BR98" s="72" t="s">
        <v>141</v>
      </c>
      <c r="BS98" s="73" t="s">
        <v>141</v>
      </c>
      <c r="BT98" s="74" t="s">
        <v>141</v>
      </c>
      <c r="BU98" s="75" t="s">
        <v>141</v>
      </c>
      <c r="BV98" s="76" t="s">
        <v>141</v>
      </c>
      <c r="BW98" s="77" t="s">
        <v>141</v>
      </c>
      <c r="BX98" s="78" t="s">
        <v>141</v>
      </c>
      <c r="BY98" s="79" t="s">
        <v>141</v>
      </c>
      <c r="BZ98" s="80" t="s">
        <v>141</v>
      </c>
      <c r="CA98" s="81" t="s">
        <v>141</v>
      </c>
      <c r="CB98" s="82" t="s">
        <v>141</v>
      </c>
      <c r="CC98" s="83" t="s">
        <v>141</v>
      </c>
      <c r="CD98" s="84" t="s">
        <v>141</v>
      </c>
      <c r="CE98" s="85" t="s">
        <v>141</v>
      </c>
      <c r="CF98" s="86" t="s">
        <v>141</v>
      </c>
      <c r="CG98" s="87" t="s">
        <v>141</v>
      </c>
      <c r="CH98" s="88" t="s">
        <v>141</v>
      </c>
      <c r="CI98" s="89" t="s">
        <v>141</v>
      </c>
      <c r="CJ98" s="90" t="s">
        <v>141</v>
      </c>
      <c r="CK98" s="91" t="s">
        <v>141</v>
      </c>
      <c r="CL98" s="92" t="s">
        <v>141</v>
      </c>
      <c r="CM98" s="93" t="s">
        <v>141</v>
      </c>
      <c r="CN98" s="94" t="s">
        <v>141</v>
      </c>
      <c r="CO98" s="95" t="s">
        <v>141</v>
      </c>
      <c r="CP98" s="96" t="s">
        <v>141</v>
      </c>
      <c r="CQ98" s="97" t="s">
        <v>141</v>
      </c>
      <c r="CR98" s="98" t="s">
        <v>141</v>
      </c>
      <c r="CS98" s="99" t="s">
        <v>141</v>
      </c>
      <c r="CT98" s="100" t="s">
        <v>141</v>
      </c>
      <c r="CU98" s="101" t="s">
        <v>141</v>
      </c>
      <c r="CV98" s="102" t="s">
        <v>141</v>
      </c>
      <c r="CW98" s="103" t="s">
        <v>141</v>
      </c>
      <c r="CX98" s="104" t="s">
        <v>141</v>
      </c>
      <c r="CY98" s="105" t="s">
        <v>150</v>
      </c>
      <c r="CZ98" s="106" t="s">
        <v>1467</v>
      </c>
      <c r="DA98" s="107" t="s">
        <v>152</v>
      </c>
      <c r="DB98" s="108" t="s">
        <v>153</v>
      </c>
      <c r="DC98" s="109" t="s">
        <v>1468</v>
      </c>
      <c r="DD98" s="110" t="s">
        <v>946</v>
      </c>
      <c r="DE98" s="111" t="s">
        <v>1469</v>
      </c>
      <c r="DF98" s="112" t="s">
        <v>157</v>
      </c>
      <c r="DG98" s="113">
        <v>2016</v>
      </c>
      <c r="DH98" s="114" t="s">
        <v>1470</v>
      </c>
      <c r="DI98" s="227" t="str">
        <f>HYPERLINK("https://my.pitchbook.com?c=100647-01T", "View company online")</f>
        <v>View company online</v>
      </c>
    </row>
    <row r="99" spans="1:113" x14ac:dyDescent="0.2">
      <c r="A99" s="115" t="s">
        <v>1471</v>
      </c>
      <c r="B99" s="116" t="s">
        <v>1472</v>
      </c>
      <c r="C99" s="117" t="s">
        <v>1473</v>
      </c>
      <c r="D99" s="118" t="s">
        <v>1474</v>
      </c>
      <c r="E99" s="119" t="s">
        <v>1475</v>
      </c>
      <c r="F99" s="120" t="s">
        <v>126</v>
      </c>
      <c r="G99" s="121" t="s">
        <v>127</v>
      </c>
      <c r="H99" s="122" t="s">
        <v>128</v>
      </c>
      <c r="I99" s="123" t="s">
        <v>129</v>
      </c>
      <c r="J99" s="124" t="s">
        <v>130</v>
      </c>
      <c r="K99" s="125" t="s">
        <v>1476</v>
      </c>
      <c r="L99" s="126" t="s">
        <v>402</v>
      </c>
      <c r="M99" s="127" t="s">
        <v>133</v>
      </c>
      <c r="N99" s="128" t="s">
        <v>231</v>
      </c>
      <c r="O99" s="129" t="s">
        <v>1477</v>
      </c>
      <c r="P99" s="130" t="s">
        <v>1478</v>
      </c>
      <c r="Q99" s="131" t="s">
        <v>1479</v>
      </c>
      <c r="R99" s="132" t="s">
        <v>1480</v>
      </c>
      <c r="S99" s="133" t="s">
        <v>1481</v>
      </c>
      <c r="T99" s="134" t="s">
        <v>1482</v>
      </c>
      <c r="U99" s="135">
        <v>1</v>
      </c>
      <c r="V99" s="136" t="s">
        <v>1471</v>
      </c>
      <c r="W99" s="137">
        <v>41744</v>
      </c>
      <c r="X99" s="138">
        <v>41757</v>
      </c>
      <c r="Y99" s="139">
        <v>0.1</v>
      </c>
      <c r="Z99" s="140" t="s">
        <v>177</v>
      </c>
      <c r="AA99" s="141" t="s">
        <v>141</v>
      </c>
      <c r="AB99" s="142" t="s">
        <v>141</v>
      </c>
      <c r="AC99" s="143" t="s">
        <v>141</v>
      </c>
      <c r="AD99" s="144" t="s">
        <v>141</v>
      </c>
      <c r="AE99" s="145">
        <v>0.1</v>
      </c>
      <c r="AF99" s="146" t="s">
        <v>1080</v>
      </c>
      <c r="AG99" s="147" t="s">
        <v>141</v>
      </c>
      <c r="AH99" s="148" t="s">
        <v>141</v>
      </c>
      <c r="AI99" s="149" t="s">
        <v>141</v>
      </c>
      <c r="AJ99" s="150" t="s">
        <v>1081</v>
      </c>
      <c r="AK99" s="151" t="s">
        <v>1081</v>
      </c>
      <c r="AL99" s="152" t="s">
        <v>141</v>
      </c>
      <c r="AM99" s="153" t="s">
        <v>485</v>
      </c>
      <c r="AN99" s="154" t="s">
        <v>1483</v>
      </c>
      <c r="AO99" s="155">
        <v>0.1</v>
      </c>
      <c r="AP99" s="156" t="s">
        <v>145</v>
      </c>
      <c r="AQ99" s="157" t="s">
        <v>141</v>
      </c>
      <c r="AR99" s="158" t="s">
        <v>141</v>
      </c>
      <c r="AS99" s="159" t="s">
        <v>141</v>
      </c>
      <c r="AT99" s="160" t="s">
        <v>141</v>
      </c>
      <c r="AU99" s="161" t="s">
        <v>141</v>
      </c>
      <c r="AV99" s="162" t="s">
        <v>141</v>
      </c>
      <c r="AW99" s="163" t="s">
        <v>141</v>
      </c>
      <c r="AX99" s="164" t="s">
        <v>141</v>
      </c>
      <c r="AY99" s="165" t="s">
        <v>141</v>
      </c>
      <c r="AZ99" s="166" t="s">
        <v>141</v>
      </c>
      <c r="BA99" s="167" t="s">
        <v>146</v>
      </c>
      <c r="BB99" s="168" t="s">
        <v>133</v>
      </c>
      <c r="BC99" s="169" t="s">
        <v>402</v>
      </c>
      <c r="BD99" s="170" t="s">
        <v>141</v>
      </c>
      <c r="BE99" s="171" t="s">
        <v>141</v>
      </c>
      <c r="BF99" s="172" t="s">
        <v>141</v>
      </c>
      <c r="BG99" s="173" t="s">
        <v>141</v>
      </c>
      <c r="BH99" s="174" t="s">
        <v>141</v>
      </c>
      <c r="BI99" s="175" t="s">
        <v>141</v>
      </c>
      <c r="BJ99" s="176" t="s">
        <v>141</v>
      </c>
      <c r="BK99" s="177" t="s">
        <v>141</v>
      </c>
      <c r="BL99" s="178" t="s">
        <v>141</v>
      </c>
      <c r="BM99" s="179" t="s">
        <v>141</v>
      </c>
      <c r="BN99" s="180" t="s">
        <v>141</v>
      </c>
      <c r="BO99" s="181" t="s">
        <v>141</v>
      </c>
      <c r="BP99" s="182" t="s">
        <v>141</v>
      </c>
      <c r="BQ99" s="183" t="s">
        <v>141</v>
      </c>
      <c r="BR99" s="184" t="s">
        <v>141</v>
      </c>
      <c r="BS99" s="185" t="s">
        <v>141</v>
      </c>
      <c r="BT99" s="186" t="s">
        <v>141</v>
      </c>
      <c r="BU99" s="187" t="s">
        <v>141</v>
      </c>
      <c r="BV99" s="188" t="s">
        <v>141</v>
      </c>
      <c r="BW99" s="189" t="s">
        <v>141</v>
      </c>
      <c r="BX99" s="190" t="s">
        <v>141</v>
      </c>
      <c r="BY99" s="191" t="s">
        <v>141</v>
      </c>
      <c r="BZ99" s="192" t="s">
        <v>141</v>
      </c>
      <c r="CA99" s="193" t="s">
        <v>141</v>
      </c>
      <c r="CB99" s="194" t="s">
        <v>141</v>
      </c>
      <c r="CC99" s="195" t="s">
        <v>141</v>
      </c>
      <c r="CD99" s="196" t="s">
        <v>141</v>
      </c>
      <c r="CE99" s="197" t="s">
        <v>141</v>
      </c>
      <c r="CF99" s="198" t="s">
        <v>141</v>
      </c>
      <c r="CG99" s="199" t="s">
        <v>141</v>
      </c>
      <c r="CH99" s="200" t="s">
        <v>141</v>
      </c>
      <c r="CI99" s="201" t="s">
        <v>141</v>
      </c>
      <c r="CJ99" s="202" t="s">
        <v>141</v>
      </c>
      <c r="CK99" s="203" t="s">
        <v>141</v>
      </c>
      <c r="CL99" s="204" t="s">
        <v>141</v>
      </c>
      <c r="CM99" s="205" t="s">
        <v>141</v>
      </c>
      <c r="CN99" s="206" t="s">
        <v>141</v>
      </c>
      <c r="CO99" s="207" t="s">
        <v>141</v>
      </c>
      <c r="CP99" s="208" t="s">
        <v>141</v>
      </c>
      <c r="CQ99" s="209" t="s">
        <v>141</v>
      </c>
      <c r="CR99" s="210" t="s">
        <v>141</v>
      </c>
      <c r="CS99" s="211" t="s">
        <v>141</v>
      </c>
      <c r="CT99" s="212" t="s">
        <v>141</v>
      </c>
      <c r="CU99" s="213" t="s">
        <v>141</v>
      </c>
      <c r="CV99" s="214" t="s">
        <v>141</v>
      </c>
      <c r="CW99" s="215" t="s">
        <v>141</v>
      </c>
      <c r="CX99" s="216">
        <v>11</v>
      </c>
      <c r="CY99" s="217" t="s">
        <v>150</v>
      </c>
      <c r="CZ99" s="218" t="s">
        <v>1484</v>
      </c>
      <c r="DA99" s="219" t="s">
        <v>152</v>
      </c>
      <c r="DB99" s="220" t="s">
        <v>153</v>
      </c>
      <c r="DC99" s="221" t="s">
        <v>1485</v>
      </c>
      <c r="DD99" s="222" t="s">
        <v>310</v>
      </c>
      <c r="DE99" s="223" t="s">
        <v>1486</v>
      </c>
      <c r="DF99" s="224" t="s">
        <v>157</v>
      </c>
      <c r="DG99" s="225">
        <v>2011</v>
      </c>
      <c r="DH99" s="226" t="s">
        <v>1487</v>
      </c>
      <c r="DI99" s="228" t="str">
        <f>HYPERLINK("https://my.pitchbook.com?c=57889-72T", "View company online")</f>
        <v>View company online</v>
      </c>
    </row>
    <row r="100" spans="1:113" x14ac:dyDescent="0.2">
      <c r="A100" s="3" t="s">
        <v>1488</v>
      </c>
      <c r="B100" s="4" t="s">
        <v>1472</v>
      </c>
      <c r="C100" s="5" t="s">
        <v>1473</v>
      </c>
      <c r="D100" s="6" t="s">
        <v>1474</v>
      </c>
      <c r="E100" s="7" t="s">
        <v>1475</v>
      </c>
      <c r="F100" s="8" t="s">
        <v>126</v>
      </c>
      <c r="G100" s="9" t="s">
        <v>127</v>
      </c>
      <c r="H100" s="10" t="s">
        <v>128</v>
      </c>
      <c r="I100" s="11" t="s">
        <v>129</v>
      </c>
      <c r="J100" s="12" t="s">
        <v>130</v>
      </c>
      <c r="K100" s="13" t="s">
        <v>1476</v>
      </c>
      <c r="L100" s="14" t="s">
        <v>402</v>
      </c>
      <c r="M100" s="15" t="s">
        <v>133</v>
      </c>
      <c r="N100" s="16" t="s">
        <v>231</v>
      </c>
      <c r="O100" s="17" t="s">
        <v>1477</v>
      </c>
      <c r="P100" s="18" t="s">
        <v>1478</v>
      </c>
      <c r="Q100" s="19" t="s">
        <v>1479</v>
      </c>
      <c r="R100" s="20" t="s">
        <v>1480</v>
      </c>
      <c r="S100" s="21" t="s">
        <v>1481</v>
      </c>
      <c r="T100" s="22" t="s">
        <v>1482</v>
      </c>
      <c r="U100" s="23">
        <v>2</v>
      </c>
      <c r="V100" s="24" t="s">
        <v>1488</v>
      </c>
      <c r="W100" s="25">
        <v>42240</v>
      </c>
      <c r="X100" s="26">
        <v>42251</v>
      </c>
      <c r="Y100" s="27">
        <v>0.16</v>
      </c>
      <c r="Z100" s="28" t="s">
        <v>177</v>
      </c>
      <c r="AA100" s="29" t="s">
        <v>141</v>
      </c>
      <c r="AB100" s="30" t="s">
        <v>141</v>
      </c>
      <c r="AC100" s="31" t="s">
        <v>141</v>
      </c>
      <c r="AD100" s="32" t="s">
        <v>141</v>
      </c>
      <c r="AE100" s="33">
        <v>0.26</v>
      </c>
      <c r="AF100" s="34" t="s">
        <v>1080</v>
      </c>
      <c r="AG100" s="35" t="s">
        <v>141</v>
      </c>
      <c r="AH100" s="36" t="s">
        <v>141</v>
      </c>
      <c r="AI100" s="37" t="s">
        <v>141</v>
      </c>
      <c r="AJ100" s="38" t="s">
        <v>1081</v>
      </c>
      <c r="AK100" s="39" t="s">
        <v>1081</v>
      </c>
      <c r="AL100" s="40" t="s">
        <v>141</v>
      </c>
      <c r="AM100" s="41" t="s">
        <v>485</v>
      </c>
      <c r="AN100" s="42" t="s">
        <v>1489</v>
      </c>
      <c r="AO100" s="43">
        <v>0.16</v>
      </c>
      <c r="AP100" s="44" t="s">
        <v>145</v>
      </c>
      <c r="AQ100" s="45" t="s">
        <v>141</v>
      </c>
      <c r="AR100" s="46" t="s">
        <v>141</v>
      </c>
      <c r="AS100" s="47" t="s">
        <v>141</v>
      </c>
      <c r="AT100" s="48" t="s">
        <v>141</v>
      </c>
      <c r="AU100" s="49" t="s">
        <v>141</v>
      </c>
      <c r="AV100" s="50" t="s">
        <v>141</v>
      </c>
      <c r="AW100" s="51" t="s">
        <v>141</v>
      </c>
      <c r="AX100" s="52" t="s">
        <v>141</v>
      </c>
      <c r="AY100" s="53" t="s">
        <v>141</v>
      </c>
      <c r="AZ100" s="54" t="s">
        <v>141</v>
      </c>
      <c r="BA100" s="55" t="s">
        <v>146</v>
      </c>
      <c r="BB100" s="56" t="s">
        <v>133</v>
      </c>
      <c r="BC100" s="57" t="s">
        <v>402</v>
      </c>
      <c r="BD100" s="58">
        <v>11</v>
      </c>
      <c r="BE100" s="59" t="s">
        <v>141</v>
      </c>
      <c r="BF100" s="60" t="s">
        <v>141</v>
      </c>
      <c r="BG100" s="61" t="s">
        <v>141</v>
      </c>
      <c r="BH100" s="62" t="s">
        <v>141</v>
      </c>
      <c r="BI100" s="63" t="s">
        <v>141</v>
      </c>
      <c r="BJ100" s="64" t="s">
        <v>141</v>
      </c>
      <c r="BK100" s="65" t="s">
        <v>141</v>
      </c>
      <c r="BL100" s="66" t="s">
        <v>141</v>
      </c>
      <c r="BM100" s="67" t="s">
        <v>141</v>
      </c>
      <c r="BN100" s="68" t="s">
        <v>141</v>
      </c>
      <c r="BO100" s="69" t="s">
        <v>141</v>
      </c>
      <c r="BP100" s="70" t="s">
        <v>141</v>
      </c>
      <c r="BQ100" s="71" t="s">
        <v>141</v>
      </c>
      <c r="BR100" s="72" t="s">
        <v>141</v>
      </c>
      <c r="BS100" s="73" t="s">
        <v>141</v>
      </c>
      <c r="BT100" s="74" t="s">
        <v>141</v>
      </c>
      <c r="BU100" s="75" t="s">
        <v>141</v>
      </c>
      <c r="BV100" s="76" t="s">
        <v>141</v>
      </c>
      <c r="BW100" s="77" t="s">
        <v>141</v>
      </c>
      <c r="BX100" s="78" t="s">
        <v>141</v>
      </c>
      <c r="BY100" s="79" t="s">
        <v>141</v>
      </c>
      <c r="BZ100" s="80" t="s">
        <v>141</v>
      </c>
      <c r="CA100" s="81" t="s">
        <v>141</v>
      </c>
      <c r="CB100" s="82" t="s">
        <v>141</v>
      </c>
      <c r="CC100" s="83" t="s">
        <v>141</v>
      </c>
      <c r="CD100" s="84" t="s">
        <v>141</v>
      </c>
      <c r="CE100" s="85" t="s">
        <v>141</v>
      </c>
      <c r="CF100" s="86" t="s">
        <v>141</v>
      </c>
      <c r="CG100" s="87" t="s">
        <v>141</v>
      </c>
      <c r="CH100" s="88" t="s">
        <v>141</v>
      </c>
      <c r="CI100" s="89" t="s">
        <v>141</v>
      </c>
      <c r="CJ100" s="90" t="s">
        <v>141</v>
      </c>
      <c r="CK100" s="91" t="s">
        <v>141</v>
      </c>
      <c r="CL100" s="92" t="s">
        <v>141</v>
      </c>
      <c r="CM100" s="93" t="s">
        <v>141</v>
      </c>
      <c r="CN100" s="94" t="s">
        <v>141</v>
      </c>
      <c r="CO100" s="95" t="s">
        <v>141</v>
      </c>
      <c r="CP100" s="96" t="s">
        <v>141</v>
      </c>
      <c r="CQ100" s="97" t="s">
        <v>141</v>
      </c>
      <c r="CR100" s="98" t="s">
        <v>141</v>
      </c>
      <c r="CS100" s="99" t="s">
        <v>141</v>
      </c>
      <c r="CT100" s="100" t="s">
        <v>141</v>
      </c>
      <c r="CU100" s="101" t="s">
        <v>141</v>
      </c>
      <c r="CV100" s="102" t="s">
        <v>141</v>
      </c>
      <c r="CW100" s="103" t="s">
        <v>141</v>
      </c>
      <c r="CX100" s="104">
        <v>11</v>
      </c>
      <c r="CY100" s="105" t="s">
        <v>150</v>
      </c>
      <c r="CZ100" s="106" t="s">
        <v>1484</v>
      </c>
      <c r="DA100" s="107" t="s">
        <v>152</v>
      </c>
      <c r="DB100" s="108" t="s">
        <v>153</v>
      </c>
      <c r="DC100" s="109" t="s">
        <v>1485</v>
      </c>
      <c r="DD100" s="110" t="s">
        <v>310</v>
      </c>
      <c r="DE100" s="111" t="s">
        <v>1486</v>
      </c>
      <c r="DF100" s="112" t="s">
        <v>157</v>
      </c>
      <c r="DG100" s="113">
        <v>2011</v>
      </c>
      <c r="DH100" s="114" t="s">
        <v>1487</v>
      </c>
      <c r="DI100" s="227" t="str">
        <f>HYPERLINK("https://my.pitchbook.com?c=57889-99T", "View company online")</f>
        <v>View company online</v>
      </c>
    </row>
    <row r="101" spans="1:113" x14ac:dyDescent="0.2">
      <c r="A101" s="115" t="s">
        <v>1490</v>
      </c>
      <c r="B101" s="116" t="s">
        <v>1472</v>
      </c>
      <c r="C101" s="117" t="s">
        <v>1473</v>
      </c>
      <c r="D101" s="118" t="s">
        <v>1474</v>
      </c>
      <c r="E101" s="119" t="s">
        <v>1475</v>
      </c>
      <c r="F101" s="120" t="s">
        <v>126</v>
      </c>
      <c r="G101" s="121" t="s">
        <v>127</v>
      </c>
      <c r="H101" s="122" t="s">
        <v>128</v>
      </c>
      <c r="I101" s="123" t="s">
        <v>129</v>
      </c>
      <c r="J101" s="124" t="s">
        <v>130</v>
      </c>
      <c r="K101" s="125" t="s">
        <v>1476</v>
      </c>
      <c r="L101" s="126" t="s">
        <v>402</v>
      </c>
      <c r="M101" s="127" t="s">
        <v>133</v>
      </c>
      <c r="N101" s="128" t="s">
        <v>231</v>
      </c>
      <c r="O101" s="129" t="s">
        <v>1477</v>
      </c>
      <c r="P101" s="130" t="s">
        <v>1478</v>
      </c>
      <c r="Q101" s="131" t="s">
        <v>1479</v>
      </c>
      <c r="R101" s="132" t="s">
        <v>1480</v>
      </c>
      <c r="S101" s="133" t="s">
        <v>1481</v>
      </c>
      <c r="T101" s="134" t="s">
        <v>1482</v>
      </c>
      <c r="U101" s="135">
        <v>3</v>
      </c>
      <c r="V101" s="136" t="s">
        <v>1490</v>
      </c>
      <c r="W101" s="137">
        <v>42646</v>
      </c>
      <c r="X101" s="138">
        <v>42906</v>
      </c>
      <c r="Y101" s="139">
        <v>0.2</v>
      </c>
      <c r="Z101" s="140" t="s">
        <v>177</v>
      </c>
      <c r="AA101" s="141" t="s">
        <v>141</v>
      </c>
      <c r="AB101" s="142" t="s">
        <v>141</v>
      </c>
      <c r="AC101" s="143" t="s">
        <v>141</v>
      </c>
      <c r="AD101" s="144" t="s">
        <v>141</v>
      </c>
      <c r="AE101" s="145">
        <v>0.46</v>
      </c>
      <c r="AF101" s="146" t="s">
        <v>1080</v>
      </c>
      <c r="AG101" s="147" t="s">
        <v>141</v>
      </c>
      <c r="AH101" s="148" t="s">
        <v>141</v>
      </c>
      <c r="AI101" s="149" t="s">
        <v>141</v>
      </c>
      <c r="AJ101" s="150" t="s">
        <v>1081</v>
      </c>
      <c r="AK101" s="151" t="s">
        <v>1081</v>
      </c>
      <c r="AL101" s="152" t="s">
        <v>141</v>
      </c>
      <c r="AM101" s="153" t="s">
        <v>485</v>
      </c>
      <c r="AN101" s="154" t="s">
        <v>1475</v>
      </c>
      <c r="AO101" s="155">
        <v>0.2</v>
      </c>
      <c r="AP101" s="156" t="s">
        <v>145</v>
      </c>
      <c r="AQ101" s="157" t="s">
        <v>141</v>
      </c>
      <c r="AR101" s="158" t="s">
        <v>141</v>
      </c>
      <c r="AS101" s="159" t="s">
        <v>141</v>
      </c>
      <c r="AT101" s="160" t="s">
        <v>141</v>
      </c>
      <c r="AU101" s="161" t="s">
        <v>141</v>
      </c>
      <c r="AV101" s="162" t="s">
        <v>141</v>
      </c>
      <c r="AW101" s="163" t="s">
        <v>141</v>
      </c>
      <c r="AX101" s="164" t="s">
        <v>141</v>
      </c>
      <c r="AY101" s="165" t="s">
        <v>141</v>
      </c>
      <c r="AZ101" s="166" t="s">
        <v>141</v>
      </c>
      <c r="BA101" s="167" t="s">
        <v>146</v>
      </c>
      <c r="BB101" s="168" t="s">
        <v>133</v>
      </c>
      <c r="BC101" s="169" t="s">
        <v>402</v>
      </c>
      <c r="BD101" s="170" t="s">
        <v>141</v>
      </c>
      <c r="BE101" s="171" t="s">
        <v>141</v>
      </c>
      <c r="BF101" s="172" t="s">
        <v>141</v>
      </c>
      <c r="BG101" s="173" t="s">
        <v>141</v>
      </c>
      <c r="BH101" s="174" t="s">
        <v>141</v>
      </c>
      <c r="BI101" s="175" t="s">
        <v>141</v>
      </c>
      <c r="BJ101" s="176" t="s">
        <v>141</v>
      </c>
      <c r="BK101" s="177" t="s">
        <v>141</v>
      </c>
      <c r="BL101" s="178" t="s">
        <v>141</v>
      </c>
      <c r="BM101" s="179" t="s">
        <v>141</v>
      </c>
      <c r="BN101" s="180" t="s">
        <v>141</v>
      </c>
      <c r="BO101" s="181" t="s">
        <v>141</v>
      </c>
      <c r="BP101" s="182" t="s">
        <v>141</v>
      </c>
      <c r="BQ101" s="183" t="s">
        <v>141</v>
      </c>
      <c r="BR101" s="184" t="s">
        <v>141</v>
      </c>
      <c r="BS101" s="185" t="s">
        <v>141</v>
      </c>
      <c r="BT101" s="186" t="s">
        <v>141</v>
      </c>
      <c r="BU101" s="187" t="s">
        <v>141</v>
      </c>
      <c r="BV101" s="188" t="s">
        <v>141</v>
      </c>
      <c r="BW101" s="189" t="s">
        <v>141</v>
      </c>
      <c r="BX101" s="190" t="s">
        <v>141</v>
      </c>
      <c r="BY101" s="191" t="s">
        <v>141</v>
      </c>
      <c r="BZ101" s="192" t="s">
        <v>141</v>
      </c>
      <c r="CA101" s="193" t="s">
        <v>141</v>
      </c>
      <c r="CB101" s="194" t="s">
        <v>141</v>
      </c>
      <c r="CC101" s="195" t="s">
        <v>141</v>
      </c>
      <c r="CD101" s="196" t="s">
        <v>141</v>
      </c>
      <c r="CE101" s="197" t="s">
        <v>141</v>
      </c>
      <c r="CF101" s="198" t="s">
        <v>141</v>
      </c>
      <c r="CG101" s="199" t="s">
        <v>141</v>
      </c>
      <c r="CH101" s="200" t="s">
        <v>141</v>
      </c>
      <c r="CI101" s="201" t="s">
        <v>141</v>
      </c>
      <c r="CJ101" s="202" t="s">
        <v>141</v>
      </c>
      <c r="CK101" s="203" t="s">
        <v>141</v>
      </c>
      <c r="CL101" s="204" t="s">
        <v>141</v>
      </c>
      <c r="CM101" s="205" t="s">
        <v>141</v>
      </c>
      <c r="CN101" s="206" t="s">
        <v>141</v>
      </c>
      <c r="CO101" s="207" t="s">
        <v>141</v>
      </c>
      <c r="CP101" s="208" t="s">
        <v>141</v>
      </c>
      <c r="CQ101" s="209" t="s">
        <v>141</v>
      </c>
      <c r="CR101" s="210" t="s">
        <v>141</v>
      </c>
      <c r="CS101" s="211" t="s">
        <v>141</v>
      </c>
      <c r="CT101" s="212" t="s">
        <v>141</v>
      </c>
      <c r="CU101" s="213" t="s">
        <v>141</v>
      </c>
      <c r="CV101" s="214" t="s">
        <v>141</v>
      </c>
      <c r="CW101" s="215" t="s">
        <v>141</v>
      </c>
      <c r="CX101" s="216">
        <v>11</v>
      </c>
      <c r="CY101" s="217" t="s">
        <v>150</v>
      </c>
      <c r="CZ101" s="218" t="s">
        <v>1484</v>
      </c>
      <c r="DA101" s="219" t="s">
        <v>152</v>
      </c>
      <c r="DB101" s="220" t="s">
        <v>153</v>
      </c>
      <c r="DC101" s="221" t="s">
        <v>1485</v>
      </c>
      <c r="DD101" s="222" t="s">
        <v>310</v>
      </c>
      <c r="DE101" s="223" t="s">
        <v>1486</v>
      </c>
      <c r="DF101" s="224" t="s">
        <v>157</v>
      </c>
      <c r="DG101" s="225">
        <v>2011</v>
      </c>
      <c r="DH101" s="226" t="s">
        <v>1487</v>
      </c>
      <c r="DI101" s="228" t="str">
        <f>HYPERLINK("https://my.pitchbook.com?c=77251-60T", "View company online")</f>
        <v>View company online</v>
      </c>
    </row>
    <row r="102" spans="1:113" x14ac:dyDescent="0.2">
      <c r="A102" s="3" t="s">
        <v>1491</v>
      </c>
      <c r="B102" s="4" t="s">
        <v>1472</v>
      </c>
      <c r="C102" s="5" t="s">
        <v>1473</v>
      </c>
      <c r="D102" s="6" t="s">
        <v>1474</v>
      </c>
      <c r="E102" s="7" t="s">
        <v>1475</v>
      </c>
      <c r="F102" s="8" t="s">
        <v>126</v>
      </c>
      <c r="G102" s="9" t="s">
        <v>127</v>
      </c>
      <c r="H102" s="10" t="s">
        <v>128</v>
      </c>
      <c r="I102" s="11" t="s">
        <v>129</v>
      </c>
      <c r="J102" s="12" t="s">
        <v>130</v>
      </c>
      <c r="K102" s="13" t="s">
        <v>1476</v>
      </c>
      <c r="L102" s="14" t="s">
        <v>402</v>
      </c>
      <c r="M102" s="15" t="s">
        <v>133</v>
      </c>
      <c r="N102" s="16" t="s">
        <v>231</v>
      </c>
      <c r="O102" s="17" t="s">
        <v>1477</v>
      </c>
      <c r="P102" s="18" t="s">
        <v>1478</v>
      </c>
      <c r="Q102" s="19" t="s">
        <v>1479</v>
      </c>
      <c r="R102" s="20" t="s">
        <v>1480</v>
      </c>
      <c r="S102" s="21" t="s">
        <v>1481</v>
      </c>
      <c r="T102" s="22" t="s">
        <v>1482</v>
      </c>
      <c r="U102" s="23">
        <v>4</v>
      </c>
      <c r="V102" s="24" t="s">
        <v>1491</v>
      </c>
      <c r="W102" s="25">
        <v>43297</v>
      </c>
      <c r="X102" s="26">
        <v>43313</v>
      </c>
      <c r="Y102" s="27">
        <v>1</v>
      </c>
      <c r="Z102" s="28" t="s">
        <v>177</v>
      </c>
      <c r="AA102" s="29" t="s">
        <v>141</v>
      </c>
      <c r="AB102" s="30" t="s">
        <v>141</v>
      </c>
      <c r="AC102" s="31" t="s">
        <v>141</v>
      </c>
      <c r="AD102" s="32" t="s">
        <v>141</v>
      </c>
      <c r="AE102" s="33">
        <v>1.46</v>
      </c>
      <c r="AF102" s="34" t="s">
        <v>1080</v>
      </c>
      <c r="AG102" s="35" t="s">
        <v>141</v>
      </c>
      <c r="AH102" s="36" t="s">
        <v>141</v>
      </c>
      <c r="AI102" s="37" t="s">
        <v>141</v>
      </c>
      <c r="AJ102" s="38" t="s">
        <v>1081</v>
      </c>
      <c r="AK102" s="39" t="s">
        <v>1081</v>
      </c>
      <c r="AL102" s="40" t="s">
        <v>141</v>
      </c>
      <c r="AM102" s="41" t="s">
        <v>485</v>
      </c>
      <c r="AN102" s="42" t="s">
        <v>1492</v>
      </c>
      <c r="AO102" s="43">
        <v>1</v>
      </c>
      <c r="AP102" s="44" t="s">
        <v>145</v>
      </c>
      <c r="AQ102" s="45" t="s">
        <v>141</v>
      </c>
      <c r="AR102" s="46" t="s">
        <v>141</v>
      </c>
      <c r="AS102" s="47" t="s">
        <v>141</v>
      </c>
      <c r="AT102" s="48" t="s">
        <v>141</v>
      </c>
      <c r="AU102" s="49" t="s">
        <v>141</v>
      </c>
      <c r="AV102" s="50" t="s">
        <v>141</v>
      </c>
      <c r="AW102" s="51" t="s">
        <v>141</v>
      </c>
      <c r="AX102" s="52" t="s">
        <v>141</v>
      </c>
      <c r="AY102" s="53" t="s">
        <v>141</v>
      </c>
      <c r="AZ102" s="54" t="s">
        <v>141</v>
      </c>
      <c r="BA102" s="55" t="s">
        <v>146</v>
      </c>
      <c r="BB102" s="56" t="s">
        <v>133</v>
      </c>
      <c r="BC102" s="57" t="s">
        <v>402</v>
      </c>
      <c r="BD102" s="58" t="s">
        <v>141</v>
      </c>
      <c r="BE102" s="59" t="s">
        <v>141</v>
      </c>
      <c r="BF102" s="60" t="s">
        <v>141</v>
      </c>
      <c r="BG102" s="61" t="s">
        <v>141</v>
      </c>
      <c r="BH102" s="62" t="s">
        <v>141</v>
      </c>
      <c r="BI102" s="63" t="s">
        <v>141</v>
      </c>
      <c r="BJ102" s="64" t="s">
        <v>141</v>
      </c>
      <c r="BK102" s="65" t="s">
        <v>141</v>
      </c>
      <c r="BL102" s="66" t="s">
        <v>141</v>
      </c>
      <c r="BM102" s="67" t="s">
        <v>141</v>
      </c>
      <c r="BN102" s="68" t="s">
        <v>141</v>
      </c>
      <c r="BO102" s="69" t="s">
        <v>141</v>
      </c>
      <c r="BP102" s="70" t="s">
        <v>141</v>
      </c>
      <c r="BQ102" s="71" t="s">
        <v>141</v>
      </c>
      <c r="BR102" s="72" t="s">
        <v>141</v>
      </c>
      <c r="BS102" s="73" t="s">
        <v>141</v>
      </c>
      <c r="BT102" s="74" t="s">
        <v>141</v>
      </c>
      <c r="BU102" s="75" t="s">
        <v>141</v>
      </c>
      <c r="BV102" s="76" t="s">
        <v>141</v>
      </c>
      <c r="BW102" s="77" t="s">
        <v>141</v>
      </c>
      <c r="BX102" s="78" t="s">
        <v>141</v>
      </c>
      <c r="BY102" s="79" t="s">
        <v>141</v>
      </c>
      <c r="BZ102" s="80" t="s">
        <v>141</v>
      </c>
      <c r="CA102" s="81" t="s">
        <v>141</v>
      </c>
      <c r="CB102" s="82" t="s">
        <v>141</v>
      </c>
      <c r="CC102" s="83" t="s">
        <v>141</v>
      </c>
      <c r="CD102" s="84" t="s">
        <v>141</v>
      </c>
      <c r="CE102" s="85" t="s">
        <v>141</v>
      </c>
      <c r="CF102" s="86" t="s">
        <v>141</v>
      </c>
      <c r="CG102" s="87" t="s">
        <v>141</v>
      </c>
      <c r="CH102" s="88" t="s">
        <v>141</v>
      </c>
      <c r="CI102" s="89" t="s">
        <v>141</v>
      </c>
      <c r="CJ102" s="90" t="s">
        <v>141</v>
      </c>
      <c r="CK102" s="91" t="s">
        <v>141</v>
      </c>
      <c r="CL102" s="92" t="s">
        <v>141</v>
      </c>
      <c r="CM102" s="93" t="s">
        <v>141</v>
      </c>
      <c r="CN102" s="94" t="s">
        <v>141</v>
      </c>
      <c r="CO102" s="95" t="s">
        <v>141</v>
      </c>
      <c r="CP102" s="96" t="s">
        <v>141</v>
      </c>
      <c r="CQ102" s="97" t="s">
        <v>141</v>
      </c>
      <c r="CR102" s="98" t="s">
        <v>141</v>
      </c>
      <c r="CS102" s="99" t="s">
        <v>141</v>
      </c>
      <c r="CT102" s="100" t="s">
        <v>141</v>
      </c>
      <c r="CU102" s="101" t="s">
        <v>141</v>
      </c>
      <c r="CV102" s="102" t="s">
        <v>141</v>
      </c>
      <c r="CW102" s="103" t="s">
        <v>141</v>
      </c>
      <c r="CX102" s="104">
        <v>11</v>
      </c>
      <c r="CY102" s="105" t="s">
        <v>150</v>
      </c>
      <c r="CZ102" s="106" t="s">
        <v>1484</v>
      </c>
      <c r="DA102" s="107" t="s">
        <v>152</v>
      </c>
      <c r="DB102" s="108" t="s">
        <v>153</v>
      </c>
      <c r="DC102" s="109" t="s">
        <v>1485</v>
      </c>
      <c r="DD102" s="110" t="s">
        <v>310</v>
      </c>
      <c r="DE102" s="111" t="s">
        <v>1486</v>
      </c>
      <c r="DF102" s="112" t="s">
        <v>157</v>
      </c>
      <c r="DG102" s="113">
        <v>2011</v>
      </c>
      <c r="DH102" s="114" t="s">
        <v>1487</v>
      </c>
      <c r="DI102" s="227" t="str">
        <f>HYPERLINK("https://my.pitchbook.com?c=129052-99T", "View company online")</f>
        <v>View company online</v>
      </c>
    </row>
    <row r="103" spans="1:113" x14ac:dyDescent="0.2">
      <c r="A103" s="115" t="s">
        <v>1493</v>
      </c>
      <c r="B103" s="116" t="s">
        <v>1033</v>
      </c>
      <c r="C103" s="117" t="s">
        <v>1034</v>
      </c>
      <c r="D103" s="118" t="s">
        <v>1035</v>
      </c>
      <c r="E103" s="119" t="s">
        <v>1036</v>
      </c>
      <c r="F103" s="120" t="s">
        <v>126</v>
      </c>
      <c r="G103" s="121" t="s">
        <v>127</v>
      </c>
      <c r="H103" s="122" t="s">
        <v>128</v>
      </c>
      <c r="I103" s="123" t="s">
        <v>129</v>
      </c>
      <c r="J103" s="124" t="s">
        <v>141</v>
      </c>
      <c r="K103" s="125" t="s">
        <v>1037</v>
      </c>
      <c r="L103" s="126" t="s">
        <v>132</v>
      </c>
      <c r="M103" s="127" t="s">
        <v>133</v>
      </c>
      <c r="N103" s="128" t="s">
        <v>170</v>
      </c>
      <c r="O103" s="129" t="s">
        <v>1494</v>
      </c>
      <c r="P103" s="130" t="s">
        <v>1495</v>
      </c>
      <c r="Q103" s="131" t="s">
        <v>141</v>
      </c>
      <c r="R103" s="132" t="s">
        <v>141</v>
      </c>
      <c r="S103" s="133" t="s">
        <v>1496</v>
      </c>
      <c r="T103" s="134" t="s">
        <v>141</v>
      </c>
      <c r="U103" s="135">
        <v>1</v>
      </c>
      <c r="V103" s="136" t="s">
        <v>1493</v>
      </c>
      <c r="W103" s="137" t="s">
        <v>141</v>
      </c>
      <c r="X103" s="138" t="s">
        <v>141</v>
      </c>
      <c r="Y103" s="139" t="s">
        <v>141</v>
      </c>
      <c r="Z103" s="140" t="s">
        <v>141</v>
      </c>
      <c r="AA103" s="141" t="s">
        <v>141</v>
      </c>
      <c r="AB103" s="142" t="s">
        <v>141</v>
      </c>
      <c r="AC103" s="143" t="s">
        <v>141</v>
      </c>
      <c r="AD103" s="144" t="s">
        <v>141</v>
      </c>
      <c r="AE103" s="145" t="s">
        <v>141</v>
      </c>
      <c r="AF103" s="146" t="s">
        <v>1080</v>
      </c>
      <c r="AG103" s="147" t="s">
        <v>141</v>
      </c>
      <c r="AH103" s="148" t="s">
        <v>141</v>
      </c>
      <c r="AI103" s="149" t="s">
        <v>141</v>
      </c>
      <c r="AJ103" s="150" t="s">
        <v>1081</v>
      </c>
      <c r="AK103" s="151" t="s">
        <v>1081</v>
      </c>
      <c r="AL103" s="152" t="s">
        <v>141</v>
      </c>
      <c r="AM103" s="153" t="s">
        <v>485</v>
      </c>
      <c r="AN103" s="154" t="s">
        <v>1497</v>
      </c>
      <c r="AO103" s="155" t="s">
        <v>141</v>
      </c>
      <c r="AP103" s="156" t="s">
        <v>145</v>
      </c>
      <c r="AQ103" s="157" t="s">
        <v>141</v>
      </c>
      <c r="AR103" s="158" t="s">
        <v>141</v>
      </c>
      <c r="AS103" s="159" t="s">
        <v>141</v>
      </c>
      <c r="AT103" s="160" t="s">
        <v>141</v>
      </c>
      <c r="AU103" s="161" t="s">
        <v>141</v>
      </c>
      <c r="AV103" s="162" t="s">
        <v>141</v>
      </c>
      <c r="AW103" s="163" t="s">
        <v>141</v>
      </c>
      <c r="AX103" s="164" t="s">
        <v>141</v>
      </c>
      <c r="AY103" s="165" t="s">
        <v>141</v>
      </c>
      <c r="AZ103" s="166" t="s">
        <v>141</v>
      </c>
      <c r="BA103" s="167" t="s">
        <v>146</v>
      </c>
      <c r="BB103" s="168" t="s">
        <v>133</v>
      </c>
      <c r="BC103" s="169" t="s">
        <v>402</v>
      </c>
      <c r="BD103" s="170" t="s">
        <v>141</v>
      </c>
      <c r="BE103" s="171">
        <v>1</v>
      </c>
      <c r="BF103" s="172" t="s">
        <v>1498</v>
      </c>
      <c r="BG103" s="173">
        <v>1</v>
      </c>
      <c r="BH103" s="174" t="s">
        <v>141</v>
      </c>
      <c r="BI103" s="175" t="s">
        <v>141</v>
      </c>
      <c r="BJ103" s="176" t="s">
        <v>141</v>
      </c>
      <c r="BK103" s="177" t="s">
        <v>1499</v>
      </c>
      <c r="BL103" s="178" t="s">
        <v>1500</v>
      </c>
      <c r="BM103" s="179" t="s">
        <v>1500</v>
      </c>
      <c r="BN103" s="180" t="s">
        <v>141</v>
      </c>
      <c r="BO103" s="181" t="s">
        <v>141</v>
      </c>
      <c r="BP103" s="182" t="s">
        <v>141</v>
      </c>
      <c r="BQ103" s="183" t="s">
        <v>141</v>
      </c>
      <c r="BR103" s="184" t="s">
        <v>141</v>
      </c>
      <c r="BS103" s="185" t="s">
        <v>141</v>
      </c>
      <c r="BT103" s="186" t="s">
        <v>141</v>
      </c>
      <c r="BU103" s="187" t="s">
        <v>141</v>
      </c>
      <c r="BV103" s="188" t="s">
        <v>141</v>
      </c>
      <c r="BW103" s="189" t="s">
        <v>141</v>
      </c>
      <c r="BX103" s="190" t="s">
        <v>141</v>
      </c>
      <c r="BY103" s="191" t="s">
        <v>141</v>
      </c>
      <c r="BZ103" s="192" t="s">
        <v>141</v>
      </c>
      <c r="CA103" s="193" t="s">
        <v>141</v>
      </c>
      <c r="CB103" s="194" t="s">
        <v>141</v>
      </c>
      <c r="CC103" s="195" t="s">
        <v>141</v>
      </c>
      <c r="CD103" s="196" t="s">
        <v>141</v>
      </c>
      <c r="CE103" s="197" t="s">
        <v>141</v>
      </c>
      <c r="CF103" s="198" t="s">
        <v>141</v>
      </c>
      <c r="CG103" s="199" t="s">
        <v>141</v>
      </c>
      <c r="CH103" s="200" t="s">
        <v>141</v>
      </c>
      <c r="CI103" s="201" t="s">
        <v>141</v>
      </c>
      <c r="CJ103" s="202" t="s">
        <v>141</v>
      </c>
      <c r="CK103" s="203" t="s">
        <v>141</v>
      </c>
      <c r="CL103" s="204" t="s">
        <v>141</v>
      </c>
      <c r="CM103" s="205" t="s">
        <v>141</v>
      </c>
      <c r="CN103" s="206" t="s">
        <v>141</v>
      </c>
      <c r="CO103" s="207" t="s">
        <v>141</v>
      </c>
      <c r="CP103" s="208" t="s">
        <v>141</v>
      </c>
      <c r="CQ103" s="209" t="s">
        <v>141</v>
      </c>
      <c r="CR103" s="210" t="s">
        <v>141</v>
      </c>
      <c r="CS103" s="211" t="s">
        <v>141</v>
      </c>
      <c r="CT103" s="212" t="s">
        <v>141</v>
      </c>
      <c r="CU103" s="213" t="s">
        <v>141</v>
      </c>
      <c r="CV103" s="214" t="s">
        <v>141</v>
      </c>
      <c r="CW103" s="215" t="s">
        <v>141</v>
      </c>
      <c r="CX103" s="216">
        <v>17</v>
      </c>
      <c r="CY103" s="217" t="s">
        <v>150</v>
      </c>
      <c r="CZ103" s="218" t="s">
        <v>200</v>
      </c>
      <c r="DA103" s="219" t="s">
        <v>152</v>
      </c>
      <c r="DB103" s="220" t="s">
        <v>153</v>
      </c>
      <c r="DC103" s="221" t="s">
        <v>201</v>
      </c>
      <c r="DD103" s="222" t="s">
        <v>201</v>
      </c>
      <c r="DE103" s="223" t="s">
        <v>1046</v>
      </c>
      <c r="DF103" s="224" t="s">
        <v>157</v>
      </c>
      <c r="DG103" s="225">
        <v>2016</v>
      </c>
      <c r="DH103" s="226" t="s">
        <v>1047</v>
      </c>
      <c r="DI103" s="228" t="str">
        <f>HYPERLINK("https://my.pitchbook.com?c=109821-52T", "View company online")</f>
        <v>View company online</v>
      </c>
    </row>
    <row r="104" spans="1:113" x14ac:dyDescent="0.2">
      <c r="A104" s="3" t="s">
        <v>1501</v>
      </c>
      <c r="B104" s="4" t="s">
        <v>1033</v>
      </c>
      <c r="C104" s="5" t="s">
        <v>1034</v>
      </c>
      <c r="D104" s="6" t="s">
        <v>1035</v>
      </c>
      <c r="E104" s="7" t="s">
        <v>1036</v>
      </c>
      <c r="F104" s="8" t="s">
        <v>126</v>
      </c>
      <c r="G104" s="9" t="s">
        <v>127</v>
      </c>
      <c r="H104" s="10" t="s">
        <v>128</v>
      </c>
      <c r="I104" s="11" t="s">
        <v>129</v>
      </c>
      <c r="J104" s="12" t="s">
        <v>141</v>
      </c>
      <c r="K104" s="13" t="s">
        <v>1037</v>
      </c>
      <c r="L104" s="14" t="s">
        <v>132</v>
      </c>
      <c r="M104" s="15" t="s">
        <v>133</v>
      </c>
      <c r="N104" s="16" t="s">
        <v>170</v>
      </c>
      <c r="O104" s="17" t="s">
        <v>1038</v>
      </c>
      <c r="P104" s="18" t="s">
        <v>1039</v>
      </c>
      <c r="Q104" s="19" t="s">
        <v>1040</v>
      </c>
      <c r="R104" s="20" t="s">
        <v>1041</v>
      </c>
      <c r="S104" s="21" t="s">
        <v>1042</v>
      </c>
      <c r="T104" s="22" t="s">
        <v>141</v>
      </c>
      <c r="U104" s="23">
        <v>4</v>
      </c>
      <c r="V104" s="24" t="s">
        <v>1501</v>
      </c>
      <c r="W104" s="25" t="s">
        <v>141</v>
      </c>
      <c r="X104" s="26">
        <v>43811</v>
      </c>
      <c r="Y104" s="27">
        <v>2</v>
      </c>
      <c r="Z104" s="28" t="s">
        <v>177</v>
      </c>
      <c r="AA104" s="29" t="s">
        <v>141</v>
      </c>
      <c r="AB104" s="30" t="s">
        <v>141</v>
      </c>
      <c r="AC104" s="31" t="s">
        <v>141</v>
      </c>
      <c r="AD104" s="32" t="s">
        <v>141</v>
      </c>
      <c r="AE104" s="33">
        <v>3.97</v>
      </c>
      <c r="AF104" s="34" t="s">
        <v>1080</v>
      </c>
      <c r="AG104" s="35" t="s">
        <v>141</v>
      </c>
      <c r="AH104" s="36" t="s">
        <v>141</v>
      </c>
      <c r="AI104" s="37" t="s">
        <v>141</v>
      </c>
      <c r="AJ104" s="38" t="s">
        <v>1081</v>
      </c>
      <c r="AK104" s="39" t="s">
        <v>1081</v>
      </c>
      <c r="AL104" s="40" t="s">
        <v>141</v>
      </c>
      <c r="AM104" s="41" t="s">
        <v>485</v>
      </c>
      <c r="AN104" s="42" t="s">
        <v>1036</v>
      </c>
      <c r="AO104" s="43" t="s">
        <v>141</v>
      </c>
      <c r="AP104" s="44" t="s">
        <v>145</v>
      </c>
      <c r="AQ104" s="45" t="s">
        <v>141</v>
      </c>
      <c r="AR104" s="46" t="s">
        <v>141</v>
      </c>
      <c r="AS104" s="47" t="s">
        <v>281</v>
      </c>
      <c r="AT104" s="48" t="s">
        <v>141</v>
      </c>
      <c r="AU104" s="49" t="s">
        <v>141</v>
      </c>
      <c r="AV104" s="50">
        <v>2</v>
      </c>
      <c r="AW104" s="51" t="s">
        <v>141</v>
      </c>
      <c r="AX104" s="52" t="s">
        <v>141</v>
      </c>
      <c r="AY104" s="53">
        <v>2</v>
      </c>
      <c r="AZ104" s="54" t="s">
        <v>141</v>
      </c>
      <c r="BA104" s="55" t="s">
        <v>146</v>
      </c>
      <c r="BB104" s="56" t="s">
        <v>133</v>
      </c>
      <c r="BC104" s="57" t="s">
        <v>132</v>
      </c>
      <c r="BD104" s="58" t="s">
        <v>141</v>
      </c>
      <c r="BE104" s="59" t="s">
        <v>141</v>
      </c>
      <c r="BF104" s="60" t="s">
        <v>141</v>
      </c>
      <c r="BG104" s="61" t="s">
        <v>141</v>
      </c>
      <c r="BH104" s="62" t="s">
        <v>141</v>
      </c>
      <c r="BI104" s="63" t="s">
        <v>141</v>
      </c>
      <c r="BJ104" s="64" t="s">
        <v>141</v>
      </c>
      <c r="BK104" s="65" t="s">
        <v>141</v>
      </c>
      <c r="BL104" s="66" t="s">
        <v>141</v>
      </c>
      <c r="BM104" s="67" t="s">
        <v>141</v>
      </c>
      <c r="BN104" s="68" t="s">
        <v>141</v>
      </c>
      <c r="BO104" s="69" t="s">
        <v>141</v>
      </c>
      <c r="BP104" s="70" t="s">
        <v>141</v>
      </c>
      <c r="BQ104" s="71" t="s">
        <v>141</v>
      </c>
      <c r="BR104" s="72" t="s">
        <v>141</v>
      </c>
      <c r="BS104" s="73" t="s">
        <v>141</v>
      </c>
      <c r="BT104" s="74" t="s">
        <v>141</v>
      </c>
      <c r="BU104" s="75" t="s">
        <v>141</v>
      </c>
      <c r="BV104" s="76" t="s">
        <v>141</v>
      </c>
      <c r="BW104" s="77" t="s">
        <v>141</v>
      </c>
      <c r="BX104" s="78" t="s">
        <v>141</v>
      </c>
      <c r="BY104" s="79" t="s">
        <v>141</v>
      </c>
      <c r="BZ104" s="80" t="s">
        <v>141</v>
      </c>
      <c r="CA104" s="81" t="s">
        <v>141</v>
      </c>
      <c r="CB104" s="82" t="s">
        <v>141</v>
      </c>
      <c r="CC104" s="83" t="s">
        <v>141</v>
      </c>
      <c r="CD104" s="84" t="s">
        <v>141</v>
      </c>
      <c r="CE104" s="85" t="s">
        <v>141</v>
      </c>
      <c r="CF104" s="86" t="s">
        <v>141</v>
      </c>
      <c r="CG104" s="87" t="s">
        <v>141</v>
      </c>
      <c r="CH104" s="88" t="s">
        <v>141</v>
      </c>
      <c r="CI104" s="89" t="s">
        <v>141</v>
      </c>
      <c r="CJ104" s="90" t="s">
        <v>141</v>
      </c>
      <c r="CK104" s="91" t="s">
        <v>141</v>
      </c>
      <c r="CL104" s="92" t="s">
        <v>141</v>
      </c>
      <c r="CM104" s="93" t="s">
        <v>141</v>
      </c>
      <c r="CN104" s="94" t="s">
        <v>141</v>
      </c>
      <c r="CO104" s="95" t="s">
        <v>141</v>
      </c>
      <c r="CP104" s="96" t="s">
        <v>141</v>
      </c>
      <c r="CQ104" s="97" t="s">
        <v>141</v>
      </c>
      <c r="CR104" s="98" t="s">
        <v>141</v>
      </c>
      <c r="CS104" s="99" t="s">
        <v>141</v>
      </c>
      <c r="CT104" s="100" t="s">
        <v>141</v>
      </c>
      <c r="CU104" s="101" t="s">
        <v>141</v>
      </c>
      <c r="CV104" s="102" t="s">
        <v>141</v>
      </c>
      <c r="CW104" s="103" t="s">
        <v>141</v>
      </c>
      <c r="CX104" s="104">
        <v>17</v>
      </c>
      <c r="CY104" s="105" t="s">
        <v>150</v>
      </c>
      <c r="CZ104" s="106" t="s">
        <v>200</v>
      </c>
      <c r="DA104" s="107" t="s">
        <v>152</v>
      </c>
      <c r="DB104" s="108" t="s">
        <v>153</v>
      </c>
      <c r="DC104" s="109" t="s">
        <v>201</v>
      </c>
      <c r="DD104" s="110" t="s">
        <v>201</v>
      </c>
      <c r="DE104" s="111" t="s">
        <v>1046</v>
      </c>
      <c r="DF104" s="112" t="s">
        <v>157</v>
      </c>
      <c r="DG104" s="113">
        <v>2016</v>
      </c>
      <c r="DH104" s="114" t="s">
        <v>1047</v>
      </c>
      <c r="DI104" s="227" t="str">
        <f>HYPERLINK("https://my.pitchbook.com?c=128061-55T", "View company online")</f>
        <v>View company online</v>
      </c>
    </row>
    <row r="105" spans="1:113" x14ac:dyDescent="0.2">
      <c r="A105" s="115" t="s">
        <v>1502</v>
      </c>
      <c r="B105" s="116" t="s">
        <v>735</v>
      </c>
      <c r="C105" s="117" t="s">
        <v>736</v>
      </c>
      <c r="D105" s="118" t="s">
        <v>737</v>
      </c>
      <c r="E105" s="119" t="s">
        <v>738</v>
      </c>
      <c r="F105" s="120" t="s">
        <v>126</v>
      </c>
      <c r="G105" s="121" t="s">
        <v>456</v>
      </c>
      <c r="H105" s="122" t="s">
        <v>457</v>
      </c>
      <c r="I105" s="123" t="s">
        <v>515</v>
      </c>
      <c r="J105" s="124" t="s">
        <v>211</v>
      </c>
      <c r="K105" s="125" t="s">
        <v>739</v>
      </c>
      <c r="L105" s="126" t="s">
        <v>740</v>
      </c>
      <c r="M105" s="127" t="s">
        <v>133</v>
      </c>
      <c r="N105" s="128" t="s">
        <v>741</v>
      </c>
      <c r="O105" s="129" t="s">
        <v>742</v>
      </c>
      <c r="P105" s="130" t="s">
        <v>743</v>
      </c>
      <c r="Q105" s="131" t="s">
        <v>744</v>
      </c>
      <c r="R105" s="132" t="s">
        <v>141</v>
      </c>
      <c r="S105" s="133" t="s">
        <v>745</v>
      </c>
      <c r="T105" s="134" t="s">
        <v>746</v>
      </c>
      <c r="U105" s="135">
        <v>7</v>
      </c>
      <c r="V105" s="136" t="s">
        <v>1502</v>
      </c>
      <c r="W105" s="137" t="s">
        <v>141</v>
      </c>
      <c r="X105" s="138">
        <v>42954</v>
      </c>
      <c r="Y105" s="139">
        <v>7.25</v>
      </c>
      <c r="Z105" s="140" t="s">
        <v>177</v>
      </c>
      <c r="AA105" s="141" t="s">
        <v>141</v>
      </c>
      <c r="AB105" s="142" t="s">
        <v>141</v>
      </c>
      <c r="AC105" s="143" t="s">
        <v>141</v>
      </c>
      <c r="AD105" s="144" t="s">
        <v>141</v>
      </c>
      <c r="AE105" s="145">
        <v>94.96</v>
      </c>
      <c r="AF105" s="146" t="s">
        <v>141</v>
      </c>
      <c r="AG105" s="147" t="s">
        <v>141</v>
      </c>
      <c r="AH105" s="148" t="s">
        <v>141</v>
      </c>
      <c r="AI105" s="149" t="s">
        <v>141</v>
      </c>
      <c r="AJ105" s="150" t="s">
        <v>1503</v>
      </c>
      <c r="AK105" s="151" t="s">
        <v>141</v>
      </c>
      <c r="AL105" s="152" t="s">
        <v>141</v>
      </c>
      <c r="AM105" s="153" t="s">
        <v>1504</v>
      </c>
      <c r="AN105" s="154" t="s">
        <v>1505</v>
      </c>
      <c r="AO105" s="155" t="s">
        <v>141</v>
      </c>
      <c r="AP105" s="156" t="s">
        <v>145</v>
      </c>
      <c r="AQ105" s="157" t="s">
        <v>141</v>
      </c>
      <c r="AR105" s="158" t="s">
        <v>141</v>
      </c>
      <c r="AS105" s="159" t="s">
        <v>281</v>
      </c>
      <c r="AT105" s="160" t="s">
        <v>141</v>
      </c>
      <c r="AU105" s="161" t="s">
        <v>141</v>
      </c>
      <c r="AV105" s="162">
        <v>7.25</v>
      </c>
      <c r="AW105" s="163" t="s">
        <v>141</v>
      </c>
      <c r="AX105" s="164" t="s">
        <v>141</v>
      </c>
      <c r="AY105" s="165">
        <v>7.25</v>
      </c>
      <c r="AZ105" s="166" t="s">
        <v>141</v>
      </c>
      <c r="BA105" s="167" t="s">
        <v>146</v>
      </c>
      <c r="BB105" s="168" t="s">
        <v>133</v>
      </c>
      <c r="BC105" s="169" t="s">
        <v>132</v>
      </c>
      <c r="BD105" s="170" t="s">
        <v>141</v>
      </c>
      <c r="BE105" s="171">
        <v>2</v>
      </c>
      <c r="BF105" s="172" t="s">
        <v>1506</v>
      </c>
      <c r="BG105" s="173">
        <v>1</v>
      </c>
      <c r="BH105" s="174" t="s">
        <v>1507</v>
      </c>
      <c r="BI105" s="175">
        <v>1</v>
      </c>
      <c r="BJ105" s="176" t="s">
        <v>141</v>
      </c>
      <c r="BK105" s="177" t="s">
        <v>1508</v>
      </c>
      <c r="BL105" s="178" t="s">
        <v>1509</v>
      </c>
      <c r="BM105" s="179" t="s">
        <v>141</v>
      </c>
      <c r="BN105" s="180" t="s">
        <v>1510</v>
      </c>
      <c r="BO105" s="181" t="s">
        <v>141</v>
      </c>
      <c r="BP105" s="182" t="s">
        <v>141</v>
      </c>
      <c r="BQ105" s="183" t="s">
        <v>141</v>
      </c>
      <c r="BR105" s="184" t="s">
        <v>766</v>
      </c>
      <c r="BS105" s="185" t="s">
        <v>766</v>
      </c>
      <c r="BT105" s="186" t="s">
        <v>141</v>
      </c>
      <c r="BU105" s="187" t="s">
        <v>141</v>
      </c>
      <c r="BV105" s="188" t="s">
        <v>141</v>
      </c>
      <c r="BW105" s="189" t="s">
        <v>141</v>
      </c>
      <c r="BX105" s="190">
        <v>100</v>
      </c>
      <c r="BY105" s="191">
        <v>-25.93</v>
      </c>
      <c r="BZ105" s="192" t="s">
        <v>141</v>
      </c>
      <c r="CA105" s="193" t="s">
        <v>141</v>
      </c>
      <c r="CB105" s="194" t="s">
        <v>141</v>
      </c>
      <c r="CC105" s="195" t="s">
        <v>141</v>
      </c>
      <c r="CD105" s="196" t="s">
        <v>141</v>
      </c>
      <c r="CE105" s="197">
        <v>2018</v>
      </c>
      <c r="CF105" s="198" t="s">
        <v>141</v>
      </c>
      <c r="CG105" s="199" t="s">
        <v>141</v>
      </c>
      <c r="CH105" s="200" t="s">
        <v>141</v>
      </c>
      <c r="CI105" s="201" t="s">
        <v>141</v>
      </c>
      <c r="CJ105" s="202" t="s">
        <v>141</v>
      </c>
      <c r="CK105" s="203" t="s">
        <v>141</v>
      </c>
      <c r="CL105" s="204" t="s">
        <v>141</v>
      </c>
      <c r="CM105" s="205" t="s">
        <v>141</v>
      </c>
      <c r="CN105" s="206">
        <v>7.0000000000000007E-2</v>
      </c>
      <c r="CO105" s="207" t="s">
        <v>141</v>
      </c>
      <c r="CP105" s="208" t="s">
        <v>141</v>
      </c>
      <c r="CQ105" s="209" t="s">
        <v>141</v>
      </c>
      <c r="CR105" s="210" t="s">
        <v>141</v>
      </c>
      <c r="CS105" s="211" t="s">
        <v>141</v>
      </c>
      <c r="CT105" s="212" t="s">
        <v>141</v>
      </c>
      <c r="CU105" s="213" t="s">
        <v>141</v>
      </c>
      <c r="CV105" s="214" t="s">
        <v>141</v>
      </c>
      <c r="CW105" s="215" t="s">
        <v>141</v>
      </c>
      <c r="CX105" s="216">
        <v>501</v>
      </c>
      <c r="CY105" s="217" t="s">
        <v>150</v>
      </c>
      <c r="CZ105" s="218" t="s">
        <v>200</v>
      </c>
      <c r="DA105" s="219" t="s">
        <v>152</v>
      </c>
      <c r="DB105" s="220" t="s">
        <v>153</v>
      </c>
      <c r="DC105" s="221" t="s">
        <v>201</v>
      </c>
      <c r="DD105" s="222" t="s">
        <v>201</v>
      </c>
      <c r="DE105" s="223" t="s">
        <v>141</v>
      </c>
      <c r="DF105" s="224" t="s">
        <v>157</v>
      </c>
      <c r="DG105" s="225">
        <v>2012</v>
      </c>
      <c r="DH105" s="226" t="s">
        <v>749</v>
      </c>
      <c r="DI105" s="228" t="str">
        <f>HYPERLINK("https://my.pitchbook.com?c=92373-04T", "View company online")</f>
        <v>View company online</v>
      </c>
    </row>
    <row r="106" spans="1:113" x14ac:dyDescent="0.2">
      <c r="A106" s="3" t="s">
        <v>1511</v>
      </c>
      <c r="B106" s="4" t="s">
        <v>751</v>
      </c>
      <c r="C106" s="5" t="s">
        <v>752</v>
      </c>
      <c r="D106" s="6" t="s">
        <v>753</v>
      </c>
      <c r="E106" s="7" t="s">
        <v>754</v>
      </c>
      <c r="F106" s="8" t="s">
        <v>126</v>
      </c>
      <c r="G106" s="9" t="s">
        <v>252</v>
      </c>
      <c r="H106" s="10" t="s">
        <v>253</v>
      </c>
      <c r="I106" s="11" t="s">
        <v>755</v>
      </c>
      <c r="J106" s="12" t="s">
        <v>756</v>
      </c>
      <c r="K106" s="13" t="s">
        <v>757</v>
      </c>
      <c r="L106" s="14" t="s">
        <v>132</v>
      </c>
      <c r="M106" s="15" t="s">
        <v>133</v>
      </c>
      <c r="N106" s="16" t="s">
        <v>134</v>
      </c>
      <c r="O106" s="17" t="s">
        <v>758</v>
      </c>
      <c r="P106" s="18" t="s">
        <v>759</v>
      </c>
      <c r="Q106" s="19" t="s">
        <v>760</v>
      </c>
      <c r="R106" s="20" t="s">
        <v>761</v>
      </c>
      <c r="S106" s="21" t="s">
        <v>762</v>
      </c>
      <c r="T106" s="22" t="s">
        <v>763</v>
      </c>
      <c r="U106" s="23">
        <v>3</v>
      </c>
      <c r="V106" s="24" t="s">
        <v>1511</v>
      </c>
      <c r="W106" s="25" t="s">
        <v>141</v>
      </c>
      <c r="X106" s="26">
        <v>41974</v>
      </c>
      <c r="Y106" s="27">
        <v>0.8</v>
      </c>
      <c r="Z106" s="28" t="s">
        <v>177</v>
      </c>
      <c r="AA106" s="29" t="s">
        <v>141</v>
      </c>
      <c r="AB106" s="30" t="s">
        <v>141</v>
      </c>
      <c r="AC106" s="31" t="s">
        <v>141</v>
      </c>
      <c r="AD106" s="32" t="s">
        <v>141</v>
      </c>
      <c r="AE106" s="33">
        <v>0.85</v>
      </c>
      <c r="AF106" s="34" t="s">
        <v>141</v>
      </c>
      <c r="AG106" s="35" t="s">
        <v>141</v>
      </c>
      <c r="AH106" s="36" t="s">
        <v>141</v>
      </c>
      <c r="AI106" s="37" t="s">
        <v>141</v>
      </c>
      <c r="AJ106" s="38" t="s">
        <v>1503</v>
      </c>
      <c r="AK106" s="39" t="s">
        <v>141</v>
      </c>
      <c r="AL106" s="40" t="s">
        <v>141</v>
      </c>
      <c r="AM106" s="41" t="s">
        <v>1504</v>
      </c>
      <c r="AN106" s="42" t="s">
        <v>1512</v>
      </c>
      <c r="AO106" s="43" t="s">
        <v>141</v>
      </c>
      <c r="AP106" s="44" t="s">
        <v>145</v>
      </c>
      <c r="AQ106" s="45" t="s">
        <v>141</v>
      </c>
      <c r="AR106" s="46" t="s">
        <v>141</v>
      </c>
      <c r="AS106" s="47" t="s">
        <v>281</v>
      </c>
      <c r="AT106" s="48" t="s">
        <v>141</v>
      </c>
      <c r="AU106" s="49" t="s">
        <v>141</v>
      </c>
      <c r="AV106" s="50">
        <v>0.8</v>
      </c>
      <c r="AW106" s="51" t="s">
        <v>141</v>
      </c>
      <c r="AX106" s="52" t="s">
        <v>141</v>
      </c>
      <c r="AY106" s="53">
        <v>0.8</v>
      </c>
      <c r="AZ106" s="54" t="s">
        <v>141</v>
      </c>
      <c r="BA106" s="55" t="s">
        <v>146</v>
      </c>
      <c r="BB106" s="56" t="s">
        <v>263</v>
      </c>
      <c r="BC106" s="57" t="s">
        <v>132</v>
      </c>
      <c r="BD106" s="58" t="s">
        <v>141</v>
      </c>
      <c r="BE106" s="59">
        <v>1</v>
      </c>
      <c r="BF106" s="60" t="s">
        <v>1513</v>
      </c>
      <c r="BG106" s="61">
        <v>1</v>
      </c>
      <c r="BH106" s="62" t="s">
        <v>141</v>
      </c>
      <c r="BI106" s="63" t="s">
        <v>141</v>
      </c>
      <c r="BJ106" s="64" t="s">
        <v>141</v>
      </c>
      <c r="BK106" s="65" t="s">
        <v>1514</v>
      </c>
      <c r="BL106" s="66" t="s">
        <v>1513</v>
      </c>
      <c r="BM106" s="67" t="s">
        <v>1513</v>
      </c>
      <c r="BN106" s="68" t="s">
        <v>141</v>
      </c>
      <c r="BO106" s="69" t="s">
        <v>141</v>
      </c>
      <c r="BP106" s="70" t="s">
        <v>141</v>
      </c>
      <c r="BQ106" s="71" t="s">
        <v>141</v>
      </c>
      <c r="BR106" s="72" t="s">
        <v>766</v>
      </c>
      <c r="BS106" s="73" t="s">
        <v>766</v>
      </c>
      <c r="BT106" s="74" t="s">
        <v>141</v>
      </c>
      <c r="BU106" s="75" t="s">
        <v>141</v>
      </c>
      <c r="BV106" s="76" t="s">
        <v>141</v>
      </c>
      <c r="BW106" s="77" t="s">
        <v>141</v>
      </c>
      <c r="BX106" s="78" t="s">
        <v>141</v>
      </c>
      <c r="BY106" s="79" t="s">
        <v>141</v>
      </c>
      <c r="BZ106" s="80" t="s">
        <v>141</v>
      </c>
      <c r="CA106" s="81" t="s">
        <v>141</v>
      </c>
      <c r="CB106" s="82" t="s">
        <v>141</v>
      </c>
      <c r="CC106" s="83" t="s">
        <v>141</v>
      </c>
      <c r="CD106" s="84" t="s">
        <v>141</v>
      </c>
      <c r="CE106" s="85" t="s">
        <v>141</v>
      </c>
      <c r="CF106" s="86" t="s">
        <v>141</v>
      </c>
      <c r="CG106" s="87" t="s">
        <v>141</v>
      </c>
      <c r="CH106" s="88" t="s">
        <v>141</v>
      </c>
      <c r="CI106" s="89" t="s">
        <v>141</v>
      </c>
      <c r="CJ106" s="90" t="s">
        <v>141</v>
      </c>
      <c r="CK106" s="91" t="s">
        <v>141</v>
      </c>
      <c r="CL106" s="92" t="s">
        <v>141</v>
      </c>
      <c r="CM106" s="93" t="s">
        <v>141</v>
      </c>
      <c r="CN106" s="94" t="s">
        <v>141</v>
      </c>
      <c r="CO106" s="95" t="s">
        <v>141</v>
      </c>
      <c r="CP106" s="96" t="s">
        <v>141</v>
      </c>
      <c r="CQ106" s="97" t="s">
        <v>141</v>
      </c>
      <c r="CR106" s="98" t="s">
        <v>141</v>
      </c>
      <c r="CS106" s="99" t="s">
        <v>141</v>
      </c>
      <c r="CT106" s="100" t="s">
        <v>141</v>
      </c>
      <c r="CU106" s="101" t="s">
        <v>141</v>
      </c>
      <c r="CV106" s="102" t="s">
        <v>141</v>
      </c>
      <c r="CW106" s="103" t="s">
        <v>141</v>
      </c>
      <c r="CX106" s="104">
        <v>13</v>
      </c>
      <c r="CY106" s="105" t="s">
        <v>150</v>
      </c>
      <c r="CZ106" s="106" t="s">
        <v>180</v>
      </c>
      <c r="DA106" s="107" t="s">
        <v>152</v>
      </c>
      <c r="DB106" s="108" t="s">
        <v>153</v>
      </c>
      <c r="DC106" s="109" t="s">
        <v>181</v>
      </c>
      <c r="DD106" s="110" t="s">
        <v>182</v>
      </c>
      <c r="DE106" s="111" t="s">
        <v>469</v>
      </c>
      <c r="DF106" s="112" t="s">
        <v>157</v>
      </c>
      <c r="DG106" s="113">
        <v>2012</v>
      </c>
      <c r="DH106" s="114" t="s">
        <v>767</v>
      </c>
      <c r="DI106" s="227" t="str">
        <f>HYPERLINK("https://my.pitchbook.com?c=59846-77T", "View company online")</f>
        <v>View company online</v>
      </c>
    </row>
    <row r="107" spans="1:113" x14ac:dyDescent="0.2">
      <c r="A107" s="115" t="s">
        <v>1515</v>
      </c>
      <c r="B107" s="116" t="s">
        <v>122</v>
      </c>
      <c r="C107" s="117" t="s">
        <v>123</v>
      </c>
      <c r="D107" s="118" t="s">
        <v>124</v>
      </c>
      <c r="E107" s="119" t="s">
        <v>125</v>
      </c>
      <c r="F107" s="120" t="s">
        <v>126</v>
      </c>
      <c r="G107" s="121" t="s">
        <v>127</v>
      </c>
      <c r="H107" s="122" t="s">
        <v>128</v>
      </c>
      <c r="I107" s="123" t="s">
        <v>129</v>
      </c>
      <c r="J107" s="124" t="s">
        <v>130</v>
      </c>
      <c r="K107" s="125" t="s">
        <v>131</v>
      </c>
      <c r="L107" s="126" t="s">
        <v>132</v>
      </c>
      <c r="M107" s="127" t="s">
        <v>133</v>
      </c>
      <c r="N107" s="128" t="s">
        <v>134</v>
      </c>
      <c r="O107" s="129" t="s">
        <v>135</v>
      </c>
      <c r="P107" s="130" t="s">
        <v>136</v>
      </c>
      <c r="Q107" s="131" t="s">
        <v>137</v>
      </c>
      <c r="R107" s="132" t="s">
        <v>138</v>
      </c>
      <c r="S107" s="133" t="s">
        <v>139</v>
      </c>
      <c r="T107" s="134" t="s">
        <v>140</v>
      </c>
      <c r="U107" s="135">
        <v>5</v>
      </c>
      <c r="V107" s="136" t="s">
        <v>1515</v>
      </c>
      <c r="W107" s="137" t="s">
        <v>141</v>
      </c>
      <c r="X107" s="138">
        <v>43762</v>
      </c>
      <c r="Y107" s="139">
        <v>7.9</v>
      </c>
      <c r="Z107" s="140" t="s">
        <v>177</v>
      </c>
      <c r="AA107" s="141">
        <v>14.1</v>
      </c>
      <c r="AB107" s="142">
        <v>22</v>
      </c>
      <c r="AC107" s="143" t="s">
        <v>177</v>
      </c>
      <c r="AD107" s="144">
        <v>35.89</v>
      </c>
      <c r="AE107" s="145">
        <v>10.8</v>
      </c>
      <c r="AF107" s="146" t="s">
        <v>1516</v>
      </c>
      <c r="AG107" s="147" t="s">
        <v>1188</v>
      </c>
      <c r="AH107" s="148">
        <v>0.96</v>
      </c>
      <c r="AI107" s="149" t="s">
        <v>1517</v>
      </c>
      <c r="AJ107" s="150" t="s">
        <v>1518</v>
      </c>
      <c r="AK107" s="151" t="s">
        <v>1517</v>
      </c>
      <c r="AL107" s="152" t="s">
        <v>141</v>
      </c>
      <c r="AM107" s="153" t="s">
        <v>170</v>
      </c>
      <c r="AN107" s="154" t="s">
        <v>125</v>
      </c>
      <c r="AO107" s="155">
        <v>7.9</v>
      </c>
      <c r="AP107" s="156" t="s">
        <v>145</v>
      </c>
      <c r="AQ107" s="157" t="s">
        <v>141</v>
      </c>
      <c r="AR107" s="158" t="s">
        <v>141</v>
      </c>
      <c r="AS107" s="159" t="s">
        <v>141</v>
      </c>
      <c r="AT107" s="160" t="s">
        <v>141</v>
      </c>
      <c r="AU107" s="161" t="s">
        <v>141</v>
      </c>
      <c r="AV107" s="162" t="s">
        <v>141</v>
      </c>
      <c r="AW107" s="163" t="s">
        <v>141</v>
      </c>
      <c r="AX107" s="164" t="s">
        <v>141</v>
      </c>
      <c r="AY107" s="165" t="s">
        <v>141</v>
      </c>
      <c r="AZ107" s="166" t="s">
        <v>141</v>
      </c>
      <c r="BA107" s="167" t="s">
        <v>146</v>
      </c>
      <c r="BB107" s="168" t="s">
        <v>133</v>
      </c>
      <c r="BC107" s="169" t="s">
        <v>132</v>
      </c>
      <c r="BD107" s="170">
        <v>31</v>
      </c>
      <c r="BE107" s="171">
        <v>8</v>
      </c>
      <c r="BF107" s="172" t="s">
        <v>1519</v>
      </c>
      <c r="BG107" s="173">
        <v>6</v>
      </c>
      <c r="BH107" s="174" t="s">
        <v>1520</v>
      </c>
      <c r="BI107" s="175">
        <v>2</v>
      </c>
      <c r="BJ107" s="176" t="s">
        <v>141</v>
      </c>
      <c r="BK107" s="177" t="s">
        <v>1521</v>
      </c>
      <c r="BL107" s="178" t="s">
        <v>1522</v>
      </c>
      <c r="BM107" s="179" t="s">
        <v>1523</v>
      </c>
      <c r="BN107" s="180" t="s">
        <v>1524</v>
      </c>
      <c r="BO107" s="181" t="s">
        <v>141</v>
      </c>
      <c r="BP107" s="182" t="s">
        <v>141</v>
      </c>
      <c r="BQ107" s="183" t="s">
        <v>141</v>
      </c>
      <c r="BR107" s="184" t="s">
        <v>1525</v>
      </c>
      <c r="BS107" s="185" t="s">
        <v>1525</v>
      </c>
      <c r="BT107" s="186" t="s">
        <v>141</v>
      </c>
      <c r="BU107" s="187" t="s">
        <v>141</v>
      </c>
      <c r="BV107" s="188" t="s">
        <v>141</v>
      </c>
      <c r="BW107" s="189" t="s">
        <v>141</v>
      </c>
      <c r="BX107" s="190" t="s">
        <v>141</v>
      </c>
      <c r="BY107" s="191" t="s">
        <v>141</v>
      </c>
      <c r="BZ107" s="192" t="s">
        <v>141</v>
      </c>
      <c r="CA107" s="193" t="s">
        <v>141</v>
      </c>
      <c r="CB107" s="194" t="s">
        <v>141</v>
      </c>
      <c r="CC107" s="195" t="s">
        <v>141</v>
      </c>
      <c r="CD107" s="196" t="s">
        <v>141</v>
      </c>
      <c r="CE107" s="197" t="s">
        <v>141</v>
      </c>
      <c r="CF107" s="198" t="s">
        <v>141</v>
      </c>
      <c r="CG107" s="199" t="s">
        <v>141</v>
      </c>
      <c r="CH107" s="200" t="s">
        <v>141</v>
      </c>
      <c r="CI107" s="201" t="s">
        <v>141</v>
      </c>
      <c r="CJ107" s="202" t="s">
        <v>141</v>
      </c>
      <c r="CK107" s="203" t="s">
        <v>141</v>
      </c>
      <c r="CL107" s="204" t="s">
        <v>141</v>
      </c>
      <c r="CM107" s="205" t="s">
        <v>141</v>
      </c>
      <c r="CN107" s="206" t="s">
        <v>141</v>
      </c>
      <c r="CO107" s="207" t="s">
        <v>141</v>
      </c>
      <c r="CP107" s="208" t="s">
        <v>141</v>
      </c>
      <c r="CQ107" s="209" t="s">
        <v>141</v>
      </c>
      <c r="CR107" s="210" t="s">
        <v>141</v>
      </c>
      <c r="CS107" s="211" t="s">
        <v>141</v>
      </c>
      <c r="CT107" s="212" t="s">
        <v>141</v>
      </c>
      <c r="CU107" s="213" t="s">
        <v>141</v>
      </c>
      <c r="CV107" s="214" t="s">
        <v>141</v>
      </c>
      <c r="CW107" s="215" t="s">
        <v>141</v>
      </c>
      <c r="CX107" s="216">
        <v>31</v>
      </c>
      <c r="CY107" s="217" t="s">
        <v>150</v>
      </c>
      <c r="CZ107" s="218" t="s">
        <v>151</v>
      </c>
      <c r="DA107" s="219" t="s">
        <v>152</v>
      </c>
      <c r="DB107" s="220" t="s">
        <v>153</v>
      </c>
      <c r="DC107" s="221" t="s">
        <v>154</v>
      </c>
      <c r="DD107" s="222" t="s">
        <v>155</v>
      </c>
      <c r="DE107" s="223" t="s">
        <v>156</v>
      </c>
      <c r="DF107" s="224" t="s">
        <v>157</v>
      </c>
      <c r="DG107" s="225">
        <v>2015</v>
      </c>
      <c r="DH107" s="226" t="s">
        <v>158</v>
      </c>
      <c r="DI107" s="228" t="str">
        <f>HYPERLINK("https://my.pitchbook.com?c=123401-17T", "View company online")</f>
        <v>View company online</v>
      </c>
    </row>
    <row r="108" spans="1:113" x14ac:dyDescent="0.2">
      <c r="A108" s="3" t="s">
        <v>1526</v>
      </c>
      <c r="B108" s="4" t="s">
        <v>1527</v>
      </c>
      <c r="C108" s="5" t="s">
        <v>1528</v>
      </c>
      <c r="D108" s="6" t="s">
        <v>1529</v>
      </c>
      <c r="E108" s="7" t="s">
        <v>1530</v>
      </c>
      <c r="F108" s="8" t="s">
        <v>126</v>
      </c>
      <c r="G108" s="9" t="s">
        <v>208</v>
      </c>
      <c r="H108" s="10" t="s">
        <v>209</v>
      </c>
      <c r="I108" s="11" t="s">
        <v>1531</v>
      </c>
      <c r="J108" s="12" t="s">
        <v>1532</v>
      </c>
      <c r="K108" s="13" t="s">
        <v>1533</v>
      </c>
      <c r="L108" s="14" t="s">
        <v>132</v>
      </c>
      <c r="M108" s="15" t="s">
        <v>133</v>
      </c>
      <c r="N108" s="16" t="s">
        <v>170</v>
      </c>
      <c r="O108" s="17" t="s">
        <v>1534</v>
      </c>
      <c r="P108" s="18" t="s">
        <v>1535</v>
      </c>
      <c r="Q108" s="19" t="s">
        <v>141</v>
      </c>
      <c r="R108" s="20" t="s">
        <v>1536</v>
      </c>
      <c r="S108" s="21" t="s">
        <v>1537</v>
      </c>
      <c r="T108" s="22" t="s">
        <v>1538</v>
      </c>
      <c r="U108" s="23">
        <v>3</v>
      </c>
      <c r="V108" s="24" t="s">
        <v>1526</v>
      </c>
      <c r="W108" s="25">
        <v>43025</v>
      </c>
      <c r="X108" s="26">
        <v>43055</v>
      </c>
      <c r="Y108" s="27">
        <v>5</v>
      </c>
      <c r="Z108" s="28" t="s">
        <v>177</v>
      </c>
      <c r="AA108" s="29">
        <v>25</v>
      </c>
      <c r="AB108" s="30">
        <v>31</v>
      </c>
      <c r="AC108" s="31" t="s">
        <v>177</v>
      </c>
      <c r="AD108" s="32" t="s">
        <v>141</v>
      </c>
      <c r="AE108" s="33">
        <v>8.85</v>
      </c>
      <c r="AF108" s="34" t="s">
        <v>1516</v>
      </c>
      <c r="AG108" s="35" t="s">
        <v>1188</v>
      </c>
      <c r="AH108" s="36">
        <v>13.49</v>
      </c>
      <c r="AI108" s="37" t="s">
        <v>1517</v>
      </c>
      <c r="AJ108" s="38" t="s">
        <v>1518</v>
      </c>
      <c r="AK108" s="39" t="s">
        <v>1517</v>
      </c>
      <c r="AL108" s="40" t="s">
        <v>141</v>
      </c>
      <c r="AM108" s="41" t="s">
        <v>170</v>
      </c>
      <c r="AN108" s="42" t="s">
        <v>1539</v>
      </c>
      <c r="AO108" s="43">
        <v>5</v>
      </c>
      <c r="AP108" s="44" t="s">
        <v>145</v>
      </c>
      <c r="AQ108" s="45" t="s">
        <v>141</v>
      </c>
      <c r="AR108" s="46" t="s">
        <v>141</v>
      </c>
      <c r="AS108" s="47" t="s">
        <v>141</v>
      </c>
      <c r="AT108" s="48" t="s">
        <v>141</v>
      </c>
      <c r="AU108" s="49" t="s">
        <v>141</v>
      </c>
      <c r="AV108" s="50" t="s">
        <v>141</v>
      </c>
      <c r="AW108" s="51" t="s">
        <v>141</v>
      </c>
      <c r="AX108" s="52" t="s">
        <v>141</v>
      </c>
      <c r="AY108" s="53" t="s">
        <v>141</v>
      </c>
      <c r="AZ108" s="54" t="s">
        <v>141</v>
      </c>
      <c r="BA108" s="55" t="s">
        <v>146</v>
      </c>
      <c r="BB108" s="56" t="s">
        <v>263</v>
      </c>
      <c r="BC108" s="57" t="s">
        <v>132</v>
      </c>
      <c r="BD108" s="58">
        <v>32</v>
      </c>
      <c r="BE108" s="59">
        <v>6</v>
      </c>
      <c r="BF108" s="60" t="s">
        <v>1540</v>
      </c>
      <c r="BG108" s="61">
        <v>2</v>
      </c>
      <c r="BH108" s="62" t="s">
        <v>1541</v>
      </c>
      <c r="BI108" s="63">
        <v>4</v>
      </c>
      <c r="BJ108" s="64" t="s">
        <v>141</v>
      </c>
      <c r="BK108" s="65" t="s">
        <v>1542</v>
      </c>
      <c r="BL108" s="66" t="s">
        <v>1543</v>
      </c>
      <c r="BM108" s="67" t="s">
        <v>1544</v>
      </c>
      <c r="BN108" s="68" t="s">
        <v>1545</v>
      </c>
      <c r="BO108" s="69" t="s">
        <v>141</v>
      </c>
      <c r="BP108" s="70" t="s">
        <v>141</v>
      </c>
      <c r="BQ108" s="71" t="s">
        <v>141</v>
      </c>
      <c r="BR108" s="72" t="s">
        <v>1546</v>
      </c>
      <c r="BS108" s="73" t="s">
        <v>372</v>
      </c>
      <c r="BT108" s="74" t="s">
        <v>141</v>
      </c>
      <c r="BU108" s="75" t="s">
        <v>1547</v>
      </c>
      <c r="BV108" s="76" t="s">
        <v>141</v>
      </c>
      <c r="BW108" s="77" t="s">
        <v>141</v>
      </c>
      <c r="BX108" s="78">
        <v>0.8</v>
      </c>
      <c r="BY108" s="79">
        <v>220</v>
      </c>
      <c r="BZ108" s="80" t="s">
        <v>141</v>
      </c>
      <c r="CA108" s="81" t="s">
        <v>141</v>
      </c>
      <c r="CB108" s="82" t="s">
        <v>141</v>
      </c>
      <c r="CC108" s="83" t="s">
        <v>141</v>
      </c>
      <c r="CD108" s="84" t="s">
        <v>141</v>
      </c>
      <c r="CE108" s="85">
        <v>2017</v>
      </c>
      <c r="CF108" s="86" t="s">
        <v>141</v>
      </c>
      <c r="CG108" s="87" t="s">
        <v>141</v>
      </c>
      <c r="CH108" s="88" t="s">
        <v>141</v>
      </c>
      <c r="CI108" s="89">
        <v>38.75</v>
      </c>
      <c r="CJ108" s="90" t="s">
        <v>141</v>
      </c>
      <c r="CK108" s="91" t="s">
        <v>141</v>
      </c>
      <c r="CL108" s="92" t="s">
        <v>141</v>
      </c>
      <c r="CM108" s="93" t="s">
        <v>141</v>
      </c>
      <c r="CN108" s="94">
        <v>6.25</v>
      </c>
      <c r="CO108" s="95" t="s">
        <v>141</v>
      </c>
      <c r="CP108" s="96" t="s">
        <v>141</v>
      </c>
      <c r="CQ108" s="97" t="s">
        <v>141</v>
      </c>
      <c r="CR108" s="98" t="s">
        <v>141</v>
      </c>
      <c r="CS108" s="99" t="s">
        <v>141</v>
      </c>
      <c r="CT108" s="100" t="s">
        <v>141</v>
      </c>
      <c r="CU108" s="101" t="s">
        <v>141</v>
      </c>
      <c r="CV108" s="102" t="s">
        <v>141</v>
      </c>
      <c r="CW108" s="103" t="s">
        <v>141</v>
      </c>
      <c r="CX108" s="104">
        <v>80</v>
      </c>
      <c r="CY108" s="105" t="s">
        <v>150</v>
      </c>
      <c r="CZ108" s="106" t="s">
        <v>180</v>
      </c>
      <c r="DA108" s="107" t="s">
        <v>152</v>
      </c>
      <c r="DB108" s="108" t="s">
        <v>153</v>
      </c>
      <c r="DC108" s="109" t="s">
        <v>181</v>
      </c>
      <c r="DD108" s="110" t="s">
        <v>182</v>
      </c>
      <c r="DE108" s="111" t="s">
        <v>141</v>
      </c>
      <c r="DF108" s="112" t="s">
        <v>157</v>
      </c>
      <c r="DG108" s="113">
        <v>2015</v>
      </c>
      <c r="DH108" s="114" t="s">
        <v>1548</v>
      </c>
      <c r="DI108" s="227" t="str">
        <f>HYPERLINK("https://my.pitchbook.com?c=95911-93T", "View company online")</f>
        <v>View company online</v>
      </c>
    </row>
    <row r="109" spans="1:113" x14ac:dyDescent="0.2">
      <c r="A109" s="115" t="s">
        <v>1549</v>
      </c>
      <c r="B109" s="116" t="s">
        <v>1527</v>
      </c>
      <c r="C109" s="117" t="s">
        <v>1528</v>
      </c>
      <c r="D109" s="118" t="s">
        <v>1529</v>
      </c>
      <c r="E109" s="119" t="s">
        <v>1530</v>
      </c>
      <c r="F109" s="120" t="s">
        <v>126</v>
      </c>
      <c r="G109" s="121" t="s">
        <v>208</v>
      </c>
      <c r="H109" s="122" t="s">
        <v>209</v>
      </c>
      <c r="I109" s="123" t="s">
        <v>1531</v>
      </c>
      <c r="J109" s="124" t="s">
        <v>1532</v>
      </c>
      <c r="K109" s="125" t="s">
        <v>1533</v>
      </c>
      <c r="L109" s="126" t="s">
        <v>132</v>
      </c>
      <c r="M109" s="127" t="s">
        <v>133</v>
      </c>
      <c r="N109" s="128" t="s">
        <v>170</v>
      </c>
      <c r="O109" s="129" t="s">
        <v>1534</v>
      </c>
      <c r="P109" s="130" t="s">
        <v>1535</v>
      </c>
      <c r="Q109" s="131" t="s">
        <v>141</v>
      </c>
      <c r="R109" s="132" t="s">
        <v>1536</v>
      </c>
      <c r="S109" s="133" t="s">
        <v>1537</v>
      </c>
      <c r="T109" s="134" t="s">
        <v>1538</v>
      </c>
      <c r="U109" s="135">
        <v>4</v>
      </c>
      <c r="V109" s="136" t="s">
        <v>1549</v>
      </c>
      <c r="W109" s="137" t="s">
        <v>141</v>
      </c>
      <c r="X109" s="138">
        <v>43921</v>
      </c>
      <c r="Y109" s="139">
        <v>8.5</v>
      </c>
      <c r="Z109" s="140" t="s">
        <v>177</v>
      </c>
      <c r="AA109" s="141" t="s">
        <v>141</v>
      </c>
      <c r="AB109" s="142" t="s">
        <v>141</v>
      </c>
      <c r="AC109" s="143" t="s">
        <v>141</v>
      </c>
      <c r="AD109" s="144">
        <v>20.34</v>
      </c>
      <c r="AE109" s="145">
        <v>17.350000000000001</v>
      </c>
      <c r="AF109" s="146" t="s">
        <v>1550</v>
      </c>
      <c r="AG109" s="147" t="s">
        <v>141</v>
      </c>
      <c r="AH109" s="148">
        <v>11</v>
      </c>
      <c r="AI109" s="149" t="s">
        <v>1551</v>
      </c>
      <c r="AJ109" s="150" t="s">
        <v>1518</v>
      </c>
      <c r="AK109" s="151" t="s">
        <v>1551</v>
      </c>
      <c r="AL109" s="152" t="s">
        <v>141</v>
      </c>
      <c r="AM109" s="153" t="s">
        <v>170</v>
      </c>
      <c r="AN109" s="154" t="s">
        <v>1530</v>
      </c>
      <c r="AO109" s="155">
        <v>8.5</v>
      </c>
      <c r="AP109" s="156" t="s">
        <v>145</v>
      </c>
      <c r="AQ109" s="157" t="s">
        <v>141</v>
      </c>
      <c r="AR109" s="158" t="s">
        <v>141</v>
      </c>
      <c r="AS109" s="159" t="s">
        <v>141</v>
      </c>
      <c r="AT109" s="160" t="s">
        <v>141</v>
      </c>
      <c r="AU109" s="161" t="s">
        <v>141</v>
      </c>
      <c r="AV109" s="162" t="s">
        <v>141</v>
      </c>
      <c r="AW109" s="163" t="s">
        <v>141</v>
      </c>
      <c r="AX109" s="164" t="s">
        <v>141</v>
      </c>
      <c r="AY109" s="165" t="s">
        <v>141</v>
      </c>
      <c r="AZ109" s="166" t="s">
        <v>141</v>
      </c>
      <c r="BA109" s="167" t="s">
        <v>146</v>
      </c>
      <c r="BB109" s="168" t="s">
        <v>133</v>
      </c>
      <c r="BC109" s="169" t="s">
        <v>132</v>
      </c>
      <c r="BD109" s="170">
        <v>74</v>
      </c>
      <c r="BE109" s="171">
        <v>6</v>
      </c>
      <c r="BF109" s="172" t="s">
        <v>1552</v>
      </c>
      <c r="BG109" s="173">
        <v>3</v>
      </c>
      <c r="BH109" s="174" t="s">
        <v>1553</v>
      </c>
      <c r="BI109" s="175">
        <v>3</v>
      </c>
      <c r="BJ109" s="176" t="s">
        <v>141</v>
      </c>
      <c r="BK109" s="177" t="s">
        <v>1554</v>
      </c>
      <c r="BL109" s="178" t="s">
        <v>1555</v>
      </c>
      <c r="BM109" s="179" t="s">
        <v>141</v>
      </c>
      <c r="BN109" s="180" t="s">
        <v>1556</v>
      </c>
      <c r="BO109" s="181" t="s">
        <v>141</v>
      </c>
      <c r="BP109" s="182" t="s">
        <v>141</v>
      </c>
      <c r="BQ109" s="183" t="s">
        <v>141</v>
      </c>
      <c r="BR109" s="184" t="s">
        <v>1557</v>
      </c>
      <c r="BS109" s="185" t="s">
        <v>372</v>
      </c>
      <c r="BT109" s="186" t="s">
        <v>141</v>
      </c>
      <c r="BU109" s="187" t="s">
        <v>1558</v>
      </c>
      <c r="BV109" s="188" t="s">
        <v>141</v>
      </c>
      <c r="BW109" s="189" t="s">
        <v>141</v>
      </c>
      <c r="BX109" s="190">
        <v>4.8</v>
      </c>
      <c r="BY109" s="191">
        <v>500</v>
      </c>
      <c r="BZ109" s="192" t="s">
        <v>141</v>
      </c>
      <c r="CA109" s="193" t="s">
        <v>141</v>
      </c>
      <c r="CB109" s="194" t="s">
        <v>141</v>
      </c>
      <c r="CC109" s="195" t="s">
        <v>141</v>
      </c>
      <c r="CD109" s="196" t="s">
        <v>141</v>
      </c>
      <c r="CE109" s="197">
        <v>2019</v>
      </c>
      <c r="CF109" s="198" t="s">
        <v>141</v>
      </c>
      <c r="CG109" s="199" t="s">
        <v>141</v>
      </c>
      <c r="CH109" s="200" t="s">
        <v>141</v>
      </c>
      <c r="CI109" s="201" t="s">
        <v>141</v>
      </c>
      <c r="CJ109" s="202" t="s">
        <v>141</v>
      </c>
      <c r="CK109" s="203" t="s">
        <v>141</v>
      </c>
      <c r="CL109" s="204" t="s">
        <v>141</v>
      </c>
      <c r="CM109" s="205" t="s">
        <v>141</v>
      </c>
      <c r="CN109" s="206">
        <v>1.77</v>
      </c>
      <c r="CO109" s="207" t="s">
        <v>141</v>
      </c>
      <c r="CP109" s="208" t="s">
        <v>141</v>
      </c>
      <c r="CQ109" s="209" t="s">
        <v>141</v>
      </c>
      <c r="CR109" s="210" t="s">
        <v>141</v>
      </c>
      <c r="CS109" s="211" t="s">
        <v>141</v>
      </c>
      <c r="CT109" s="212" t="s">
        <v>141</v>
      </c>
      <c r="CU109" s="213" t="s">
        <v>141</v>
      </c>
      <c r="CV109" s="214" t="s">
        <v>141</v>
      </c>
      <c r="CW109" s="215" t="s">
        <v>141</v>
      </c>
      <c r="CX109" s="216">
        <v>80</v>
      </c>
      <c r="CY109" s="217" t="s">
        <v>150</v>
      </c>
      <c r="CZ109" s="218" t="s">
        <v>180</v>
      </c>
      <c r="DA109" s="219" t="s">
        <v>152</v>
      </c>
      <c r="DB109" s="220" t="s">
        <v>153</v>
      </c>
      <c r="DC109" s="221" t="s">
        <v>181</v>
      </c>
      <c r="DD109" s="222" t="s">
        <v>182</v>
      </c>
      <c r="DE109" s="223" t="s">
        <v>141</v>
      </c>
      <c r="DF109" s="224" t="s">
        <v>157</v>
      </c>
      <c r="DG109" s="225">
        <v>2015</v>
      </c>
      <c r="DH109" s="226" t="s">
        <v>1548</v>
      </c>
      <c r="DI109" s="228" t="str">
        <f>HYPERLINK("https://my.pitchbook.com?c=115479-19T", "View company online")</f>
        <v>View company online</v>
      </c>
    </row>
    <row r="110" spans="1:113" x14ac:dyDescent="0.2">
      <c r="A110" s="3" t="s">
        <v>1559</v>
      </c>
      <c r="B110" s="4" t="s">
        <v>1560</v>
      </c>
      <c r="C110" s="5" t="s">
        <v>1561</v>
      </c>
      <c r="D110" s="6" t="s">
        <v>1562</v>
      </c>
      <c r="E110" s="7" t="s">
        <v>1563</v>
      </c>
      <c r="F110" s="8" t="s">
        <v>126</v>
      </c>
      <c r="G110" s="9" t="s">
        <v>127</v>
      </c>
      <c r="H110" s="10" t="s">
        <v>128</v>
      </c>
      <c r="I110" s="11" t="s">
        <v>129</v>
      </c>
      <c r="J110" s="12" t="s">
        <v>141</v>
      </c>
      <c r="K110" s="13" t="s">
        <v>1564</v>
      </c>
      <c r="L110" s="14" t="s">
        <v>132</v>
      </c>
      <c r="M110" s="15" t="s">
        <v>133</v>
      </c>
      <c r="N110" s="16" t="s">
        <v>170</v>
      </c>
      <c r="O110" s="17" t="s">
        <v>1565</v>
      </c>
      <c r="P110" s="18" t="s">
        <v>1566</v>
      </c>
      <c r="Q110" s="19" t="s">
        <v>1567</v>
      </c>
      <c r="R110" s="20" t="s">
        <v>1568</v>
      </c>
      <c r="S110" s="21" t="s">
        <v>1569</v>
      </c>
      <c r="T110" s="22" t="s">
        <v>1570</v>
      </c>
      <c r="U110" s="23">
        <v>1</v>
      </c>
      <c r="V110" s="24" t="s">
        <v>1559</v>
      </c>
      <c r="W110" s="25" t="s">
        <v>141</v>
      </c>
      <c r="X110" s="26" t="s">
        <v>141</v>
      </c>
      <c r="Y110" s="27" t="s">
        <v>141</v>
      </c>
      <c r="Z110" s="28" t="s">
        <v>141</v>
      </c>
      <c r="AA110" s="29" t="s">
        <v>141</v>
      </c>
      <c r="AB110" s="30" t="s">
        <v>141</v>
      </c>
      <c r="AC110" s="31" t="s">
        <v>141</v>
      </c>
      <c r="AD110" s="32" t="s">
        <v>141</v>
      </c>
      <c r="AE110" s="33" t="s">
        <v>141</v>
      </c>
      <c r="AF110" s="34" t="s">
        <v>1571</v>
      </c>
      <c r="AG110" s="35" t="s">
        <v>141</v>
      </c>
      <c r="AH110" s="36" t="s">
        <v>141</v>
      </c>
      <c r="AI110" s="37" t="s">
        <v>141</v>
      </c>
      <c r="AJ110" s="38" t="s">
        <v>1518</v>
      </c>
      <c r="AK110" s="39" t="s">
        <v>141</v>
      </c>
      <c r="AL110" s="40" t="s">
        <v>141</v>
      </c>
      <c r="AM110" s="41" t="s">
        <v>170</v>
      </c>
      <c r="AN110" s="42" t="s">
        <v>1563</v>
      </c>
      <c r="AO110" s="43" t="s">
        <v>141</v>
      </c>
      <c r="AP110" s="44" t="s">
        <v>145</v>
      </c>
      <c r="AQ110" s="45" t="s">
        <v>141</v>
      </c>
      <c r="AR110" s="46" t="s">
        <v>141</v>
      </c>
      <c r="AS110" s="47" t="s">
        <v>141</v>
      </c>
      <c r="AT110" s="48" t="s">
        <v>141</v>
      </c>
      <c r="AU110" s="49" t="s">
        <v>141</v>
      </c>
      <c r="AV110" s="50" t="s">
        <v>141</v>
      </c>
      <c r="AW110" s="51" t="s">
        <v>141</v>
      </c>
      <c r="AX110" s="52" t="s">
        <v>141</v>
      </c>
      <c r="AY110" s="53" t="s">
        <v>141</v>
      </c>
      <c r="AZ110" s="54" t="s">
        <v>141</v>
      </c>
      <c r="BA110" s="55" t="s">
        <v>146</v>
      </c>
      <c r="BB110" s="56" t="s">
        <v>133</v>
      </c>
      <c r="BC110" s="57" t="s">
        <v>132</v>
      </c>
      <c r="BD110" s="58" t="s">
        <v>141</v>
      </c>
      <c r="BE110" s="59">
        <v>2</v>
      </c>
      <c r="BF110" s="60" t="s">
        <v>1572</v>
      </c>
      <c r="BG110" s="61">
        <v>2</v>
      </c>
      <c r="BH110" s="62" t="s">
        <v>141</v>
      </c>
      <c r="BI110" s="63" t="s">
        <v>141</v>
      </c>
      <c r="BJ110" s="64" t="s">
        <v>141</v>
      </c>
      <c r="BK110" s="65" t="s">
        <v>1573</v>
      </c>
      <c r="BL110" s="66" t="s">
        <v>1574</v>
      </c>
      <c r="BM110" s="67" t="s">
        <v>141</v>
      </c>
      <c r="BN110" s="68" t="s">
        <v>141</v>
      </c>
      <c r="BO110" s="69" t="s">
        <v>141</v>
      </c>
      <c r="BP110" s="70" t="s">
        <v>141</v>
      </c>
      <c r="BQ110" s="71" t="s">
        <v>141</v>
      </c>
      <c r="BR110" s="72" t="s">
        <v>141</v>
      </c>
      <c r="BS110" s="73" t="s">
        <v>141</v>
      </c>
      <c r="BT110" s="74" t="s">
        <v>141</v>
      </c>
      <c r="BU110" s="75" t="s">
        <v>141</v>
      </c>
      <c r="BV110" s="76" t="s">
        <v>141</v>
      </c>
      <c r="BW110" s="77" t="s">
        <v>141</v>
      </c>
      <c r="BX110" s="78" t="s">
        <v>141</v>
      </c>
      <c r="BY110" s="79" t="s">
        <v>141</v>
      </c>
      <c r="BZ110" s="80" t="s">
        <v>141</v>
      </c>
      <c r="CA110" s="81" t="s">
        <v>141</v>
      </c>
      <c r="CB110" s="82" t="s">
        <v>141</v>
      </c>
      <c r="CC110" s="83" t="s">
        <v>141</v>
      </c>
      <c r="CD110" s="84" t="s">
        <v>141</v>
      </c>
      <c r="CE110" s="85" t="s">
        <v>141</v>
      </c>
      <c r="CF110" s="86" t="s">
        <v>141</v>
      </c>
      <c r="CG110" s="87" t="s">
        <v>141</v>
      </c>
      <c r="CH110" s="88" t="s">
        <v>141</v>
      </c>
      <c r="CI110" s="89" t="s">
        <v>141</v>
      </c>
      <c r="CJ110" s="90" t="s">
        <v>141</v>
      </c>
      <c r="CK110" s="91" t="s">
        <v>141</v>
      </c>
      <c r="CL110" s="92" t="s">
        <v>141</v>
      </c>
      <c r="CM110" s="93" t="s">
        <v>141</v>
      </c>
      <c r="CN110" s="94" t="s">
        <v>141</v>
      </c>
      <c r="CO110" s="95" t="s">
        <v>141</v>
      </c>
      <c r="CP110" s="96" t="s">
        <v>141</v>
      </c>
      <c r="CQ110" s="97" t="s">
        <v>141</v>
      </c>
      <c r="CR110" s="98" t="s">
        <v>141</v>
      </c>
      <c r="CS110" s="99" t="s">
        <v>141</v>
      </c>
      <c r="CT110" s="100" t="s">
        <v>141</v>
      </c>
      <c r="CU110" s="101" t="s">
        <v>141</v>
      </c>
      <c r="CV110" s="102" t="s">
        <v>141</v>
      </c>
      <c r="CW110" s="103" t="s">
        <v>141</v>
      </c>
      <c r="CX110" s="104">
        <v>7</v>
      </c>
      <c r="CY110" s="105" t="s">
        <v>150</v>
      </c>
      <c r="CZ110" s="106" t="s">
        <v>180</v>
      </c>
      <c r="DA110" s="107" t="s">
        <v>152</v>
      </c>
      <c r="DB110" s="108" t="s">
        <v>153</v>
      </c>
      <c r="DC110" s="109" t="s">
        <v>181</v>
      </c>
      <c r="DD110" s="110" t="s">
        <v>182</v>
      </c>
      <c r="DE110" s="111" t="s">
        <v>1575</v>
      </c>
      <c r="DF110" s="112" t="s">
        <v>157</v>
      </c>
      <c r="DG110" s="113">
        <v>2019</v>
      </c>
      <c r="DH110" s="114" t="s">
        <v>1576</v>
      </c>
      <c r="DI110" s="227" t="str">
        <f>HYPERLINK("https://my.pitchbook.com?c=132334-84T", "View company online")</f>
        <v>View company online</v>
      </c>
    </row>
    <row r="111" spans="1:113" x14ac:dyDescent="0.2">
      <c r="A111" s="115" t="s">
        <v>1577</v>
      </c>
      <c r="B111" s="116" t="s">
        <v>160</v>
      </c>
      <c r="C111" s="117" t="s">
        <v>161</v>
      </c>
      <c r="D111" s="118" t="s">
        <v>162</v>
      </c>
      <c r="E111" s="119" t="s">
        <v>163</v>
      </c>
      <c r="F111" s="120" t="s">
        <v>164</v>
      </c>
      <c r="G111" s="121" t="s">
        <v>165</v>
      </c>
      <c r="H111" s="122" t="s">
        <v>166</v>
      </c>
      <c r="I111" s="123" t="s">
        <v>167</v>
      </c>
      <c r="J111" s="124" t="s">
        <v>168</v>
      </c>
      <c r="K111" s="125" t="s">
        <v>169</v>
      </c>
      <c r="L111" s="126" t="s">
        <v>132</v>
      </c>
      <c r="M111" s="127" t="s">
        <v>133</v>
      </c>
      <c r="N111" s="128" t="s">
        <v>170</v>
      </c>
      <c r="O111" s="129" t="s">
        <v>171</v>
      </c>
      <c r="P111" s="130" t="s">
        <v>172</v>
      </c>
      <c r="Q111" s="131" t="s">
        <v>173</v>
      </c>
      <c r="R111" s="132" t="s">
        <v>174</v>
      </c>
      <c r="S111" s="133" t="s">
        <v>175</v>
      </c>
      <c r="T111" s="134" t="s">
        <v>176</v>
      </c>
      <c r="U111" s="135">
        <v>1</v>
      </c>
      <c r="V111" s="136" t="s">
        <v>1577</v>
      </c>
      <c r="W111" s="137" t="s">
        <v>141</v>
      </c>
      <c r="X111" s="138" t="s">
        <v>141</v>
      </c>
      <c r="Y111" s="139" t="s">
        <v>141</v>
      </c>
      <c r="Z111" s="140" t="s">
        <v>141</v>
      </c>
      <c r="AA111" s="141" t="s">
        <v>141</v>
      </c>
      <c r="AB111" s="142" t="s">
        <v>141</v>
      </c>
      <c r="AC111" s="143" t="s">
        <v>141</v>
      </c>
      <c r="AD111" s="144" t="s">
        <v>141</v>
      </c>
      <c r="AE111" s="145" t="s">
        <v>141</v>
      </c>
      <c r="AF111" s="146" t="s">
        <v>1571</v>
      </c>
      <c r="AG111" s="147" t="s">
        <v>141</v>
      </c>
      <c r="AH111" s="148" t="s">
        <v>141</v>
      </c>
      <c r="AI111" s="149" t="s">
        <v>141</v>
      </c>
      <c r="AJ111" s="150" t="s">
        <v>1518</v>
      </c>
      <c r="AK111" s="151" t="s">
        <v>141</v>
      </c>
      <c r="AL111" s="152" t="s">
        <v>141</v>
      </c>
      <c r="AM111" s="153" t="s">
        <v>170</v>
      </c>
      <c r="AN111" s="154" t="s">
        <v>1578</v>
      </c>
      <c r="AO111" s="155" t="s">
        <v>141</v>
      </c>
      <c r="AP111" s="156" t="s">
        <v>145</v>
      </c>
      <c r="AQ111" s="157" t="s">
        <v>141</v>
      </c>
      <c r="AR111" s="158" t="s">
        <v>141</v>
      </c>
      <c r="AS111" s="159" t="s">
        <v>141</v>
      </c>
      <c r="AT111" s="160" t="s">
        <v>141</v>
      </c>
      <c r="AU111" s="161" t="s">
        <v>141</v>
      </c>
      <c r="AV111" s="162" t="s">
        <v>141</v>
      </c>
      <c r="AW111" s="163" t="s">
        <v>141</v>
      </c>
      <c r="AX111" s="164" t="s">
        <v>141</v>
      </c>
      <c r="AY111" s="165" t="s">
        <v>141</v>
      </c>
      <c r="AZ111" s="166" t="s">
        <v>141</v>
      </c>
      <c r="BA111" s="167" t="s">
        <v>146</v>
      </c>
      <c r="BB111" s="168" t="s">
        <v>263</v>
      </c>
      <c r="BC111" s="169" t="s">
        <v>132</v>
      </c>
      <c r="BD111" s="170" t="s">
        <v>141</v>
      </c>
      <c r="BE111" s="171">
        <v>1</v>
      </c>
      <c r="BF111" s="172" t="s">
        <v>1579</v>
      </c>
      <c r="BG111" s="173">
        <v>1</v>
      </c>
      <c r="BH111" s="174" t="s">
        <v>141</v>
      </c>
      <c r="BI111" s="175" t="s">
        <v>141</v>
      </c>
      <c r="BJ111" s="176" t="s">
        <v>141</v>
      </c>
      <c r="BK111" s="177" t="s">
        <v>1580</v>
      </c>
      <c r="BL111" s="178" t="s">
        <v>1579</v>
      </c>
      <c r="BM111" s="179" t="s">
        <v>1579</v>
      </c>
      <c r="BN111" s="180" t="s">
        <v>141</v>
      </c>
      <c r="BO111" s="181" t="s">
        <v>141</v>
      </c>
      <c r="BP111" s="182" t="s">
        <v>141</v>
      </c>
      <c r="BQ111" s="183" t="s">
        <v>141</v>
      </c>
      <c r="BR111" s="184" t="s">
        <v>141</v>
      </c>
      <c r="BS111" s="185" t="s">
        <v>141</v>
      </c>
      <c r="BT111" s="186" t="s">
        <v>141</v>
      </c>
      <c r="BU111" s="187" t="s">
        <v>141</v>
      </c>
      <c r="BV111" s="188" t="s">
        <v>141</v>
      </c>
      <c r="BW111" s="189" t="s">
        <v>141</v>
      </c>
      <c r="BX111" s="190" t="s">
        <v>141</v>
      </c>
      <c r="BY111" s="191" t="s">
        <v>141</v>
      </c>
      <c r="BZ111" s="192" t="s">
        <v>141</v>
      </c>
      <c r="CA111" s="193" t="s">
        <v>141</v>
      </c>
      <c r="CB111" s="194" t="s">
        <v>141</v>
      </c>
      <c r="CC111" s="195" t="s">
        <v>141</v>
      </c>
      <c r="CD111" s="196" t="s">
        <v>141</v>
      </c>
      <c r="CE111" s="197" t="s">
        <v>141</v>
      </c>
      <c r="CF111" s="198" t="s">
        <v>141</v>
      </c>
      <c r="CG111" s="199" t="s">
        <v>141</v>
      </c>
      <c r="CH111" s="200" t="s">
        <v>141</v>
      </c>
      <c r="CI111" s="201" t="s">
        <v>141</v>
      </c>
      <c r="CJ111" s="202" t="s">
        <v>141</v>
      </c>
      <c r="CK111" s="203" t="s">
        <v>141</v>
      </c>
      <c r="CL111" s="204" t="s">
        <v>141</v>
      </c>
      <c r="CM111" s="205" t="s">
        <v>141</v>
      </c>
      <c r="CN111" s="206" t="s">
        <v>141</v>
      </c>
      <c r="CO111" s="207" t="s">
        <v>141</v>
      </c>
      <c r="CP111" s="208" t="s">
        <v>141</v>
      </c>
      <c r="CQ111" s="209" t="s">
        <v>141</v>
      </c>
      <c r="CR111" s="210" t="s">
        <v>141</v>
      </c>
      <c r="CS111" s="211" t="s">
        <v>141</v>
      </c>
      <c r="CT111" s="212" t="s">
        <v>141</v>
      </c>
      <c r="CU111" s="213" t="s">
        <v>141</v>
      </c>
      <c r="CV111" s="214" t="s">
        <v>141</v>
      </c>
      <c r="CW111" s="215" t="s">
        <v>141</v>
      </c>
      <c r="CX111" s="216" t="s">
        <v>141</v>
      </c>
      <c r="CY111" s="217" t="s">
        <v>150</v>
      </c>
      <c r="CZ111" s="218" t="s">
        <v>180</v>
      </c>
      <c r="DA111" s="219" t="s">
        <v>152</v>
      </c>
      <c r="DB111" s="220" t="s">
        <v>153</v>
      </c>
      <c r="DC111" s="221" t="s">
        <v>181</v>
      </c>
      <c r="DD111" s="222" t="s">
        <v>182</v>
      </c>
      <c r="DE111" s="223" t="s">
        <v>183</v>
      </c>
      <c r="DF111" s="224" t="s">
        <v>157</v>
      </c>
      <c r="DG111" s="225">
        <v>2017</v>
      </c>
      <c r="DH111" s="226" t="s">
        <v>184</v>
      </c>
      <c r="DI111" s="228" t="str">
        <f>HYPERLINK("https://my.pitchbook.com?c=125967-70T", "View company online")</f>
        <v>View company online</v>
      </c>
    </row>
    <row r="112" spans="1:113" x14ac:dyDescent="0.2">
      <c r="A112" s="3" t="s">
        <v>1581</v>
      </c>
      <c r="B112" s="4" t="s">
        <v>204</v>
      </c>
      <c r="C112" s="5" t="s">
        <v>205</v>
      </c>
      <c r="D112" s="6" t="s">
        <v>206</v>
      </c>
      <c r="E112" s="7" t="s">
        <v>207</v>
      </c>
      <c r="F112" s="8" t="s">
        <v>126</v>
      </c>
      <c r="G112" s="9" t="s">
        <v>208</v>
      </c>
      <c r="H112" s="10" t="s">
        <v>209</v>
      </c>
      <c r="I112" s="11" t="s">
        <v>210</v>
      </c>
      <c r="J112" s="12" t="s">
        <v>211</v>
      </c>
      <c r="K112" s="13" t="s">
        <v>212</v>
      </c>
      <c r="L112" s="14" t="s">
        <v>132</v>
      </c>
      <c r="M112" s="15" t="s">
        <v>133</v>
      </c>
      <c r="N112" s="16" t="s">
        <v>170</v>
      </c>
      <c r="O112" s="17" t="s">
        <v>213</v>
      </c>
      <c r="P112" s="18" t="s">
        <v>214</v>
      </c>
      <c r="Q112" s="19" t="s">
        <v>141</v>
      </c>
      <c r="R112" s="20" t="s">
        <v>141</v>
      </c>
      <c r="S112" s="21" t="s">
        <v>215</v>
      </c>
      <c r="T112" s="22" t="s">
        <v>216</v>
      </c>
      <c r="U112" s="23">
        <v>3</v>
      </c>
      <c r="V112" s="24" t="s">
        <v>1581</v>
      </c>
      <c r="W112" s="25">
        <v>42125</v>
      </c>
      <c r="X112" s="26">
        <v>42235</v>
      </c>
      <c r="Y112" s="27" t="s">
        <v>141</v>
      </c>
      <c r="Z112" s="28" t="s">
        <v>141</v>
      </c>
      <c r="AA112" s="29" t="s">
        <v>141</v>
      </c>
      <c r="AB112" s="30" t="s">
        <v>141</v>
      </c>
      <c r="AC112" s="31" t="s">
        <v>141</v>
      </c>
      <c r="AD112" s="32" t="s">
        <v>141</v>
      </c>
      <c r="AE112" s="33">
        <v>0.05</v>
      </c>
      <c r="AF112" s="34" t="s">
        <v>1582</v>
      </c>
      <c r="AG112" s="35" t="s">
        <v>141</v>
      </c>
      <c r="AH112" s="36" t="s">
        <v>141</v>
      </c>
      <c r="AI112" s="37" t="s">
        <v>141</v>
      </c>
      <c r="AJ112" s="38" t="s">
        <v>1518</v>
      </c>
      <c r="AK112" s="39" t="s">
        <v>141</v>
      </c>
      <c r="AL112" s="40" t="s">
        <v>141</v>
      </c>
      <c r="AM112" s="41" t="s">
        <v>170</v>
      </c>
      <c r="AN112" s="42" t="s">
        <v>207</v>
      </c>
      <c r="AO112" s="43" t="s">
        <v>141</v>
      </c>
      <c r="AP112" s="44" t="s">
        <v>145</v>
      </c>
      <c r="AQ112" s="45" t="s">
        <v>141</v>
      </c>
      <c r="AR112" s="46" t="s">
        <v>141</v>
      </c>
      <c r="AS112" s="47" t="s">
        <v>281</v>
      </c>
      <c r="AT112" s="48" t="s">
        <v>141</v>
      </c>
      <c r="AU112" s="49" t="s">
        <v>141</v>
      </c>
      <c r="AV112" s="50" t="s">
        <v>141</v>
      </c>
      <c r="AW112" s="51" t="s">
        <v>141</v>
      </c>
      <c r="AX112" s="52" t="s">
        <v>141</v>
      </c>
      <c r="AY112" s="53" t="s">
        <v>141</v>
      </c>
      <c r="AZ112" s="54" t="s">
        <v>141</v>
      </c>
      <c r="BA112" s="55" t="s">
        <v>146</v>
      </c>
      <c r="BB112" s="56" t="s">
        <v>133</v>
      </c>
      <c r="BC112" s="57" t="s">
        <v>132</v>
      </c>
      <c r="BD112" s="58" t="s">
        <v>141</v>
      </c>
      <c r="BE112" s="59">
        <v>2</v>
      </c>
      <c r="BF112" s="60" t="s">
        <v>1583</v>
      </c>
      <c r="BG112" s="61">
        <v>1</v>
      </c>
      <c r="BH112" s="62" t="s">
        <v>1584</v>
      </c>
      <c r="BI112" s="63">
        <v>1</v>
      </c>
      <c r="BJ112" s="64" t="s">
        <v>141</v>
      </c>
      <c r="BK112" s="65" t="s">
        <v>1585</v>
      </c>
      <c r="BL112" s="66" t="s">
        <v>1586</v>
      </c>
      <c r="BM112" s="67" t="s">
        <v>141</v>
      </c>
      <c r="BN112" s="68" t="s">
        <v>141</v>
      </c>
      <c r="BO112" s="69" t="s">
        <v>141</v>
      </c>
      <c r="BP112" s="70" t="s">
        <v>141</v>
      </c>
      <c r="BQ112" s="71" t="s">
        <v>141</v>
      </c>
      <c r="BR112" s="72" t="s">
        <v>221</v>
      </c>
      <c r="BS112" s="73" t="s">
        <v>221</v>
      </c>
      <c r="BT112" s="74" t="s">
        <v>141</v>
      </c>
      <c r="BU112" s="75" t="s">
        <v>141</v>
      </c>
      <c r="BV112" s="76" t="s">
        <v>141</v>
      </c>
      <c r="BW112" s="77" t="s">
        <v>141</v>
      </c>
      <c r="BX112" s="78" t="s">
        <v>141</v>
      </c>
      <c r="BY112" s="79" t="s">
        <v>141</v>
      </c>
      <c r="BZ112" s="80" t="s">
        <v>141</v>
      </c>
      <c r="CA112" s="81" t="s">
        <v>141</v>
      </c>
      <c r="CB112" s="82" t="s">
        <v>141</v>
      </c>
      <c r="CC112" s="83" t="s">
        <v>141</v>
      </c>
      <c r="CD112" s="84" t="s">
        <v>141</v>
      </c>
      <c r="CE112" s="85" t="s">
        <v>141</v>
      </c>
      <c r="CF112" s="86" t="s">
        <v>141</v>
      </c>
      <c r="CG112" s="87" t="s">
        <v>141</v>
      </c>
      <c r="CH112" s="88" t="s">
        <v>141</v>
      </c>
      <c r="CI112" s="89" t="s">
        <v>141</v>
      </c>
      <c r="CJ112" s="90" t="s">
        <v>141</v>
      </c>
      <c r="CK112" s="91" t="s">
        <v>141</v>
      </c>
      <c r="CL112" s="92" t="s">
        <v>141</v>
      </c>
      <c r="CM112" s="93" t="s">
        <v>141</v>
      </c>
      <c r="CN112" s="94" t="s">
        <v>141</v>
      </c>
      <c r="CO112" s="95" t="s">
        <v>141</v>
      </c>
      <c r="CP112" s="96" t="s">
        <v>141</v>
      </c>
      <c r="CQ112" s="97" t="s">
        <v>141</v>
      </c>
      <c r="CR112" s="98" t="s">
        <v>141</v>
      </c>
      <c r="CS112" s="99" t="s">
        <v>141</v>
      </c>
      <c r="CT112" s="100" t="s">
        <v>141</v>
      </c>
      <c r="CU112" s="101" t="s">
        <v>141</v>
      </c>
      <c r="CV112" s="102" t="s">
        <v>141</v>
      </c>
      <c r="CW112" s="103" t="s">
        <v>141</v>
      </c>
      <c r="CX112" s="104">
        <v>4</v>
      </c>
      <c r="CY112" s="105" t="s">
        <v>150</v>
      </c>
      <c r="CZ112" s="106" t="s">
        <v>200</v>
      </c>
      <c r="DA112" s="107" t="s">
        <v>152</v>
      </c>
      <c r="DB112" s="108" t="s">
        <v>153</v>
      </c>
      <c r="DC112" s="109" t="s">
        <v>201</v>
      </c>
      <c r="DD112" s="110" t="s">
        <v>201</v>
      </c>
      <c r="DE112" s="111" t="s">
        <v>222</v>
      </c>
      <c r="DF112" s="112" t="s">
        <v>157</v>
      </c>
      <c r="DG112" s="113">
        <v>2012</v>
      </c>
      <c r="DH112" s="114" t="s">
        <v>223</v>
      </c>
      <c r="DI112" s="227" t="str">
        <f>HYPERLINK("https://my.pitchbook.com?c=122165-38T", "View company online")</f>
        <v>View company online</v>
      </c>
    </row>
    <row r="113" spans="1:113" x14ac:dyDescent="0.2">
      <c r="A113" s="115" t="s">
        <v>1587</v>
      </c>
      <c r="B113" s="116" t="s">
        <v>248</v>
      </c>
      <c r="C113" s="117" t="s">
        <v>249</v>
      </c>
      <c r="D113" s="118" t="s">
        <v>250</v>
      </c>
      <c r="E113" s="119" t="s">
        <v>251</v>
      </c>
      <c r="F113" s="120" t="s">
        <v>126</v>
      </c>
      <c r="G113" s="121" t="s">
        <v>252</v>
      </c>
      <c r="H113" s="122" t="s">
        <v>253</v>
      </c>
      <c r="I113" s="123" t="s">
        <v>254</v>
      </c>
      <c r="J113" s="124" t="s">
        <v>255</v>
      </c>
      <c r="K113" s="125" t="s">
        <v>256</v>
      </c>
      <c r="L113" s="126" t="s">
        <v>132</v>
      </c>
      <c r="M113" s="127" t="s">
        <v>133</v>
      </c>
      <c r="N113" s="128" t="s">
        <v>170</v>
      </c>
      <c r="O113" s="129" t="s">
        <v>257</v>
      </c>
      <c r="P113" s="130" t="s">
        <v>258</v>
      </c>
      <c r="Q113" s="131" t="s">
        <v>141</v>
      </c>
      <c r="R113" s="132" t="s">
        <v>259</v>
      </c>
      <c r="S113" s="133" t="s">
        <v>260</v>
      </c>
      <c r="T113" s="134" t="s">
        <v>261</v>
      </c>
      <c r="U113" s="135">
        <v>4</v>
      </c>
      <c r="V113" s="136" t="s">
        <v>1587</v>
      </c>
      <c r="W113" s="137">
        <v>42286</v>
      </c>
      <c r="X113" s="138">
        <v>42291</v>
      </c>
      <c r="Y113" s="139">
        <v>10.6</v>
      </c>
      <c r="Z113" s="140" t="s">
        <v>177</v>
      </c>
      <c r="AA113" s="141">
        <v>35</v>
      </c>
      <c r="AB113" s="142">
        <v>45.6</v>
      </c>
      <c r="AC113" s="143" t="s">
        <v>887</v>
      </c>
      <c r="AD113" s="144">
        <v>23.25</v>
      </c>
      <c r="AE113" s="145">
        <v>13.5</v>
      </c>
      <c r="AF113" s="146" t="s">
        <v>1516</v>
      </c>
      <c r="AG113" s="147" t="s">
        <v>1188</v>
      </c>
      <c r="AH113" s="148">
        <v>3.02</v>
      </c>
      <c r="AI113" s="149" t="s">
        <v>1517</v>
      </c>
      <c r="AJ113" s="150" t="s">
        <v>1518</v>
      </c>
      <c r="AK113" s="151" t="s">
        <v>1517</v>
      </c>
      <c r="AL113" s="152" t="s">
        <v>141</v>
      </c>
      <c r="AM113" s="153" t="s">
        <v>170</v>
      </c>
      <c r="AN113" s="154" t="s">
        <v>1588</v>
      </c>
      <c r="AO113" s="155">
        <v>10.6</v>
      </c>
      <c r="AP113" s="156" t="s">
        <v>145</v>
      </c>
      <c r="AQ113" s="157" t="s">
        <v>141</v>
      </c>
      <c r="AR113" s="158" t="s">
        <v>141</v>
      </c>
      <c r="AS113" s="159" t="s">
        <v>141</v>
      </c>
      <c r="AT113" s="160" t="s">
        <v>141</v>
      </c>
      <c r="AU113" s="161" t="s">
        <v>141</v>
      </c>
      <c r="AV113" s="162" t="s">
        <v>141</v>
      </c>
      <c r="AW113" s="163" t="s">
        <v>141</v>
      </c>
      <c r="AX113" s="164" t="s">
        <v>141</v>
      </c>
      <c r="AY113" s="165" t="s">
        <v>141</v>
      </c>
      <c r="AZ113" s="166" t="s">
        <v>141</v>
      </c>
      <c r="BA113" s="167" t="s">
        <v>146</v>
      </c>
      <c r="BB113" s="168" t="s">
        <v>133</v>
      </c>
      <c r="BC113" s="169" t="s">
        <v>132</v>
      </c>
      <c r="BD113" s="170">
        <v>35</v>
      </c>
      <c r="BE113" s="171">
        <v>8</v>
      </c>
      <c r="BF113" s="172" t="s">
        <v>1589</v>
      </c>
      <c r="BG113" s="173">
        <v>3</v>
      </c>
      <c r="BH113" s="174" t="s">
        <v>1590</v>
      </c>
      <c r="BI113" s="175">
        <v>5</v>
      </c>
      <c r="BJ113" s="176" t="s">
        <v>141</v>
      </c>
      <c r="BK113" s="177" t="s">
        <v>1591</v>
      </c>
      <c r="BL113" s="178" t="s">
        <v>1592</v>
      </c>
      <c r="BM113" s="179" t="s">
        <v>1593</v>
      </c>
      <c r="BN113" s="180" t="s">
        <v>1594</v>
      </c>
      <c r="BO113" s="181" t="s">
        <v>141</v>
      </c>
      <c r="BP113" s="182" t="s">
        <v>141</v>
      </c>
      <c r="BQ113" s="183" t="s">
        <v>141</v>
      </c>
      <c r="BR113" s="184" t="s">
        <v>1595</v>
      </c>
      <c r="BS113" s="185" t="s">
        <v>141</v>
      </c>
      <c r="BT113" s="186" t="s">
        <v>141</v>
      </c>
      <c r="BU113" s="187" t="s">
        <v>1595</v>
      </c>
      <c r="BV113" s="188" t="s">
        <v>141</v>
      </c>
      <c r="BW113" s="189" t="s">
        <v>141</v>
      </c>
      <c r="BX113" s="190" t="s">
        <v>141</v>
      </c>
      <c r="BY113" s="191" t="s">
        <v>141</v>
      </c>
      <c r="BZ113" s="192" t="s">
        <v>141</v>
      </c>
      <c r="CA113" s="193" t="s">
        <v>141</v>
      </c>
      <c r="CB113" s="194" t="s">
        <v>141</v>
      </c>
      <c r="CC113" s="195" t="s">
        <v>141</v>
      </c>
      <c r="CD113" s="196" t="s">
        <v>141</v>
      </c>
      <c r="CE113" s="197" t="s">
        <v>141</v>
      </c>
      <c r="CF113" s="198" t="s">
        <v>141</v>
      </c>
      <c r="CG113" s="199" t="s">
        <v>141</v>
      </c>
      <c r="CH113" s="200" t="s">
        <v>141</v>
      </c>
      <c r="CI113" s="201" t="s">
        <v>141</v>
      </c>
      <c r="CJ113" s="202" t="s">
        <v>141</v>
      </c>
      <c r="CK113" s="203" t="s">
        <v>141</v>
      </c>
      <c r="CL113" s="204" t="s">
        <v>141</v>
      </c>
      <c r="CM113" s="205" t="s">
        <v>141</v>
      </c>
      <c r="CN113" s="206" t="s">
        <v>141</v>
      </c>
      <c r="CO113" s="207" t="s">
        <v>141</v>
      </c>
      <c r="CP113" s="208" t="s">
        <v>141</v>
      </c>
      <c r="CQ113" s="209" t="s">
        <v>141</v>
      </c>
      <c r="CR113" s="210" t="s">
        <v>141</v>
      </c>
      <c r="CS113" s="211" t="s">
        <v>141</v>
      </c>
      <c r="CT113" s="212" t="s">
        <v>141</v>
      </c>
      <c r="CU113" s="213" t="s">
        <v>141</v>
      </c>
      <c r="CV113" s="214" t="s">
        <v>141</v>
      </c>
      <c r="CW113" s="215" t="s">
        <v>141</v>
      </c>
      <c r="CX113" s="216">
        <v>45</v>
      </c>
      <c r="CY113" s="217" t="s">
        <v>150</v>
      </c>
      <c r="CZ113" s="218" t="s">
        <v>180</v>
      </c>
      <c r="DA113" s="219" t="s">
        <v>152</v>
      </c>
      <c r="DB113" s="220" t="s">
        <v>153</v>
      </c>
      <c r="DC113" s="221" t="s">
        <v>181</v>
      </c>
      <c r="DD113" s="222" t="s">
        <v>182</v>
      </c>
      <c r="DE113" s="223" t="s">
        <v>265</v>
      </c>
      <c r="DF113" s="224" t="s">
        <v>157</v>
      </c>
      <c r="DG113" s="225">
        <v>2013</v>
      </c>
      <c r="DH113" s="226" t="s">
        <v>266</v>
      </c>
      <c r="DI113" s="228" t="str">
        <f>HYPERLINK("https://my.pitchbook.com?c=59281-93T", "View company online")</f>
        <v>View company online</v>
      </c>
    </row>
    <row r="114" spans="1:113" x14ac:dyDescent="0.2">
      <c r="A114" s="3" t="s">
        <v>1596</v>
      </c>
      <c r="B114" s="4" t="s">
        <v>268</v>
      </c>
      <c r="C114" s="5" t="s">
        <v>269</v>
      </c>
      <c r="D114" s="6" t="s">
        <v>270</v>
      </c>
      <c r="E114" s="7" t="s">
        <v>271</v>
      </c>
      <c r="F114" s="8" t="s">
        <v>126</v>
      </c>
      <c r="G114" s="9" t="s">
        <v>127</v>
      </c>
      <c r="H114" s="10" t="s">
        <v>128</v>
      </c>
      <c r="I114" s="11" t="s">
        <v>272</v>
      </c>
      <c r="J114" s="12" t="s">
        <v>273</v>
      </c>
      <c r="K114" s="13" t="s">
        <v>274</v>
      </c>
      <c r="L114" s="14" t="s">
        <v>132</v>
      </c>
      <c r="M114" s="15" t="s">
        <v>133</v>
      </c>
      <c r="N114" s="16" t="s">
        <v>170</v>
      </c>
      <c r="O114" s="17" t="s">
        <v>275</v>
      </c>
      <c r="P114" s="18" t="s">
        <v>276</v>
      </c>
      <c r="Q114" s="19" t="s">
        <v>277</v>
      </c>
      <c r="R114" s="20" t="s">
        <v>278</v>
      </c>
      <c r="S114" s="21" t="s">
        <v>279</v>
      </c>
      <c r="T114" s="22" t="s">
        <v>280</v>
      </c>
      <c r="U114" s="23">
        <v>2</v>
      </c>
      <c r="V114" s="24" t="s">
        <v>1596</v>
      </c>
      <c r="W114" s="25" t="s">
        <v>141</v>
      </c>
      <c r="X114" s="26">
        <v>41640</v>
      </c>
      <c r="Y114" s="27" t="s">
        <v>141</v>
      </c>
      <c r="Z114" s="28" t="s">
        <v>141</v>
      </c>
      <c r="AA114" s="29" t="s">
        <v>141</v>
      </c>
      <c r="AB114" s="30" t="s">
        <v>141</v>
      </c>
      <c r="AC114" s="31" t="s">
        <v>141</v>
      </c>
      <c r="AD114" s="32" t="s">
        <v>141</v>
      </c>
      <c r="AE114" s="33" t="s">
        <v>141</v>
      </c>
      <c r="AF114" s="34" t="s">
        <v>1571</v>
      </c>
      <c r="AG114" s="35" t="s">
        <v>141</v>
      </c>
      <c r="AH114" s="36" t="s">
        <v>141</v>
      </c>
      <c r="AI114" s="37" t="s">
        <v>141</v>
      </c>
      <c r="AJ114" s="38" t="s">
        <v>1518</v>
      </c>
      <c r="AK114" s="39" t="s">
        <v>141</v>
      </c>
      <c r="AL114" s="40" t="s">
        <v>141</v>
      </c>
      <c r="AM114" s="41" t="s">
        <v>170</v>
      </c>
      <c r="AN114" s="42" t="s">
        <v>1597</v>
      </c>
      <c r="AO114" s="43" t="s">
        <v>141</v>
      </c>
      <c r="AP114" s="44" t="s">
        <v>145</v>
      </c>
      <c r="AQ114" s="45" t="s">
        <v>141</v>
      </c>
      <c r="AR114" s="46" t="s">
        <v>141</v>
      </c>
      <c r="AS114" s="47" t="s">
        <v>141</v>
      </c>
      <c r="AT114" s="48" t="s">
        <v>141</v>
      </c>
      <c r="AU114" s="49" t="s">
        <v>141</v>
      </c>
      <c r="AV114" s="50" t="s">
        <v>141</v>
      </c>
      <c r="AW114" s="51" t="s">
        <v>141</v>
      </c>
      <c r="AX114" s="52" t="s">
        <v>141</v>
      </c>
      <c r="AY114" s="53" t="s">
        <v>141</v>
      </c>
      <c r="AZ114" s="54" t="s">
        <v>141</v>
      </c>
      <c r="BA114" s="55" t="s">
        <v>146</v>
      </c>
      <c r="BB114" s="56" t="s">
        <v>133</v>
      </c>
      <c r="BC114" s="57" t="s">
        <v>132</v>
      </c>
      <c r="BD114" s="58">
        <v>6</v>
      </c>
      <c r="BE114" s="59">
        <v>1</v>
      </c>
      <c r="BF114" s="60" t="s">
        <v>1598</v>
      </c>
      <c r="BG114" s="61">
        <v>1</v>
      </c>
      <c r="BH114" s="62" t="s">
        <v>141</v>
      </c>
      <c r="BI114" s="63" t="s">
        <v>141</v>
      </c>
      <c r="BJ114" s="64" t="s">
        <v>141</v>
      </c>
      <c r="BK114" s="65" t="s">
        <v>1599</v>
      </c>
      <c r="BL114" s="66" t="s">
        <v>1598</v>
      </c>
      <c r="BM114" s="67" t="s">
        <v>1598</v>
      </c>
      <c r="BN114" s="68" t="s">
        <v>1600</v>
      </c>
      <c r="BO114" s="69" t="s">
        <v>141</v>
      </c>
      <c r="BP114" s="70" t="s">
        <v>141</v>
      </c>
      <c r="BQ114" s="71" t="s">
        <v>141</v>
      </c>
      <c r="BR114" s="72" t="s">
        <v>141</v>
      </c>
      <c r="BS114" s="73" t="s">
        <v>141</v>
      </c>
      <c r="BT114" s="74" t="s">
        <v>141</v>
      </c>
      <c r="BU114" s="75" t="s">
        <v>141</v>
      </c>
      <c r="BV114" s="76" t="s">
        <v>141</v>
      </c>
      <c r="BW114" s="77" t="s">
        <v>141</v>
      </c>
      <c r="BX114" s="78" t="s">
        <v>141</v>
      </c>
      <c r="BY114" s="79" t="s">
        <v>141</v>
      </c>
      <c r="BZ114" s="80" t="s">
        <v>141</v>
      </c>
      <c r="CA114" s="81" t="s">
        <v>141</v>
      </c>
      <c r="CB114" s="82" t="s">
        <v>141</v>
      </c>
      <c r="CC114" s="83" t="s">
        <v>141</v>
      </c>
      <c r="CD114" s="84" t="s">
        <v>141</v>
      </c>
      <c r="CE114" s="85" t="s">
        <v>141</v>
      </c>
      <c r="CF114" s="86" t="s">
        <v>141</v>
      </c>
      <c r="CG114" s="87" t="s">
        <v>141</v>
      </c>
      <c r="CH114" s="88" t="s">
        <v>141</v>
      </c>
      <c r="CI114" s="89" t="s">
        <v>141</v>
      </c>
      <c r="CJ114" s="90" t="s">
        <v>141</v>
      </c>
      <c r="CK114" s="91" t="s">
        <v>141</v>
      </c>
      <c r="CL114" s="92" t="s">
        <v>141</v>
      </c>
      <c r="CM114" s="93" t="s">
        <v>141</v>
      </c>
      <c r="CN114" s="94" t="s">
        <v>141</v>
      </c>
      <c r="CO114" s="95" t="s">
        <v>141</v>
      </c>
      <c r="CP114" s="96" t="s">
        <v>141</v>
      </c>
      <c r="CQ114" s="97" t="s">
        <v>141</v>
      </c>
      <c r="CR114" s="98" t="s">
        <v>141</v>
      </c>
      <c r="CS114" s="99" t="s">
        <v>141</v>
      </c>
      <c r="CT114" s="100" t="s">
        <v>141</v>
      </c>
      <c r="CU114" s="101" t="s">
        <v>141</v>
      </c>
      <c r="CV114" s="102" t="s">
        <v>141</v>
      </c>
      <c r="CW114" s="103" t="s">
        <v>141</v>
      </c>
      <c r="CX114" s="104">
        <v>6</v>
      </c>
      <c r="CY114" s="105" t="s">
        <v>150</v>
      </c>
      <c r="CZ114" s="106" t="s">
        <v>240</v>
      </c>
      <c r="DA114" s="107" t="s">
        <v>152</v>
      </c>
      <c r="DB114" s="108" t="s">
        <v>153</v>
      </c>
      <c r="DC114" s="109" t="s">
        <v>241</v>
      </c>
      <c r="DD114" s="110" t="s">
        <v>242</v>
      </c>
      <c r="DE114" s="111" t="s">
        <v>283</v>
      </c>
      <c r="DF114" s="112" t="s">
        <v>157</v>
      </c>
      <c r="DG114" s="113">
        <v>2012</v>
      </c>
      <c r="DH114" s="114" t="s">
        <v>284</v>
      </c>
      <c r="DI114" s="227" t="str">
        <f>HYPERLINK("https://my.pitchbook.com?c=89191-99T", "View company online")</f>
        <v>View company online</v>
      </c>
    </row>
    <row r="115" spans="1:113" x14ac:dyDescent="0.2">
      <c r="A115" s="115" t="s">
        <v>1601</v>
      </c>
      <c r="B115" s="116" t="s">
        <v>1602</v>
      </c>
      <c r="C115" s="117" t="s">
        <v>1603</v>
      </c>
      <c r="D115" s="118" t="s">
        <v>1604</v>
      </c>
      <c r="E115" s="119" t="s">
        <v>1605</v>
      </c>
      <c r="F115" s="120" t="s">
        <v>585</v>
      </c>
      <c r="G115" s="121" t="s">
        <v>586</v>
      </c>
      <c r="H115" s="122" t="s">
        <v>1606</v>
      </c>
      <c r="I115" s="123" t="s">
        <v>1607</v>
      </c>
      <c r="J115" s="124" t="s">
        <v>1608</v>
      </c>
      <c r="K115" s="125" t="s">
        <v>1609</v>
      </c>
      <c r="L115" s="126" t="s">
        <v>345</v>
      </c>
      <c r="M115" s="127" t="s">
        <v>1424</v>
      </c>
      <c r="N115" s="128" t="s">
        <v>170</v>
      </c>
      <c r="O115" s="129" t="s">
        <v>1610</v>
      </c>
      <c r="P115" s="130" t="s">
        <v>1611</v>
      </c>
      <c r="Q115" s="131" t="s">
        <v>141</v>
      </c>
      <c r="R115" s="132" t="s">
        <v>141</v>
      </c>
      <c r="S115" s="133" t="s">
        <v>1612</v>
      </c>
      <c r="T115" s="134" t="s">
        <v>141</v>
      </c>
      <c r="U115" s="135">
        <v>1</v>
      </c>
      <c r="V115" s="136" t="s">
        <v>1601</v>
      </c>
      <c r="W115" s="137" t="s">
        <v>141</v>
      </c>
      <c r="X115" s="138">
        <v>43709</v>
      </c>
      <c r="Y115" s="139" t="s">
        <v>141</v>
      </c>
      <c r="Z115" s="140" t="s">
        <v>141</v>
      </c>
      <c r="AA115" s="141" t="s">
        <v>141</v>
      </c>
      <c r="AB115" s="142" t="s">
        <v>141</v>
      </c>
      <c r="AC115" s="143" t="s">
        <v>141</v>
      </c>
      <c r="AD115" s="144" t="s">
        <v>141</v>
      </c>
      <c r="AE115" s="145" t="s">
        <v>141</v>
      </c>
      <c r="AF115" s="146" t="s">
        <v>1571</v>
      </c>
      <c r="AG115" s="147" t="s">
        <v>141</v>
      </c>
      <c r="AH115" s="148" t="s">
        <v>141</v>
      </c>
      <c r="AI115" s="149" t="s">
        <v>141</v>
      </c>
      <c r="AJ115" s="150" t="s">
        <v>1518</v>
      </c>
      <c r="AK115" s="151" t="s">
        <v>141</v>
      </c>
      <c r="AL115" s="152" t="s">
        <v>141</v>
      </c>
      <c r="AM115" s="153" t="s">
        <v>170</v>
      </c>
      <c r="AN115" s="154" t="s">
        <v>1613</v>
      </c>
      <c r="AO115" s="155" t="s">
        <v>141</v>
      </c>
      <c r="AP115" s="156" t="s">
        <v>145</v>
      </c>
      <c r="AQ115" s="157" t="s">
        <v>141</v>
      </c>
      <c r="AR115" s="158" t="s">
        <v>141</v>
      </c>
      <c r="AS115" s="159" t="s">
        <v>141</v>
      </c>
      <c r="AT115" s="160" t="s">
        <v>141</v>
      </c>
      <c r="AU115" s="161" t="s">
        <v>141</v>
      </c>
      <c r="AV115" s="162" t="s">
        <v>141</v>
      </c>
      <c r="AW115" s="163" t="s">
        <v>141</v>
      </c>
      <c r="AX115" s="164" t="s">
        <v>141</v>
      </c>
      <c r="AY115" s="165" t="s">
        <v>141</v>
      </c>
      <c r="AZ115" s="166" t="s">
        <v>141</v>
      </c>
      <c r="BA115" s="167" t="s">
        <v>146</v>
      </c>
      <c r="BB115" s="168" t="s">
        <v>133</v>
      </c>
      <c r="BC115" s="169" t="s">
        <v>132</v>
      </c>
      <c r="BD115" s="170">
        <v>5</v>
      </c>
      <c r="BE115" s="171">
        <v>3</v>
      </c>
      <c r="BF115" s="172" t="s">
        <v>1614</v>
      </c>
      <c r="BG115" s="173">
        <v>3</v>
      </c>
      <c r="BH115" s="174" t="s">
        <v>141</v>
      </c>
      <c r="BI115" s="175" t="s">
        <v>141</v>
      </c>
      <c r="BJ115" s="176" t="s">
        <v>141</v>
      </c>
      <c r="BK115" s="177" t="s">
        <v>1615</v>
      </c>
      <c r="BL115" s="178" t="s">
        <v>1614</v>
      </c>
      <c r="BM115" s="179" t="s">
        <v>1616</v>
      </c>
      <c r="BN115" s="180" t="s">
        <v>1617</v>
      </c>
      <c r="BO115" s="181" t="s">
        <v>141</v>
      </c>
      <c r="BP115" s="182" t="s">
        <v>141</v>
      </c>
      <c r="BQ115" s="183" t="s">
        <v>141</v>
      </c>
      <c r="BR115" s="184" t="s">
        <v>141</v>
      </c>
      <c r="BS115" s="185" t="s">
        <v>141</v>
      </c>
      <c r="BT115" s="186" t="s">
        <v>141</v>
      </c>
      <c r="BU115" s="187" t="s">
        <v>141</v>
      </c>
      <c r="BV115" s="188" t="s">
        <v>141</v>
      </c>
      <c r="BW115" s="189" t="s">
        <v>141</v>
      </c>
      <c r="BX115" s="190" t="s">
        <v>141</v>
      </c>
      <c r="BY115" s="191" t="s">
        <v>141</v>
      </c>
      <c r="BZ115" s="192" t="s">
        <v>141</v>
      </c>
      <c r="CA115" s="193" t="s">
        <v>141</v>
      </c>
      <c r="CB115" s="194" t="s">
        <v>141</v>
      </c>
      <c r="CC115" s="195" t="s">
        <v>141</v>
      </c>
      <c r="CD115" s="196" t="s">
        <v>141</v>
      </c>
      <c r="CE115" s="197" t="s">
        <v>141</v>
      </c>
      <c r="CF115" s="198" t="s">
        <v>141</v>
      </c>
      <c r="CG115" s="199" t="s">
        <v>141</v>
      </c>
      <c r="CH115" s="200" t="s">
        <v>141</v>
      </c>
      <c r="CI115" s="201" t="s">
        <v>141</v>
      </c>
      <c r="CJ115" s="202" t="s">
        <v>141</v>
      </c>
      <c r="CK115" s="203" t="s">
        <v>141</v>
      </c>
      <c r="CL115" s="204" t="s">
        <v>141</v>
      </c>
      <c r="CM115" s="205" t="s">
        <v>141</v>
      </c>
      <c r="CN115" s="206" t="s">
        <v>141</v>
      </c>
      <c r="CO115" s="207" t="s">
        <v>141</v>
      </c>
      <c r="CP115" s="208" t="s">
        <v>141</v>
      </c>
      <c r="CQ115" s="209" t="s">
        <v>141</v>
      </c>
      <c r="CR115" s="210" t="s">
        <v>141</v>
      </c>
      <c r="CS115" s="211" t="s">
        <v>141</v>
      </c>
      <c r="CT115" s="212" t="s">
        <v>141</v>
      </c>
      <c r="CU115" s="213" t="s">
        <v>141</v>
      </c>
      <c r="CV115" s="214" t="s">
        <v>141</v>
      </c>
      <c r="CW115" s="215" t="s">
        <v>141</v>
      </c>
      <c r="CX115" s="216">
        <v>2</v>
      </c>
      <c r="CY115" s="217" t="s">
        <v>150</v>
      </c>
      <c r="CZ115" s="218" t="s">
        <v>575</v>
      </c>
      <c r="DA115" s="219" t="s">
        <v>152</v>
      </c>
      <c r="DB115" s="220" t="s">
        <v>153</v>
      </c>
      <c r="DC115" s="221" t="s">
        <v>576</v>
      </c>
      <c r="DD115" s="222" t="s">
        <v>577</v>
      </c>
      <c r="DE115" s="223" t="s">
        <v>1618</v>
      </c>
      <c r="DF115" s="224" t="s">
        <v>157</v>
      </c>
      <c r="DG115" s="225">
        <v>2019</v>
      </c>
      <c r="DH115" s="226" t="s">
        <v>1619</v>
      </c>
      <c r="DI115" s="228" t="str">
        <f>HYPERLINK("https://my.pitchbook.com?c=128785-42T", "View company online")</f>
        <v>View company online</v>
      </c>
    </row>
    <row r="116" spans="1:113" x14ac:dyDescent="0.2">
      <c r="A116" s="3" t="s">
        <v>1620</v>
      </c>
      <c r="B116" s="4" t="s">
        <v>1088</v>
      </c>
      <c r="C116" s="5" t="s">
        <v>1089</v>
      </c>
      <c r="D116" s="6" t="s">
        <v>1090</v>
      </c>
      <c r="E116" s="7" t="s">
        <v>1091</v>
      </c>
      <c r="F116" s="8" t="s">
        <v>126</v>
      </c>
      <c r="G116" s="9" t="s">
        <v>208</v>
      </c>
      <c r="H116" s="10" t="s">
        <v>209</v>
      </c>
      <c r="I116" s="11" t="s">
        <v>210</v>
      </c>
      <c r="J116" s="12" t="s">
        <v>1092</v>
      </c>
      <c r="K116" s="13" t="s">
        <v>1093</v>
      </c>
      <c r="L116" s="14" t="s">
        <v>132</v>
      </c>
      <c r="M116" s="15" t="s">
        <v>133</v>
      </c>
      <c r="N116" s="16" t="s">
        <v>134</v>
      </c>
      <c r="O116" s="17" t="s">
        <v>1094</v>
      </c>
      <c r="P116" s="18" t="s">
        <v>1095</v>
      </c>
      <c r="Q116" s="19" t="s">
        <v>1096</v>
      </c>
      <c r="R116" s="20" t="s">
        <v>1097</v>
      </c>
      <c r="S116" s="21" t="s">
        <v>1098</v>
      </c>
      <c r="T116" s="22" t="s">
        <v>1099</v>
      </c>
      <c r="U116" s="23">
        <v>2</v>
      </c>
      <c r="V116" s="24" t="s">
        <v>1620</v>
      </c>
      <c r="W116" s="25">
        <v>43447</v>
      </c>
      <c r="X116" s="26">
        <v>43488</v>
      </c>
      <c r="Y116" s="27">
        <v>4</v>
      </c>
      <c r="Z116" s="28" t="s">
        <v>177</v>
      </c>
      <c r="AA116" s="29" t="s">
        <v>141</v>
      </c>
      <c r="AB116" s="30" t="s">
        <v>141</v>
      </c>
      <c r="AC116" s="31" t="s">
        <v>141</v>
      </c>
      <c r="AD116" s="32" t="s">
        <v>141</v>
      </c>
      <c r="AE116" s="33">
        <v>4.3</v>
      </c>
      <c r="AF116" s="34" t="s">
        <v>1571</v>
      </c>
      <c r="AG116" s="35" t="s">
        <v>141</v>
      </c>
      <c r="AH116" s="36" t="s">
        <v>141</v>
      </c>
      <c r="AI116" s="37" t="s">
        <v>141</v>
      </c>
      <c r="AJ116" s="38" t="s">
        <v>1518</v>
      </c>
      <c r="AK116" s="39" t="s">
        <v>141</v>
      </c>
      <c r="AL116" s="40" t="s">
        <v>141</v>
      </c>
      <c r="AM116" s="41" t="s">
        <v>170</v>
      </c>
      <c r="AN116" s="42" t="s">
        <v>1621</v>
      </c>
      <c r="AO116" s="43">
        <v>4</v>
      </c>
      <c r="AP116" s="44" t="s">
        <v>145</v>
      </c>
      <c r="AQ116" s="45" t="s">
        <v>141</v>
      </c>
      <c r="AR116" s="46" t="s">
        <v>141</v>
      </c>
      <c r="AS116" s="47" t="s">
        <v>141</v>
      </c>
      <c r="AT116" s="48" t="s">
        <v>141</v>
      </c>
      <c r="AU116" s="49" t="s">
        <v>141</v>
      </c>
      <c r="AV116" s="50" t="s">
        <v>141</v>
      </c>
      <c r="AW116" s="51" t="s">
        <v>141</v>
      </c>
      <c r="AX116" s="52" t="s">
        <v>141</v>
      </c>
      <c r="AY116" s="53" t="s">
        <v>141</v>
      </c>
      <c r="AZ116" s="54" t="s">
        <v>141</v>
      </c>
      <c r="BA116" s="55" t="s">
        <v>146</v>
      </c>
      <c r="BB116" s="56" t="s">
        <v>133</v>
      </c>
      <c r="BC116" s="57" t="s">
        <v>132</v>
      </c>
      <c r="BD116" s="58" t="s">
        <v>141</v>
      </c>
      <c r="BE116" s="59">
        <v>4</v>
      </c>
      <c r="BF116" s="60" t="s">
        <v>1622</v>
      </c>
      <c r="BG116" s="61">
        <v>4</v>
      </c>
      <c r="BH116" s="62" t="s">
        <v>141</v>
      </c>
      <c r="BI116" s="63" t="s">
        <v>141</v>
      </c>
      <c r="BJ116" s="64" t="s">
        <v>141</v>
      </c>
      <c r="BK116" s="65" t="s">
        <v>1623</v>
      </c>
      <c r="BL116" s="66" t="s">
        <v>1624</v>
      </c>
      <c r="BM116" s="67" t="s">
        <v>1625</v>
      </c>
      <c r="BN116" s="68" t="s">
        <v>1626</v>
      </c>
      <c r="BO116" s="69" t="s">
        <v>141</v>
      </c>
      <c r="BP116" s="70" t="s">
        <v>141</v>
      </c>
      <c r="BQ116" s="71" t="s">
        <v>141</v>
      </c>
      <c r="BR116" s="72" t="s">
        <v>1627</v>
      </c>
      <c r="BS116" s="73" t="s">
        <v>1627</v>
      </c>
      <c r="BT116" s="74" t="s">
        <v>141</v>
      </c>
      <c r="BU116" s="75" t="s">
        <v>141</v>
      </c>
      <c r="BV116" s="76" t="s">
        <v>141</v>
      </c>
      <c r="BW116" s="77" t="s">
        <v>141</v>
      </c>
      <c r="BX116" s="78" t="s">
        <v>141</v>
      </c>
      <c r="BY116" s="79" t="s">
        <v>141</v>
      </c>
      <c r="BZ116" s="80" t="s">
        <v>141</v>
      </c>
      <c r="CA116" s="81" t="s">
        <v>141</v>
      </c>
      <c r="CB116" s="82" t="s">
        <v>141</v>
      </c>
      <c r="CC116" s="83" t="s">
        <v>141</v>
      </c>
      <c r="CD116" s="84" t="s">
        <v>141</v>
      </c>
      <c r="CE116" s="85" t="s">
        <v>141</v>
      </c>
      <c r="CF116" s="86" t="s">
        <v>141</v>
      </c>
      <c r="CG116" s="87" t="s">
        <v>141</v>
      </c>
      <c r="CH116" s="88" t="s">
        <v>141</v>
      </c>
      <c r="CI116" s="89" t="s">
        <v>141</v>
      </c>
      <c r="CJ116" s="90" t="s">
        <v>141</v>
      </c>
      <c r="CK116" s="91" t="s">
        <v>141</v>
      </c>
      <c r="CL116" s="92" t="s">
        <v>141</v>
      </c>
      <c r="CM116" s="93" t="s">
        <v>141</v>
      </c>
      <c r="CN116" s="94" t="s">
        <v>141</v>
      </c>
      <c r="CO116" s="95" t="s">
        <v>141</v>
      </c>
      <c r="CP116" s="96" t="s">
        <v>141</v>
      </c>
      <c r="CQ116" s="97" t="s">
        <v>141</v>
      </c>
      <c r="CR116" s="98" t="s">
        <v>141</v>
      </c>
      <c r="CS116" s="99" t="s">
        <v>141</v>
      </c>
      <c r="CT116" s="100" t="s">
        <v>141</v>
      </c>
      <c r="CU116" s="101" t="s">
        <v>141</v>
      </c>
      <c r="CV116" s="102" t="s">
        <v>141</v>
      </c>
      <c r="CW116" s="103" t="s">
        <v>141</v>
      </c>
      <c r="CX116" s="104">
        <v>300</v>
      </c>
      <c r="CY116" s="105" t="s">
        <v>150</v>
      </c>
      <c r="CZ116" s="106" t="s">
        <v>327</v>
      </c>
      <c r="DA116" s="107" t="s">
        <v>152</v>
      </c>
      <c r="DB116" s="108" t="s">
        <v>153</v>
      </c>
      <c r="DC116" s="109" t="s">
        <v>328</v>
      </c>
      <c r="DD116" s="110" t="s">
        <v>329</v>
      </c>
      <c r="DE116" s="111" t="s">
        <v>1102</v>
      </c>
      <c r="DF116" s="112" t="s">
        <v>157</v>
      </c>
      <c r="DG116" s="113">
        <v>2015</v>
      </c>
      <c r="DH116" s="114" t="s">
        <v>1103</v>
      </c>
      <c r="DI116" s="227" t="str">
        <f>HYPERLINK("https://my.pitchbook.com?c=114815-26T", "View company online")</f>
        <v>View company online</v>
      </c>
    </row>
    <row r="117" spans="1:113" x14ac:dyDescent="0.2">
      <c r="A117" s="115" t="s">
        <v>1628</v>
      </c>
      <c r="B117" s="116" t="s">
        <v>1088</v>
      </c>
      <c r="C117" s="117" t="s">
        <v>1089</v>
      </c>
      <c r="D117" s="118" t="s">
        <v>1090</v>
      </c>
      <c r="E117" s="119" t="s">
        <v>1091</v>
      </c>
      <c r="F117" s="120" t="s">
        <v>126</v>
      </c>
      <c r="G117" s="121" t="s">
        <v>208</v>
      </c>
      <c r="H117" s="122" t="s">
        <v>209</v>
      </c>
      <c r="I117" s="123" t="s">
        <v>210</v>
      </c>
      <c r="J117" s="124" t="s">
        <v>1092</v>
      </c>
      <c r="K117" s="125" t="s">
        <v>1093</v>
      </c>
      <c r="L117" s="126" t="s">
        <v>132</v>
      </c>
      <c r="M117" s="127" t="s">
        <v>133</v>
      </c>
      <c r="N117" s="128" t="s">
        <v>134</v>
      </c>
      <c r="O117" s="129" t="s">
        <v>1094</v>
      </c>
      <c r="P117" s="130" t="s">
        <v>1095</v>
      </c>
      <c r="Q117" s="131" t="s">
        <v>1096</v>
      </c>
      <c r="R117" s="132" t="s">
        <v>1097</v>
      </c>
      <c r="S117" s="133" t="s">
        <v>1098</v>
      </c>
      <c r="T117" s="134" t="s">
        <v>1099</v>
      </c>
      <c r="U117" s="135">
        <v>4</v>
      </c>
      <c r="V117" s="136" t="s">
        <v>1628</v>
      </c>
      <c r="W117" s="137" t="s">
        <v>141</v>
      </c>
      <c r="X117" s="138">
        <v>44034</v>
      </c>
      <c r="Y117" s="139">
        <v>33</v>
      </c>
      <c r="Z117" s="140" t="s">
        <v>177</v>
      </c>
      <c r="AA117" s="141" t="s">
        <v>141</v>
      </c>
      <c r="AB117" s="142" t="s">
        <v>141</v>
      </c>
      <c r="AC117" s="143" t="s">
        <v>141</v>
      </c>
      <c r="AD117" s="144" t="s">
        <v>141</v>
      </c>
      <c r="AE117" s="145">
        <v>37.299999999999997</v>
      </c>
      <c r="AF117" s="146" t="s">
        <v>1582</v>
      </c>
      <c r="AG117" s="147" t="s">
        <v>141</v>
      </c>
      <c r="AH117" s="148" t="s">
        <v>141</v>
      </c>
      <c r="AI117" s="149" t="s">
        <v>1517</v>
      </c>
      <c r="AJ117" s="150" t="s">
        <v>1518</v>
      </c>
      <c r="AK117" s="151" t="s">
        <v>1517</v>
      </c>
      <c r="AL117" s="152" t="s">
        <v>141</v>
      </c>
      <c r="AM117" s="153" t="s">
        <v>170</v>
      </c>
      <c r="AN117" s="154" t="s">
        <v>1091</v>
      </c>
      <c r="AO117" s="155">
        <v>33</v>
      </c>
      <c r="AP117" s="156" t="s">
        <v>145</v>
      </c>
      <c r="AQ117" s="157" t="s">
        <v>141</v>
      </c>
      <c r="AR117" s="158" t="s">
        <v>141</v>
      </c>
      <c r="AS117" s="159" t="s">
        <v>141</v>
      </c>
      <c r="AT117" s="160" t="s">
        <v>141</v>
      </c>
      <c r="AU117" s="161" t="s">
        <v>141</v>
      </c>
      <c r="AV117" s="162" t="s">
        <v>141</v>
      </c>
      <c r="AW117" s="163" t="s">
        <v>141</v>
      </c>
      <c r="AX117" s="164" t="s">
        <v>141</v>
      </c>
      <c r="AY117" s="165" t="s">
        <v>141</v>
      </c>
      <c r="AZ117" s="166" t="s">
        <v>141</v>
      </c>
      <c r="BA117" s="167" t="s">
        <v>146</v>
      </c>
      <c r="BB117" s="168" t="s">
        <v>133</v>
      </c>
      <c r="BC117" s="169" t="s">
        <v>132</v>
      </c>
      <c r="BD117" s="170">
        <v>300</v>
      </c>
      <c r="BE117" s="171">
        <v>8</v>
      </c>
      <c r="BF117" s="172" t="s">
        <v>1629</v>
      </c>
      <c r="BG117" s="173">
        <v>5</v>
      </c>
      <c r="BH117" s="174" t="s">
        <v>1630</v>
      </c>
      <c r="BI117" s="175">
        <v>3</v>
      </c>
      <c r="BJ117" s="176" t="s">
        <v>141</v>
      </c>
      <c r="BK117" s="177" t="s">
        <v>1631</v>
      </c>
      <c r="BL117" s="178" t="s">
        <v>1632</v>
      </c>
      <c r="BM117" s="179" t="s">
        <v>141</v>
      </c>
      <c r="BN117" s="180" t="s">
        <v>1633</v>
      </c>
      <c r="BO117" s="181" t="s">
        <v>141</v>
      </c>
      <c r="BP117" s="182" t="s">
        <v>141</v>
      </c>
      <c r="BQ117" s="183" t="s">
        <v>141</v>
      </c>
      <c r="BR117" s="184" t="s">
        <v>1634</v>
      </c>
      <c r="BS117" s="185" t="s">
        <v>1101</v>
      </c>
      <c r="BT117" s="186" t="s">
        <v>141</v>
      </c>
      <c r="BU117" s="187" t="s">
        <v>1635</v>
      </c>
      <c r="BV117" s="188" t="s">
        <v>141</v>
      </c>
      <c r="BW117" s="189" t="s">
        <v>141</v>
      </c>
      <c r="BX117" s="190" t="s">
        <v>141</v>
      </c>
      <c r="BY117" s="191" t="s">
        <v>141</v>
      </c>
      <c r="BZ117" s="192" t="s">
        <v>141</v>
      </c>
      <c r="CA117" s="193" t="s">
        <v>141</v>
      </c>
      <c r="CB117" s="194" t="s">
        <v>141</v>
      </c>
      <c r="CC117" s="195" t="s">
        <v>141</v>
      </c>
      <c r="CD117" s="196" t="s">
        <v>141</v>
      </c>
      <c r="CE117" s="197" t="s">
        <v>141</v>
      </c>
      <c r="CF117" s="198" t="s">
        <v>141</v>
      </c>
      <c r="CG117" s="199" t="s">
        <v>141</v>
      </c>
      <c r="CH117" s="200" t="s">
        <v>141</v>
      </c>
      <c r="CI117" s="201" t="s">
        <v>141</v>
      </c>
      <c r="CJ117" s="202" t="s">
        <v>141</v>
      </c>
      <c r="CK117" s="203" t="s">
        <v>141</v>
      </c>
      <c r="CL117" s="204" t="s">
        <v>141</v>
      </c>
      <c r="CM117" s="205" t="s">
        <v>141</v>
      </c>
      <c r="CN117" s="206" t="s">
        <v>141</v>
      </c>
      <c r="CO117" s="207" t="s">
        <v>141</v>
      </c>
      <c r="CP117" s="208" t="s">
        <v>141</v>
      </c>
      <c r="CQ117" s="209" t="s">
        <v>141</v>
      </c>
      <c r="CR117" s="210" t="s">
        <v>141</v>
      </c>
      <c r="CS117" s="211" t="s">
        <v>141</v>
      </c>
      <c r="CT117" s="212" t="s">
        <v>141</v>
      </c>
      <c r="CU117" s="213" t="s">
        <v>141</v>
      </c>
      <c r="CV117" s="214" t="s">
        <v>141</v>
      </c>
      <c r="CW117" s="215" t="s">
        <v>141</v>
      </c>
      <c r="CX117" s="216">
        <v>300</v>
      </c>
      <c r="CY117" s="217" t="s">
        <v>150</v>
      </c>
      <c r="CZ117" s="218" t="s">
        <v>327</v>
      </c>
      <c r="DA117" s="219" t="s">
        <v>152</v>
      </c>
      <c r="DB117" s="220" t="s">
        <v>153</v>
      </c>
      <c r="DC117" s="221" t="s">
        <v>328</v>
      </c>
      <c r="DD117" s="222" t="s">
        <v>329</v>
      </c>
      <c r="DE117" s="223" t="s">
        <v>1102</v>
      </c>
      <c r="DF117" s="224" t="s">
        <v>157</v>
      </c>
      <c r="DG117" s="225">
        <v>2015</v>
      </c>
      <c r="DH117" s="226" t="s">
        <v>1103</v>
      </c>
      <c r="DI117" s="228" t="str">
        <f>HYPERLINK("https://my.pitchbook.com?c=137650-96T", "View company online")</f>
        <v>View company online</v>
      </c>
    </row>
    <row r="118" spans="1:113" x14ac:dyDescent="0.2">
      <c r="A118" s="3" t="s">
        <v>1636</v>
      </c>
      <c r="B118" s="4" t="s">
        <v>336</v>
      </c>
      <c r="C118" s="5" t="s">
        <v>337</v>
      </c>
      <c r="D118" s="6" t="s">
        <v>338</v>
      </c>
      <c r="E118" s="7" t="s">
        <v>339</v>
      </c>
      <c r="F118" s="8" t="s">
        <v>126</v>
      </c>
      <c r="G118" s="9" t="s">
        <v>340</v>
      </c>
      <c r="H118" s="10" t="s">
        <v>341</v>
      </c>
      <c r="I118" s="11" t="s">
        <v>342</v>
      </c>
      <c r="J118" s="12" t="s">
        <v>343</v>
      </c>
      <c r="K118" s="13" t="s">
        <v>344</v>
      </c>
      <c r="L118" s="14" t="s">
        <v>345</v>
      </c>
      <c r="M118" s="15" t="s">
        <v>133</v>
      </c>
      <c r="N118" s="16" t="s">
        <v>346</v>
      </c>
      <c r="O118" s="17" t="s">
        <v>347</v>
      </c>
      <c r="P118" s="18" t="s">
        <v>348</v>
      </c>
      <c r="Q118" s="19" t="s">
        <v>141</v>
      </c>
      <c r="R118" s="20" t="s">
        <v>349</v>
      </c>
      <c r="S118" s="21" t="s">
        <v>350</v>
      </c>
      <c r="T118" s="22" t="s">
        <v>351</v>
      </c>
      <c r="U118" s="23">
        <v>1</v>
      </c>
      <c r="V118" s="24" t="s">
        <v>1636</v>
      </c>
      <c r="W118" s="25" t="s">
        <v>141</v>
      </c>
      <c r="X118" s="26">
        <v>42214</v>
      </c>
      <c r="Y118" s="27">
        <v>0.5</v>
      </c>
      <c r="Z118" s="28" t="s">
        <v>177</v>
      </c>
      <c r="AA118" s="29">
        <v>9.09</v>
      </c>
      <c r="AB118" s="30">
        <v>9.59</v>
      </c>
      <c r="AC118" s="31" t="s">
        <v>177</v>
      </c>
      <c r="AD118" s="32">
        <v>4.3099999999999996</v>
      </c>
      <c r="AE118" s="33">
        <v>0.5</v>
      </c>
      <c r="AF118" s="34" t="s">
        <v>1571</v>
      </c>
      <c r="AG118" s="35" t="s">
        <v>141</v>
      </c>
      <c r="AH118" s="36" t="s">
        <v>141</v>
      </c>
      <c r="AI118" s="37" t="s">
        <v>141</v>
      </c>
      <c r="AJ118" s="38" t="s">
        <v>1518</v>
      </c>
      <c r="AK118" s="39" t="s">
        <v>141</v>
      </c>
      <c r="AL118" s="40" t="s">
        <v>141</v>
      </c>
      <c r="AM118" s="41" t="s">
        <v>170</v>
      </c>
      <c r="AN118" s="42" t="s">
        <v>1637</v>
      </c>
      <c r="AO118" s="43">
        <v>0.5</v>
      </c>
      <c r="AP118" s="44" t="s">
        <v>145</v>
      </c>
      <c r="AQ118" s="45" t="s">
        <v>141</v>
      </c>
      <c r="AR118" s="46" t="s">
        <v>141</v>
      </c>
      <c r="AS118" s="47" t="s">
        <v>141</v>
      </c>
      <c r="AT118" s="48" t="s">
        <v>141</v>
      </c>
      <c r="AU118" s="49" t="s">
        <v>141</v>
      </c>
      <c r="AV118" s="50" t="s">
        <v>141</v>
      </c>
      <c r="AW118" s="51" t="s">
        <v>141</v>
      </c>
      <c r="AX118" s="52" t="s">
        <v>141</v>
      </c>
      <c r="AY118" s="53" t="s">
        <v>141</v>
      </c>
      <c r="AZ118" s="54" t="s">
        <v>141</v>
      </c>
      <c r="BA118" s="55" t="s">
        <v>146</v>
      </c>
      <c r="BB118" s="56" t="s">
        <v>263</v>
      </c>
      <c r="BC118" s="57" t="s">
        <v>132</v>
      </c>
      <c r="BD118" s="58" t="s">
        <v>141</v>
      </c>
      <c r="BE118" s="59">
        <v>2</v>
      </c>
      <c r="BF118" s="60" t="s">
        <v>1638</v>
      </c>
      <c r="BG118" s="61">
        <v>2</v>
      </c>
      <c r="BH118" s="62" t="s">
        <v>141</v>
      </c>
      <c r="BI118" s="63" t="s">
        <v>141</v>
      </c>
      <c r="BJ118" s="64" t="s">
        <v>141</v>
      </c>
      <c r="BK118" s="65" t="s">
        <v>1639</v>
      </c>
      <c r="BL118" s="66" t="s">
        <v>1640</v>
      </c>
      <c r="BM118" s="67" t="s">
        <v>1641</v>
      </c>
      <c r="BN118" s="68" t="s">
        <v>1642</v>
      </c>
      <c r="BO118" s="69" t="s">
        <v>141</v>
      </c>
      <c r="BP118" s="70" t="s">
        <v>141</v>
      </c>
      <c r="BQ118" s="71" t="s">
        <v>141</v>
      </c>
      <c r="BR118" s="72" t="s">
        <v>141</v>
      </c>
      <c r="BS118" s="73" t="s">
        <v>141</v>
      </c>
      <c r="BT118" s="74" t="s">
        <v>141</v>
      </c>
      <c r="BU118" s="75" t="s">
        <v>141</v>
      </c>
      <c r="BV118" s="76" t="s">
        <v>141</v>
      </c>
      <c r="BW118" s="77" t="s">
        <v>141</v>
      </c>
      <c r="BX118" s="78" t="s">
        <v>141</v>
      </c>
      <c r="BY118" s="79" t="s">
        <v>141</v>
      </c>
      <c r="BZ118" s="80" t="s">
        <v>141</v>
      </c>
      <c r="CA118" s="81" t="s">
        <v>141</v>
      </c>
      <c r="CB118" s="82" t="s">
        <v>141</v>
      </c>
      <c r="CC118" s="83" t="s">
        <v>141</v>
      </c>
      <c r="CD118" s="84" t="s">
        <v>141</v>
      </c>
      <c r="CE118" s="85" t="s">
        <v>141</v>
      </c>
      <c r="CF118" s="86" t="s">
        <v>141</v>
      </c>
      <c r="CG118" s="87" t="s">
        <v>141</v>
      </c>
      <c r="CH118" s="88" t="s">
        <v>141</v>
      </c>
      <c r="CI118" s="89" t="s">
        <v>141</v>
      </c>
      <c r="CJ118" s="90" t="s">
        <v>141</v>
      </c>
      <c r="CK118" s="91" t="s">
        <v>141</v>
      </c>
      <c r="CL118" s="92" t="s">
        <v>141</v>
      </c>
      <c r="CM118" s="93" t="s">
        <v>141</v>
      </c>
      <c r="CN118" s="94" t="s">
        <v>141</v>
      </c>
      <c r="CO118" s="95" t="s">
        <v>141</v>
      </c>
      <c r="CP118" s="96" t="s">
        <v>141</v>
      </c>
      <c r="CQ118" s="97" t="s">
        <v>141</v>
      </c>
      <c r="CR118" s="98" t="s">
        <v>141</v>
      </c>
      <c r="CS118" s="99" t="s">
        <v>141</v>
      </c>
      <c r="CT118" s="100" t="s">
        <v>141</v>
      </c>
      <c r="CU118" s="101" t="s">
        <v>141</v>
      </c>
      <c r="CV118" s="102" t="s">
        <v>141</v>
      </c>
      <c r="CW118" s="103" t="s">
        <v>141</v>
      </c>
      <c r="CX118" s="104" t="s">
        <v>141</v>
      </c>
      <c r="CY118" s="105" t="s">
        <v>150</v>
      </c>
      <c r="CZ118" s="106" t="s">
        <v>180</v>
      </c>
      <c r="DA118" s="107" t="s">
        <v>152</v>
      </c>
      <c r="DB118" s="108" t="s">
        <v>153</v>
      </c>
      <c r="DC118" s="109" t="s">
        <v>181</v>
      </c>
      <c r="DD118" s="110" t="s">
        <v>182</v>
      </c>
      <c r="DE118" s="111" t="s">
        <v>183</v>
      </c>
      <c r="DF118" s="112" t="s">
        <v>157</v>
      </c>
      <c r="DG118" s="113">
        <v>2015</v>
      </c>
      <c r="DH118" s="114" t="s">
        <v>355</v>
      </c>
      <c r="DI118" s="227" t="str">
        <f>HYPERLINK("https://my.pitchbook.com?c=54974-08T", "View company online")</f>
        <v>View company online</v>
      </c>
    </row>
    <row r="119" spans="1:113" x14ac:dyDescent="0.2">
      <c r="A119" s="115" t="s">
        <v>1643</v>
      </c>
      <c r="B119" s="116" t="s">
        <v>336</v>
      </c>
      <c r="C119" s="117" t="s">
        <v>337</v>
      </c>
      <c r="D119" s="118" t="s">
        <v>338</v>
      </c>
      <c r="E119" s="119" t="s">
        <v>339</v>
      </c>
      <c r="F119" s="120" t="s">
        <v>126</v>
      </c>
      <c r="G119" s="121" t="s">
        <v>340</v>
      </c>
      <c r="H119" s="122" t="s">
        <v>341</v>
      </c>
      <c r="I119" s="123" t="s">
        <v>342</v>
      </c>
      <c r="J119" s="124" t="s">
        <v>343</v>
      </c>
      <c r="K119" s="125" t="s">
        <v>344</v>
      </c>
      <c r="L119" s="126" t="s">
        <v>345</v>
      </c>
      <c r="M119" s="127" t="s">
        <v>133</v>
      </c>
      <c r="N119" s="128" t="s">
        <v>346</v>
      </c>
      <c r="O119" s="129" t="s">
        <v>347</v>
      </c>
      <c r="P119" s="130" t="s">
        <v>348</v>
      </c>
      <c r="Q119" s="131" t="s">
        <v>141</v>
      </c>
      <c r="R119" s="132" t="s">
        <v>349</v>
      </c>
      <c r="S119" s="133" t="s">
        <v>350</v>
      </c>
      <c r="T119" s="134" t="s">
        <v>351</v>
      </c>
      <c r="U119" s="135">
        <v>2</v>
      </c>
      <c r="V119" s="136" t="s">
        <v>1643</v>
      </c>
      <c r="W119" s="137" t="s">
        <v>141</v>
      </c>
      <c r="X119" s="138">
        <v>42465</v>
      </c>
      <c r="Y119" s="139">
        <v>6.7</v>
      </c>
      <c r="Z119" s="140" t="s">
        <v>177</v>
      </c>
      <c r="AA119" s="141">
        <v>16.5</v>
      </c>
      <c r="AB119" s="142">
        <v>23.2</v>
      </c>
      <c r="AC119" s="143" t="s">
        <v>177</v>
      </c>
      <c r="AD119" s="144" t="s">
        <v>141</v>
      </c>
      <c r="AE119" s="145">
        <v>7.2</v>
      </c>
      <c r="AF119" s="146" t="s">
        <v>1582</v>
      </c>
      <c r="AG119" s="147" t="s">
        <v>141</v>
      </c>
      <c r="AH119" s="148" t="s">
        <v>141</v>
      </c>
      <c r="AI119" s="149" t="s">
        <v>1517</v>
      </c>
      <c r="AJ119" s="150" t="s">
        <v>1518</v>
      </c>
      <c r="AK119" s="151" t="s">
        <v>1517</v>
      </c>
      <c r="AL119" s="152" t="s">
        <v>141</v>
      </c>
      <c r="AM119" s="153" t="s">
        <v>170</v>
      </c>
      <c r="AN119" s="154" t="s">
        <v>1644</v>
      </c>
      <c r="AO119" s="155">
        <v>6.7</v>
      </c>
      <c r="AP119" s="156" t="s">
        <v>145</v>
      </c>
      <c r="AQ119" s="157" t="s">
        <v>141</v>
      </c>
      <c r="AR119" s="158" t="s">
        <v>141</v>
      </c>
      <c r="AS119" s="159" t="s">
        <v>141</v>
      </c>
      <c r="AT119" s="160" t="s">
        <v>141</v>
      </c>
      <c r="AU119" s="161" t="s">
        <v>141</v>
      </c>
      <c r="AV119" s="162" t="s">
        <v>141</v>
      </c>
      <c r="AW119" s="163" t="s">
        <v>141</v>
      </c>
      <c r="AX119" s="164" t="s">
        <v>141</v>
      </c>
      <c r="AY119" s="165" t="s">
        <v>141</v>
      </c>
      <c r="AZ119" s="166" t="s">
        <v>141</v>
      </c>
      <c r="BA119" s="167" t="s">
        <v>146</v>
      </c>
      <c r="BB119" s="168" t="s">
        <v>133</v>
      </c>
      <c r="BC119" s="169" t="s">
        <v>132</v>
      </c>
      <c r="BD119" s="170" t="s">
        <v>141</v>
      </c>
      <c r="BE119" s="171">
        <v>7</v>
      </c>
      <c r="BF119" s="172" t="s">
        <v>1645</v>
      </c>
      <c r="BG119" s="173">
        <v>6</v>
      </c>
      <c r="BH119" s="174" t="s">
        <v>1646</v>
      </c>
      <c r="BI119" s="175">
        <v>1</v>
      </c>
      <c r="BJ119" s="176" t="s">
        <v>141</v>
      </c>
      <c r="BK119" s="177" t="s">
        <v>1647</v>
      </c>
      <c r="BL119" s="178" t="s">
        <v>1648</v>
      </c>
      <c r="BM119" s="179" t="s">
        <v>1649</v>
      </c>
      <c r="BN119" s="180" t="s">
        <v>1650</v>
      </c>
      <c r="BO119" s="181" t="s">
        <v>141</v>
      </c>
      <c r="BP119" s="182" t="s">
        <v>141</v>
      </c>
      <c r="BQ119" s="183" t="s">
        <v>141</v>
      </c>
      <c r="BR119" s="184" t="s">
        <v>1651</v>
      </c>
      <c r="BS119" s="185" t="s">
        <v>372</v>
      </c>
      <c r="BT119" s="186" t="s">
        <v>141</v>
      </c>
      <c r="BU119" s="187" t="s">
        <v>1652</v>
      </c>
      <c r="BV119" s="188" t="s">
        <v>141</v>
      </c>
      <c r="BW119" s="189" t="s">
        <v>141</v>
      </c>
      <c r="BX119" s="190" t="s">
        <v>141</v>
      </c>
      <c r="BY119" s="191" t="s">
        <v>141</v>
      </c>
      <c r="BZ119" s="192" t="s">
        <v>141</v>
      </c>
      <c r="CA119" s="193" t="s">
        <v>141</v>
      </c>
      <c r="CB119" s="194" t="s">
        <v>141</v>
      </c>
      <c r="CC119" s="195" t="s">
        <v>141</v>
      </c>
      <c r="CD119" s="196" t="s">
        <v>141</v>
      </c>
      <c r="CE119" s="197" t="s">
        <v>141</v>
      </c>
      <c r="CF119" s="198" t="s">
        <v>141</v>
      </c>
      <c r="CG119" s="199" t="s">
        <v>141</v>
      </c>
      <c r="CH119" s="200" t="s">
        <v>141</v>
      </c>
      <c r="CI119" s="201" t="s">
        <v>141</v>
      </c>
      <c r="CJ119" s="202" t="s">
        <v>141</v>
      </c>
      <c r="CK119" s="203" t="s">
        <v>141</v>
      </c>
      <c r="CL119" s="204" t="s">
        <v>141</v>
      </c>
      <c r="CM119" s="205" t="s">
        <v>141</v>
      </c>
      <c r="CN119" s="206" t="s">
        <v>141</v>
      </c>
      <c r="CO119" s="207" t="s">
        <v>141</v>
      </c>
      <c r="CP119" s="208" t="s">
        <v>141</v>
      </c>
      <c r="CQ119" s="209" t="s">
        <v>141</v>
      </c>
      <c r="CR119" s="210" t="s">
        <v>141</v>
      </c>
      <c r="CS119" s="211" t="s">
        <v>141</v>
      </c>
      <c r="CT119" s="212" t="s">
        <v>141</v>
      </c>
      <c r="CU119" s="213" t="s">
        <v>141</v>
      </c>
      <c r="CV119" s="214" t="s">
        <v>141</v>
      </c>
      <c r="CW119" s="215" t="s">
        <v>141</v>
      </c>
      <c r="CX119" s="216" t="s">
        <v>141</v>
      </c>
      <c r="CY119" s="217" t="s">
        <v>150</v>
      </c>
      <c r="CZ119" s="218" t="s">
        <v>180</v>
      </c>
      <c r="DA119" s="219" t="s">
        <v>152</v>
      </c>
      <c r="DB119" s="220" t="s">
        <v>153</v>
      </c>
      <c r="DC119" s="221" t="s">
        <v>181</v>
      </c>
      <c r="DD119" s="222" t="s">
        <v>182</v>
      </c>
      <c r="DE119" s="223" t="s">
        <v>183</v>
      </c>
      <c r="DF119" s="224" t="s">
        <v>157</v>
      </c>
      <c r="DG119" s="225">
        <v>2015</v>
      </c>
      <c r="DH119" s="226" t="s">
        <v>355</v>
      </c>
      <c r="DI119" s="228" t="str">
        <f>HYPERLINK("https://my.pitchbook.com?c=68980-96T", "View company online")</f>
        <v>View company online</v>
      </c>
    </row>
    <row r="120" spans="1:113" x14ac:dyDescent="0.2">
      <c r="A120" s="3" t="s">
        <v>1653</v>
      </c>
      <c r="B120" s="4" t="s">
        <v>336</v>
      </c>
      <c r="C120" s="5" t="s">
        <v>337</v>
      </c>
      <c r="D120" s="6" t="s">
        <v>338</v>
      </c>
      <c r="E120" s="7" t="s">
        <v>339</v>
      </c>
      <c r="F120" s="8" t="s">
        <v>126</v>
      </c>
      <c r="G120" s="9" t="s">
        <v>340</v>
      </c>
      <c r="H120" s="10" t="s">
        <v>341</v>
      </c>
      <c r="I120" s="11" t="s">
        <v>342</v>
      </c>
      <c r="J120" s="12" t="s">
        <v>343</v>
      </c>
      <c r="K120" s="13" t="s">
        <v>344</v>
      </c>
      <c r="L120" s="14" t="s">
        <v>345</v>
      </c>
      <c r="M120" s="15" t="s">
        <v>133</v>
      </c>
      <c r="N120" s="16" t="s">
        <v>346</v>
      </c>
      <c r="O120" s="17" t="s">
        <v>347</v>
      </c>
      <c r="P120" s="18" t="s">
        <v>348</v>
      </c>
      <c r="Q120" s="19" t="s">
        <v>141</v>
      </c>
      <c r="R120" s="20" t="s">
        <v>349</v>
      </c>
      <c r="S120" s="21" t="s">
        <v>350</v>
      </c>
      <c r="T120" s="22" t="s">
        <v>351</v>
      </c>
      <c r="U120" s="23">
        <v>3</v>
      </c>
      <c r="V120" s="24" t="s">
        <v>1653</v>
      </c>
      <c r="W120" s="25" t="s">
        <v>141</v>
      </c>
      <c r="X120" s="26">
        <v>42851</v>
      </c>
      <c r="Y120" s="27">
        <v>21</v>
      </c>
      <c r="Z120" s="28" t="s">
        <v>177</v>
      </c>
      <c r="AA120" s="29" t="s">
        <v>141</v>
      </c>
      <c r="AB120" s="30" t="s">
        <v>141</v>
      </c>
      <c r="AC120" s="31" t="s">
        <v>141</v>
      </c>
      <c r="AD120" s="32" t="s">
        <v>141</v>
      </c>
      <c r="AE120" s="33">
        <v>28.2</v>
      </c>
      <c r="AF120" s="34" t="s">
        <v>1516</v>
      </c>
      <c r="AG120" s="35" t="s">
        <v>141</v>
      </c>
      <c r="AH120" s="36" t="s">
        <v>141</v>
      </c>
      <c r="AI120" s="37" t="s">
        <v>1551</v>
      </c>
      <c r="AJ120" s="38" t="s">
        <v>1518</v>
      </c>
      <c r="AK120" s="39" t="s">
        <v>1551</v>
      </c>
      <c r="AL120" s="40" t="s">
        <v>141</v>
      </c>
      <c r="AM120" s="41" t="s">
        <v>170</v>
      </c>
      <c r="AN120" s="42" t="s">
        <v>1654</v>
      </c>
      <c r="AO120" s="43">
        <v>21</v>
      </c>
      <c r="AP120" s="44" t="s">
        <v>145</v>
      </c>
      <c r="AQ120" s="45" t="s">
        <v>141</v>
      </c>
      <c r="AR120" s="46" t="s">
        <v>141</v>
      </c>
      <c r="AS120" s="47" t="s">
        <v>141</v>
      </c>
      <c r="AT120" s="48" t="s">
        <v>141</v>
      </c>
      <c r="AU120" s="49" t="s">
        <v>141</v>
      </c>
      <c r="AV120" s="50" t="s">
        <v>141</v>
      </c>
      <c r="AW120" s="51" t="s">
        <v>141</v>
      </c>
      <c r="AX120" s="52" t="s">
        <v>141</v>
      </c>
      <c r="AY120" s="53" t="s">
        <v>141</v>
      </c>
      <c r="AZ120" s="54" t="s">
        <v>141</v>
      </c>
      <c r="BA120" s="55" t="s">
        <v>146</v>
      </c>
      <c r="BB120" s="56" t="s">
        <v>133</v>
      </c>
      <c r="BC120" s="57" t="s">
        <v>132</v>
      </c>
      <c r="BD120" s="58" t="s">
        <v>141</v>
      </c>
      <c r="BE120" s="59">
        <v>9</v>
      </c>
      <c r="BF120" s="60" t="s">
        <v>1655</v>
      </c>
      <c r="BG120" s="61">
        <v>2</v>
      </c>
      <c r="BH120" s="62" t="s">
        <v>1656</v>
      </c>
      <c r="BI120" s="63">
        <v>7</v>
      </c>
      <c r="BJ120" s="64" t="s">
        <v>141</v>
      </c>
      <c r="BK120" s="65" t="s">
        <v>1657</v>
      </c>
      <c r="BL120" s="66" t="s">
        <v>1658</v>
      </c>
      <c r="BM120" s="67" t="s">
        <v>1659</v>
      </c>
      <c r="BN120" s="68" t="s">
        <v>1660</v>
      </c>
      <c r="BO120" s="69" t="s">
        <v>141</v>
      </c>
      <c r="BP120" s="70" t="s">
        <v>141</v>
      </c>
      <c r="BQ120" s="71" t="s">
        <v>141</v>
      </c>
      <c r="BR120" s="72" t="s">
        <v>1661</v>
      </c>
      <c r="BS120" s="73" t="s">
        <v>372</v>
      </c>
      <c r="BT120" s="74" t="s">
        <v>141</v>
      </c>
      <c r="BU120" s="75" t="s">
        <v>1662</v>
      </c>
      <c r="BV120" s="76" t="s">
        <v>141</v>
      </c>
      <c r="BW120" s="77" t="s">
        <v>141</v>
      </c>
      <c r="BX120" s="78" t="s">
        <v>141</v>
      </c>
      <c r="BY120" s="79" t="s">
        <v>141</v>
      </c>
      <c r="BZ120" s="80" t="s">
        <v>141</v>
      </c>
      <c r="CA120" s="81" t="s">
        <v>141</v>
      </c>
      <c r="CB120" s="82" t="s">
        <v>141</v>
      </c>
      <c r="CC120" s="83" t="s">
        <v>141</v>
      </c>
      <c r="CD120" s="84" t="s">
        <v>141</v>
      </c>
      <c r="CE120" s="85" t="s">
        <v>141</v>
      </c>
      <c r="CF120" s="86" t="s">
        <v>141</v>
      </c>
      <c r="CG120" s="87" t="s">
        <v>141</v>
      </c>
      <c r="CH120" s="88" t="s">
        <v>141</v>
      </c>
      <c r="CI120" s="89" t="s">
        <v>141</v>
      </c>
      <c r="CJ120" s="90" t="s">
        <v>141</v>
      </c>
      <c r="CK120" s="91" t="s">
        <v>141</v>
      </c>
      <c r="CL120" s="92" t="s">
        <v>141</v>
      </c>
      <c r="CM120" s="93" t="s">
        <v>141</v>
      </c>
      <c r="CN120" s="94" t="s">
        <v>141</v>
      </c>
      <c r="CO120" s="95" t="s">
        <v>141</v>
      </c>
      <c r="CP120" s="96" t="s">
        <v>141</v>
      </c>
      <c r="CQ120" s="97" t="s">
        <v>141</v>
      </c>
      <c r="CR120" s="98" t="s">
        <v>141</v>
      </c>
      <c r="CS120" s="99" t="s">
        <v>141</v>
      </c>
      <c r="CT120" s="100" t="s">
        <v>141</v>
      </c>
      <c r="CU120" s="101" t="s">
        <v>141</v>
      </c>
      <c r="CV120" s="102" t="s">
        <v>141</v>
      </c>
      <c r="CW120" s="103" t="s">
        <v>141</v>
      </c>
      <c r="CX120" s="104" t="s">
        <v>141</v>
      </c>
      <c r="CY120" s="105" t="s">
        <v>150</v>
      </c>
      <c r="CZ120" s="106" t="s">
        <v>180</v>
      </c>
      <c r="DA120" s="107" t="s">
        <v>152</v>
      </c>
      <c r="DB120" s="108" t="s">
        <v>153</v>
      </c>
      <c r="DC120" s="109" t="s">
        <v>181</v>
      </c>
      <c r="DD120" s="110" t="s">
        <v>182</v>
      </c>
      <c r="DE120" s="111" t="s">
        <v>183</v>
      </c>
      <c r="DF120" s="112" t="s">
        <v>157</v>
      </c>
      <c r="DG120" s="113">
        <v>2015</v>
      </c>
      <c r="DH120" s="114" t="s">
        <v>355</v>
      </c>
      <c r="DI120" s="227" t="str">
        <f>HYPERLINK("https://my.pitchbook.com?c=87313-51T", "View company online")</f>
        <v>View company online</v>
      </c>
    </row>
    <row r="121" spans="1:113" x14ac:dyDescent="0.2">
      <c r="A121" s="115" t="s">
        <v>1663</v>
      </c>
      <c r="B121" s="116" t="s">
        <v>1664</v>
      </c>
      <c r="C121" s="117" t="s">
        <v>1665</v>
      </c>
      <c r="D121" s="118" t="s">
        <v>1666</v>
      </c>
      <c r="E121" s="119" t="s">
        <v>1667</v>
      </c>
      <c r="F121" s="120" t="s">
        <v>126</v>
      </c>
      <c r="G121" s="121" t="s">
        <v>208</v>
      </c>
      <c r="H121" s="122" t="s">
        <v>209</v>
      </c>
      <c r="I121" s="123" t="s">
        <v>1668</v>
      </c>
      <c r="J121" s="124" t="s">
        <v>362</v>
      </c>
      <c r="K121" s="125" t="s">
        <v>1669</v>
      </c>
      <c r="L121" s="126" t="s">
        <v>132</v>
      </c>
      <c r="M121" s="127" t="s">
        <v>591</v>
      </c>
      <c r="N121" s="128" t="s">
        <v>346</v>
      </c>
      <c r="O121" s="129" t="s">
        <v>1670</v>
      </c>
      <c r="P121" s="130" t="s">
        <v>1671</v>
      </c>
      <c r="Q121" s="131" t="s">
        <v>1672</v>
      </c>
      <c r="R121" s="132" t="s">
        <v>1673</v>
      </c>
      <c r="S121" s="133" t="s">
        <v>1674</v>
      </c>
      <c r="T121" s="134" t="s">
        <v>1675</v>
      </c>
      <c r="U121" s="135">
        <v>1</v>
      </c>
      <c r="V121" s="136" t="s">
        <v>1663</v>
      </c>
      <c r="W121" s="137" t="s">
        <v>141</v>
      </c>
      <c r="X121" s="138">
        <v>41816</v>
      </c>
      <c r="Y121" s="139">
        <v>4.6399999999999997</v>
      </c>
      <c r="Z121" s="140" t="s">
        <v>177</v>
      </c>
      <c r="AA121" s="141">
        <v>15.19</v>
      </c>
      <c r="AB121" s="142">
        <v>19.829999999999998</v>
      </c>
      <c r="AC121" s="143" t="s">
        <v>177</v>
      </c>
      <c r="AD121" s="144">
        <v>23.4</v>
      </c>
      <c r="AE121" s="145">
        <v>4.6399999999999997</v>
      </c>
      <c r="AF121" s="146" t="s">
        <v>1571</v>
      </c>
      <c r="AG121" s="147" t="s">
        <v>141</v>
      </c>
      <c r="AH121" s="148">
        <v>10.76</v>
      </c>
      <c r="AI121" s="149" t="s">
        <v>1517</v>
      </c>
      <c r="AJ121" s="150" t="s">
        <v>1518</v>
      </c>
      <c r="AK121" s="151" t="s">
        <v>1517</v>
      </c>
      <c r="AL121" s="152" t="s">
        <v>141</v>
      </c>
      <c r="AM121" s="153" t="s">
        <v>170</v>
      </c>
      <c r="AN121" s="154" t="s">
        <v>1676</v>
      </c>
      <c r="AO121" s="155">
        <v>4.6399999999999997</v>
      </c>
      <c r="AP121" s="156" t="s">
        <v>145</v>
      </c>
      <c r="AQ121" s="157" t="s">
        <v>141</v>
      </c>
      <c r="AR121" s="158" t="s">
        <v>141</v>
      </c>
      <c r="AS121" s="159" t="s">
        <v>141</v>
      </c>
      <c r="AT121" s="160" t="s">
        <v>141</v>
      </c>
      <c r="AU121" s="161" t="s">
        <v>141</v>
      </c>
      <c r="AV121" s="162" t="s">
        <v>141</v>
      </c>
      <c r="AW121" s="163" t="s">
        <v>141</v>
      </c>
      <c r="AX121" s="164" t="s">
        <v>141</v>
      </c>
      <c r="AY121" s="165" t="s">
        <v>141</v>
      </c>
      <c r="AZ121" s="166" t="s">
        <v>141</v>
      </c>
      <c r="BA121" s="167" t="s">
        <v>146</v>
      </c>
      <c r="BB121" s="168" t="s">
        <v>263</v>
      </c>
      <c r="BC121" s="169" t="s">
        <v>132</v>
      </c>
      <c r="BD121" s="170" t="s">
        <v>141</v>
      </c>
      <c r="BE121" s="171">
        <v>4</v>
      </c>
      <c r="BF121" s="172" t="s">
        <v>1677</v>
      </c>
      <c r="BG121" s="173">
        <v>4</v>
      </c>
      <c r="BH121" s="174" t="s">
        <v>141</v>
      </c>
      <c r="BI121" s="175" t="s">
        <v>141</v>
      </c>
      <c r="BJ121" s="176" t="s">
        <v>141</v>
      </c>
      <c r="BK121" s="177" t="s">
        <v>1678</v>
      </c>
      <c r="BL121" s="178" t="s">
        <v>1679</v>
      </c>
      <c r="BM121" s="179" t="s">
        <v>1680</v>
      </c>
      <c r="BN121" s="180" t="s">
        <v>1681</v>
      </c>
      <c r="BO121" s="181" t="s">
        <v>141</v>
      </c>
      <c r="BP121" s="182" t="s">
        <v>141</v>
      </c>
      <c r="BQ121" s="183" t="s">
        <v>141</v>
      </c>
      <c r="BR121" s="184" t="s">
        <v>141</v>
      </c>
      <c r="BS121" s="185" t="s">
        <v>141</v>
      </c>
      <c r="BT121" s="186" t="s">
        <v>141</v>
      </c>
      <c r="BU121" s="187" t="s">
        <v>141</v>
      </c>
      <c r="BV121" s="188" t="s">
        <v>141</v>
      </c>
      <c r="BW121" s="189" t="s">
        <v>141</v>
      </c>
      <c r="BX121" s="190" t="s">
        <v>141</v>
      </c>
      <c r="BY121" s="191" t="s">
        <v>141</v>
      </c>
      <c r="BZ121" s="192" t="s">
        <v>141</v>
      </c>
      <c r="CA121" s="193" t="s">
        <v>141</v>
      </c>
      <c r="CB121" s="194" t="s">
        <v>141</v>
      </c>
      <c r="CC121" s="195" t="s">
        <v>141</v>
      </c>
      <c r="CD121" s="196" t="s">
        <v>141</v>
      </c>
      <c r="CE121" s="197">
        <v>2013</v>
      </c>
      <c r="CF121" s="198" t="s">
        <v>141</v>
      </c>
      <c r="CG121" s="199" t="s">
        <v>141</v>
      </c>
      <c r="CH121" s="200" t="s">
        <v>141</v>
      </c>
      <c r="CI121" s="201" t="s">
        <v>141</v>
      </c>
      <c r="CJ121" s="202" t="s">
        <v>141</v>
      </c>
      <c r="CK121" s="203" t="s">
        <v>141</v>
      </c>
      <c r="CL121" s="204" t="s">
        <v>141</v>
      </c>
      <c r="CM121" s="205" t="s">
        <v>141</v>
      </c>
      <c r="CN121" s="206" t="s">
        <v>141</v>
      </c>
      <c r="CO121" s="207" t="s">
        <v>141</v>
      </c>
      <c r="CP121" s="208" t="s">
        <v>141</v>
      </c>
      <c r="CQ121" s="209" t="s">
        <v>141</v>
      </c>
      <c r="CR121" s="210" t="s">
        <v>141</v>
      </c>
      <c r="CS121" s="211" t="s">
        <v>141</v>
      </c>
      <c r="CT121" s="212" t="s">
        <v>141</v>
      </c>
      <c r="CU121" s="213" t="s">
        <v>141</v>
      </c>
      <c r="CV121" s="214" t="s">
        <v>141</v>
      </c>
      <c r="CW121" s="215" t="s">
        <v>141</v>
      </c>
      <c r="CX121" s="216">
        <v>2500</v>
      </c>
      <c r="CY121" s="217" t="s">
        <v>640</v>
      </c>
      <c r="CZ121" s="218" t="s">
        <v>1136</v>
      </c>
      <c r="DA121" s="219" t="s">
        <v>642</v>
      </c>
      <c r="DB121" s="220" t="s">
        <v>643</v>
      </c>
      <c r="DC121" s="221" t="s">
        <v>1137</v>
      </c>
      <c r="DD121" s="222" t="s">
        <v>644</v>
      </c>
      <c r="DE121" s="223" t="s">
        <v>1682</v>
      </c>
      <c r="DF121" s="224" t="s">
        <v>641</v>
      </c>
      <c r="DG121" s="225">
        <v>2012</v>
      </c>
      <c r="DH121" s="226" t="s">
        <v>1683</v>
      </c>
      <c r="DI121" s="228" t="str">
        <f>HYPERLINK("https://my.pitchbook.com?c=35099-11T", "View company online")</f>
        <v>View company online</v>
      </c>
    </row>
    <row r="122" spans="1:113" x14ac:dyDescent="0.2">
      <c r="A122" s="3" t="s">
        <v>1684</v>
      </c>
      <c r="B122" s="4" t="s">
        <v>1664</v>
      </c>
      <c r="C122" s="5" t="s">
        <v>1665</v>
      </c>
      <c r="D122" s="6" t="s">
        <v>1666</v>
      </c>
      <c r="E122" s="7" t="s">
        <v>1667</v>
      </c>
      <c r="F122" s="8" t="s">
        <v>126</v>
      </c>
      <c r="G122" s="9" t="s">
        <v>208</v>
      </c>
      <c r="H122" s="10" t="s">
        <v>209</v>
      </c>
      <c r="I122" s="11" t="s">
        <v>1668</v>
      </c>
      <c r="J122" s="12" t="s">
        <v>362</v>
      </c>
      <c r="K122" s="13" t="s">
        <v>1669</v>
      </c>
      <c r="L122" s="14" t="s">
        <v>132</v>
      </c>
      <c r="M122" s="15" t="s">
        <v>591</v>
      </c>
      <c r="N122" s="16" t="s">
        <v>346</v>
      </c>
      <c r="O122" s="17" t="s">
        <v>1670</v>
      </c>
      <c r="P122" s="18" t="s">
        <v>1671</v>
      </c>
      <c r="Q122" s="19" t="s">
        <v>1672</v>
      </c>
      <c r="R122" s="20" t="s">
        <v>1673</v>
      </c>
      <c r="S122" s="21" t="s">
        <v>1674</v>
      </c>
      <c r="T122" s="22" t="s">
        <v>1675</v>
      </c>
      <c r="U122" s="23">
        <v>2</v>
      </c>
      <c r="V122" s="24" t="s">
        <v>1684</v>
      </c>
      <c r="W122" s="25" t="s">
        <v>141</v>
      </c>
      <c r="X122" s="26">
        <v>42033</v>
      </c>
      <c r="Y122" s="27">
        <v>22.29</v>
      </c>
      <c r="Z122" s="28" t="s">
        <v>177</v>
      </c>
      <c r="AA122" s="29">
        <v>71.099999999999994</v>
      </c>
      <c r="AB122" s="30">
        <v>93.38</v>
      </c>
      <c r="AC122" s="31" t="s">
        <v>177</v>
      </c>
      <c r="AD122" s="32">
        <v>23.86</v>
      </c>
      <c r="AE122" s="33">
        <v>26.93</v>
      </c>
      <c r="AF122" s="34" t="s">
        <v>1582</v>
      </c>
      <c r="AG122" s="35" t="s">
        <v>1188</v>
      </c>
      <c r="AH122" s="36">
        <v>42.92</v>
      </c>
      <c r="AI122" s="37" t="s">
        <v>1551</v>
      </c>
      <c r="AJ122" s="38" t="s">
        <v>1518</v>
      </c>
      <c r="AK122" s="39" t="s">
        <v>1551</v>
      </c>
      <c r="AL122" s="40" t="s">
        <v>141</v>
      </c>
      <c r="AM122" s="41" t="s">
        <v>170</v>
      </c>
      <c r="AN122" s="42" t="s">
        <v>1685</v>
      </c>
      <c r="AO122" s="43">
        <v>22.29</v>
      </c>
      <c r="AP122" s="44" t="s">
        <v>145</v>
      </c>
      <c r="AQ122" s="45" t="s">
        <v>141</v>
      </c>
      <c r="AR122" s="46" t="s">
        <v>141</v>
      </c>
      <c r="AS122" s="47" t="s">
        <v>141</v>
      </c>
      <c r="AT122" s="48" t="s">
        <v>141</v>
      </c>
      <c r="AU122" s="49" t="s">
        <v>141</v>
      </c>
      <c r="AV122" s="50" t="s">
        <v>141</v>
      </c>
      <c r="AW122" s="51" t="s">
        <v>141</v>
      </c>
      <c r="AX122" s="52" t="s">
        <v>141</v>
      </c>
      <c r="AY122" s="53" t="s">
        <v>141</v>
      </c>
      <c r="AZ122" s="54" t="s">
        <v>141</v>
      </c>
      <c r="BA122" s="55" t="s">
        <v>146</v>
      </c>
      <c r="BB122" s="56" t="s">
        <v>263</v>
      </c>
      <c r="BC122" s="57" t="s">
        <v>132</v>
      </c>
      <c r="BD122" s="58" t="s">
        <v>141</v>
      </c>
      <c r="BE122" s="59">
        <v>5</v>
      </c>
      <c r="BF122" s="60" t="s">
        <v>1686</v>
      </c>
      <c r="BG122" s="61">
        <v>3</v>
      </c>
      <c r="BH122" s="62" t="s">
        <v>1687</v>
      </c>
      <c r="BI122" s="63">
        <v>2</v>
      </c>
      <c r="BJ122" s="64" t="s">
        <v>141</v>
      </c>
      <c r="BK122" s="65" t="s">
        <v>1688</v>
      </c>
      <c r="BL122" s="66" t="s">
        <v>1689</v>
      </c>
      <c r="BM122" s="67" t="s">
        <v>1690</v>
      </c>
      <c r="BN122" s="68" t="s">
        <v>1691</v>
      </c>
      <c r="BO122" s="69" t="s">
        <v>141</v>
      </c>
      <c r="BP122" s="70" t="s">
        <v>141</v>
      </c>
      <c r="BQ122" s="71" t="s">
        <v>141</v>
      </c>
      <c r="BR122" s="72" t="s">
        <v>1692</v>
      </c>
      <c r="BS122" s="73" t="s">
        <v>1693</v>
      </c>
      <c r="BT122" s="74" t="s">
        <v>141</v>
      </c>
      <c r="BU122" s="75" t="s">
        <v>1694</v>
      </c>
      <c r="BV122" s="76" t="s">
        <v>141</v>
      </c>
      <c r="BW122" s="77" t="s">
        <v>141</v>
      </c>
      <c r="BX122" s="78" t="s">
        <v>141</v>
      </c>
      <c r="BY122" s="79" t="s">
        <v>141</v>
      </c>
      <c r="BZ122" s="80" t="s">
        <v>141</v>
      </c>
      <c r="CA122" s="81" t="s">
        <v>141</v>
      </c>
      <c r="CB122" s="82" t="s">
        <v>141</v>
      </c>
      <c r="CC122" s="83" t="s">
        <v>141</v>
      </c>
      <c r="CD122" s="84" t="s">
        <v>141</v>
      </c>
      <c r="CE122" s="85">
        <v>2014</v>
      </c>
      <c r="CF122" s="86" t="s">
        <v>141</v>
      </c>
      <c r="CG122" s="87" t="s">
        <v>141</v>
      </c>
      <c r="CH122" s="88" t="s">
        <v>141</v>
      </c>
      <c r="CI122" s="89" t="s">
        <v>141</v>
      </c>
      <c r="CJ122" s="90" t="s">
        <v>141</v>
      </c>
      <c r="CK122" s="91" t="s">
        <v>141</v>
      </c>
      <c r="CL122" s="92" t="s">
        <v>141</v>
      </c>
      <c r="CM122" s="93" t="s">
        <v>141</v>
      </c>
      <c r="CN122" s="94" t="s">
        <v>141</v>
      </c>
      <c r="CO122" s="95" t="s">
        <v>141</v>
      </c>
      <c r="CP122" s="96" t="s">
        <v>141</v>
      </c>
      <c r="CQ122" s="97" t="s">
        <v>141</v>
      </c>
      <c r="CR122" s="98" t="s">
        <v>141</v>
      </c>
      <c r="CS122" s="99" t="s">
        <v>141</v>
      </c>
      <c r="CT122" s="100" t="s">
        <v>141</v>
      </c>
      <c r="CU122" s="101" t="s">
        <v>141</v>
      </c>
      <c r="CV122" s="102" t="s">
        <v>141</v>
      </c>
      <c r="CW122" s="103" t="s">
        <v>141</v>
      </c>
      <c r="CX122" s="104">
        <v>2500</v>
      </c>
      <c r="CY122" s="105" t="s">
        <v>640</v>
      </c>
      <c r="CZ122" s="106" t="s">
        <v>1136</v>
      </c>
      <c r="DA122" s="107" t="s">
        <v>642</v>
      </c>
      <c r="DB122" s="108" t="s">
        <v>643</v>
      </c>
      <c r="DC122" s="109" t="s">
        <v>1137</v>
      </c>
      <c r="DD122" s="110" t="s">
        <v>644</v>
      </c>
      <c r="DE122" s="111" t="s">
        <v>1682</v>
      </c>
      <c r="DF122" s="112" t="s">
        <v>641</v>
      </c>
      <c r="DG122" s="113">
        <v>2012</v>
      </c>
      <c r="DH122" s="114" t="s">
        <v>1683</v>
      </c>
      <c r="DI122" s="227" t="str">
        <f>HYPERLINK("https://my.pitchbook.com?c=44985-16T", "View company online")</f>
        <v>View company online</v>
      </c>
    </row>
    <row r="123" spans="1:113" x14ac:dyDescent="0.2">
      <c r="A123" s="115" t="s">
        <v>1695</v>
      </c>
      <c r="B123" s="116" t="s">
        <v>1121</v>
      </c>
      <c r="C123" s="117" t="s">
        <v>1122</v>
      </c>
      <c r="D123" s="118" t="s">
        <v>1123</v>
      </c>
      <c r="E123" s="119" t="s">
        <v>1124</v>
      </c>
      <c r="F123" s="120" t="s">
        <v>164</v>
      </c>
      <c r="G123" s="121" t="s">
        <v>165</v>
      </c>
      <c r="H123" s="122" t="s">
        <v>1125</v>
      </c>
      <c r="I123" s="123" t="s">
        <v>1126</v>
      </c>
      <c r="J123" s="124" t="s">
        <v>918</v>
      </c>
      <c r="K123" s="125" t="s">
        <v>1127</v>
      </c>
      <c r="L123" s="126" t="s">
        <v>345</v>
      </c>
      <c r="M123" s="127" t="s">
        <v>133</v>
      </c>
      <c r="N123" s="128" t="s">
        <v>170</v>
      </c>
      <c r="O123" s="129" t="s">
        <v>1128</v>
      </c>
      <c r="P123" s="130" t="s">
        <v>1129</v>
      </c>
      <c r="Q123" s="131" t="s">
        <v>1130</v>
      </c>
      <c r="R123" s="132" t="s">
        <v>1131</v>
      </c>
      <c r="S123" s="133" t="s">
        <v>1132</v>
      </c>
      <c r="T123" s="134" t="s">
        <v>1133</v>
      </c>
      <c r="U123" s="135">
        <v>4</v>
      </c>
      <c r="V123" s="136" t="s">
        <v>1695</v>
      </c>
      <c r="W123" s="137" t="s">
        <v>141</v>
      </c>
      <c r="X123" s="138">
        <v>42087</v>
      </c>
      <c r="Y123" s="139">
        <v>2.0699999999999998</v>
      </c>
      <c r="Z123" s="140" t="s">
        <v>177</v>
      </c>
      <c r="AA123" s="141" t="s">
        <v>141</v>
      </c>
      <c r="AB123" s="142" t="s">
        <v>141</v>
      </c>
      <c r="AC123" s="143" t="s">
        <v>141</v>
      </c>
      <c r="AD123" s="144" t="s">
        <v>141</v>
      </c>
      <c r="AE123" s="145">
        <v>3.21</v>
      </c>
      <c r="AF123" s="146" t="s">
        <v>1582</v>
      </c>
      <c r="AG123" s="147" t="s">
        <v>141</v>
      </c>
      <c r="AH123" s="148" t="s">
        <v>141</v>
      </c>
      <c r="AI123" s="149" t="s">
        <v>141</v>
      </c>
      <c r="AJ123" s="150" t="s">
        <v>1518</v>
      </c>
      <c r="AK123" s="151" t="s">
        <v>141</v>
      </c>
      <c r="AL123" s="152" t="s">
        <v>141</v>
      </c>
      <c r="AM123" s="153" t="s">
        <v>170</v>
      </c>
      <c r="AN123" s="154" t="s">
        <v>1696</v>
      </c>
      <c r="AO123" s="155">
        <v>2.0699999999999998</v>
      </c>
      <c r="AP123" s="156" t="s">
        <v>145</v>
      </c>
      <c r="AQ123" s="157" t="s">
        <v>141</v>
      </c>
      <c r="AR123" s="158" t="s">
        <v>141</v>
      </c>
      <c r="AS123" s="159" t="s">
        <v>141</v>
      </c>
      <c r="AT123" s="160" t="s">
        <v>141</v>
      </c>
      <c r="AU123" s="161" t="s">
        <v>141</v>
      </c>
      <c r="AV123" s="162" t="s">
        <v>141</v>
      </c>
      <c r="AW123" s="163" t="s">
        <v>141</v>
      </c>
      <c r="AX123" s="164" t="s">
        <v>141</v>
      </c>
      <c r="AY123" s="165" t="s">
        <v>141</v>
      </c>
      <c r="AZ123" s="166" t="s">
        <v>141</v>
      </c>
      <c r="BA123" s="167" t="s">
        <v>146</v>
      </c>
      <c r="BB123" s="168" t="s">
        <v>263</v>
      </c>
      <c r="BC123" s="169" t="s">
        <v>132</v>
      </c>
      <c r="BD123" s="170" t="s">
        <v>141</v>
      </c>
      <c r="BE123" s="171">
        <v>7</v>
      </c>
      <c r="BF123" s="172" t="s">
        <v>1697</v>
      </c>
      <c r="BG123" s="173">
        <v>5</v>
      </c>
      <c r="BH123" s="174" t="s">
        <v>1698</v>
      </c>
      <c r="BI123" s="175">
        <v>2</v>
      </c>
      <c r="BJ123" s="176" t="s">
        <v>141</v>
      </c>
      <c r="BK123" s="177" t="s">
        <v>1699</v>
      </c>
      <c r="BL123" s="178" t="s">
        <v>1700</v>
      </c>
      <c r="BM123" s="179" t="s">
        <v>141</v>
      </c>
      <c r="BN123" s="180" t="s">
        <v>1701</v>
      </c>
      <c r="BO123" s="181" t="s">
        <v>141</v>
      </c>
      <c r="BP123" s="182" t="s">
        <v>141</v>
      </c>
      <c r="BQ123" s="183" t="s">
        <v>141</v>
      </c>
      <c r="BR123" s="184" t="s">
        <v>141</v>
      </c>
      <c r="BS123" s="185" t="s">
        <v>141</v>
      </c>
      <c r="BT123" s="186" t="s">
        <v>141</v>
      </c>
      <c r="BU123" s="187" t="s">
        <v>141</v>
      </c>
      <c r="BV123" s="188" t="s">
        <v>141</v>
      </c>
      <c r="BW123" s="189" t="s">
        <v>141</v>
      </c>
      <c r="BX123" s="190" t="s">
        <v>141</v>
      </c>
      <c r="BY123" s="191" t="s">
        <v>141</v>
      </c>
      <c r="BZ123" s="192" t="s">
        <v>141</v>
      </c>
      <c r="CA123" s="193" t="s">
        <v>141</v>
      </c>
      <c r="CB123" s="194" t="s">
        <v>141</v>
      </c>
      <c r="CC123" s="195" t="s">
        <v>141</v>
      </c>
      <c r="CD123" s="196" t="s">
        <v>141</v>
      </c>
      <c r="CE123" s="197">
        <v>2014</v>
      </c>
      <c r="CF123" s="198" t="s">
        <v>141</v>
      </c>
      <c r="CG123" s="199" t="s">
        <v>141</v>
      </c>
      <c r="CH123" s="200" t="s">
        <v>141</v>
      </c>
      <c r="CI123" s="201" t="s">
        <v>141</v>
      </c>
      <c r="CJ123" s="202" t="s">
        <v>141</v>
      </c>
      <c r="CK123" s="203" t="s">
        <v>141</v>
      </c>
      <c r="CL123" s="204" t="s">
        <v>141</v>
      </c>
      <c r="CM123" s="205" t="s">
        <v>141</v>
      </c>
      <c r="CN123" s="206" t="s">
        <v>141</v>
      </c>
      <c r="CO123" s="207" t="s">
        <v>141</v>
      </c>
      <c r="CP123" s="208" t="s">
        <v>141</v>
      </c>
      <c r="CQ123" s="209" t="s">
        <v>141</v>
      </c>
      <c r="CR123" s="210" t="s">
        <v>141</v>
      </c>
      <c r="CS123" s="211" t="s">
        <v>141</v>
      </c>
      <c r="CT123" s="212" t="s">
        <v>141</v>
      </c>
      <c r="CU123" s="213" t="s">
        <v>141</v>
      </c>
      <c r="CV123" s="214" t="s">
        <v>141</v>
      </c>
      <c r="CW123" s="215" t="s">
        <v>141</v>
      </c>
      <c r="CX123" s="216">
        <v>50</v>
      </c>
      <c r="CY123" s="217" t="s">
        <v>1135</v>
      </c>
      <c r="CZ123" s="218" t="s">
        <v>1136</v>
      </c>
      <c r="DA123" s="219" t="s">
        <v>642</v>
      </c>
      <c r="DB123" s="220" t="s">
        <v>643</v>
      </c>
      <c r="DC123" s="221" t="s">
        <v>1137</v>
      </c>
      <c r="DD123" s="222" t="s">
        <v>644</v>
      </c>
      <c r="DE123" s="223" t="s">
        <v>1138</v>
      </c>
      <c r="DF123" s="224" t="s">
        <v>641</v>
      </c>
      <c r="DG123" s="225">
        <v>2013</v>
      </c>
      <c r="DH123" s="226" t="s">
        <v>1139</v>
      </c>
      <c r="DI123" s="228" t="str">
        <f>HYPERLINK("https://my.pitchbook.com?c=47467-63T", "View company online")</f>
        <v>View company online</v>
      </c>
    </row>
    <row r="124" spans="1:113" x14ac:dyDescent="0.2">
      <c r="A124" s="3" t="s">
        <v>1702</v>
      </c>
      <c r="B124" s="4" t="s">
        <v>1121</v>
      </c>
      <c r="C124" s="5" t="s">
        <v>1122</v>
      </c>
      <c r="D124" s="6" t="s">
        <v>1123</v>
      </c>
      <c r="E124" s="7" t="s">
        <v>1124</v>
      </c>
      <c r="F124" s="8" t="s">
        <v>164</v>
      </c>
      <c r="G124" s="9" t="s">
        <v>165</v>
      </c>
      <c r="H124" s="10" t="s">
        <v>1125</v>
      </c>
      <c r="I124" s="11" t="s">
        <v>1126</v>
      </c>
      <c r="J124" s="12" t="s">
        <v>918</v>
      </c>
      <c r="K124" s="13" t="s">
        <v>1127</v>
      </c>
      <c r="L124" s="14" t="s">
        <v>345</v>
      </c>
      <c r="M124" s="15" t="s">
        <v>133</v>
      </c>
      <c r="N124" s="16" t="s">
        <v>170</v>
      </c>
      <c r="O124" s="17" t="s">
        <v>1128</v>
      </c>
      <c r="P124" s="18" t="s">
        <v>1129</v>
      </c>
      <c r="Q124" s="19" t="s">
        <v>1130</v>
      </c>
      <c r="R124" s="20" t="s">
        <v>1131</v>
      </c>
      <c r="S124" s="21" t="s">
        <v>1132</v>
      </c>
      <c r="T124" s="22" t="s">
        <v>1133</v>
      </c>
      <c r="U124" s="23">
        <v>3</v>
      </c>
      <c r="V124" s="24" t="s">
        <v>1702</v>
      </c>
      <c r="W124" s="25" t="s">
        <v>141</v>
      </c>
      <c r="X124" s="26">
        <v>41760</v>
      </c>
      <c r="Y124" s="27">
        <v>0.8</v>
      </c>
      <c r="Z124" s="28" t="s">
        <v>177</v>
      </c>
      <c r="AA124" s="29" t="s">
        <v>141</v>
      </c>
      <c r="AB124" s="30" t="s">
        <v>141</v>
      </c>
      <c r="AC124" s="31" t="s">
        <v>141</v>
      </c>
      <c r="AD124" s="32" t="s">
        <v>141</v>
      </c>
      <c r="AE124" s="33">
        <v>1.1399999999999999</v>
      </c>
      <c r="AF124" s="34" t="s">
        <v>1571</v>
      </c>
      <c r="AG124" s="35" t="s">
        <v>141</v>
      </c>
      <c r="AH124" s="36" t="s">
        <v>141</v>
      </c>
      <c r="AI124" s="37" t="s">
        <v>141</v>
      </c>
      <c r="AJ124" s="38" t="s">
        <v>1518</v>
      </c>
      <c r="AK124" s="39" t="s">
        <v>141</v>
      </c>
      <c r="AL124" s="40" t="s">
        <v>141</v>
      </c>
      <c r="AM124" s="41" t="s">
        <v>170</v>
      </c>
      <c r="AN124" s="42" t="s">
        <v>3199</v>
      </c>
      <c r="AO124" s="43">
        <v>0.8</v>
      </c>
      <c r="AP124" s="44" t="s">
        <v>145</v>
      </c>
      <c r="AQ124" s="45" t="s">
        <v>141</v>
      </c>
      <c r="AR124" s="46" t="s">
        <v>141</v>
      </c>
      <c r="AS124" s="47" t="s">
        <v>141</v>
      </c>
      <c r="AT124" s="48" t="s">
        <v>141</v>
      </c>
      <c r="AU124" s="49" t="s">
        <v>141</v>
      </c>
      <c r="AV124" s="50" t="s">
        <v>141</v>
      </c>
      <c r="AW124" s="51" t="s">
        <v>141</v>
      </c>
      <c r="AX124" s="52" t="s">
        <v>141</v>
      </c>
      <c r="AY124" s="53" t="s">
        <v>141</v>
      </c>
      <c r="AZ124" s="54" t="s">
        <v>141</v>
      </c>
      <c r="BA124" s="55" t="s">
        <v>146</v>
      </c>
      <c r="BB124" s="56" t="s">
        <v>263</v>
      </c>
      <c r="BC124" s="57" t="s">
        <v>132</v>
      </c>
      <c r="BD124" s="58" t="s">
        <v>141</v>
      </c>
      <c r="BE124" s="59">
        <v>6</v>
      </c>
      <c r="BF124" s="60" t="s">
        <v>1703</v>
      </c>
      <c r="BG124" s="61">
        <v>6</v>
      </c>
      <c r="BH124" s="62" t="s">
        <v>141</v>
      </c>
      <c r="BI124" s="63" t="s">
        <v>141</v>
      </c>
      <c r="BJ124" s="64" t="s">
        <v>141</v>
      </c>
      <c r="BK124" s="65" t="s">
        <v>1704</v>
      </c>
      <c r="BL124" s="238" t="s">
        <v>1705</v>
      </c>
      <c r="BM124" s="67" t="s">
        <v>141</v>
      </c>
      <c r="BN124" s="68" t="s">
        <v>1706</v>
      </c>
      <c r="BO124" s="69" t="s">
        <v>141</v>
      </c>
      <c r="BP124" s="70" t="s">
        <v>141</v>
      </c>
      <c r="BQ124" s="71" t="s">
        <v>141</v>
      </c>
      <c r="BR124" s="72" t="s">
        <v>141</v>
      </c>
      <c r="BS124" s="73" t="s">
        <v>141</v>
      </c>
      <c r="BT124" s="74" t="s">
        <v>141</v>
      </c>
      <c r="BU124" s="75" t="s">
        <v>141</v>
      </c>
      <c r="BV124" s="76" t="s">
        <v>141</v>
      </c>
      <c r="BW124" s="77" t="s">
        <v>141</v>
      </c>
      <c r="BX124" s="78" t="s">
        <v>141</v>
      </c>
      <c r="BY124" s="79" t="s">
        <v>141</v>
      </c>
      <c r="BZ124" s="80" t="s">
        <v>141</v>
      </c>
      <c r="CA124" s="81" t="s">
        <v>141</v>
      </c>
      <c r="CB124" s="82" t="s">
        <v>141</v>
      </c>
      <c r="CC124" s="83" t="s">
        <v>141</v>
      </c>
      <c r="CD124" s="84">
        <v>0.05</v>
      </c>
      <c r="CE124" s="85">
        <v>2013</v>
      </c>
      <c r="CF124" s="86" t="s">
        <v>141</v>
      </c>
      <c r="CG124" s="87" t="s">
        <v>141</v>
      </c>
      <c r="CH124" s="88" t="s">
        <v>141</v>
      </c>
      <c r="CI124" s="89" t="s">
        <v>141</v>
      </c>
      <c r="CJ124" s="90" t="s">
        <v>141</v>
      </c>
      <c r="CK124" s="91" t="s">
        <v>141</v>
      </c>
      <c r="CL124" s="92" t="s">
        <v>141</v>
      </c>
      <c r="CM124" s="93" t="s">
        <v>141</v>
      </c>
      <c r="CN124" s="94" t="s">
        <v>141</v>
      </c>
      <c r="CO124" s="95" t="s">
        <v>141</v>
      </c>
      <c r="CP124" s="96" t="s">
        <v>141</v>
      </c>
      <c r="CQ124" s="97" t="s">
        <v>141</v>
      </c>
      <c r="CR124" s="98" t="s">
        <v>141</v>
      </c>
      <c r="CS124" s="99" t="s">
        <v>141</v>
      </c>
      <c r="CT124" s="100" t="s">
        <v>141</v>
      </c>
      <c r="CU124" s="101" t="s">
        <v>141</v>
      </c>
      <c r="CV124" s="102" t="s">
        <v>141</v>
      </c>
      <c r="CW124" s="103" t="s">
        <v>141</v>
      </c>
      <c r="CX124" s="104">
        <v>50</v>
      </c>
      <c r="CY124" s="105" t="s">
        <v>1135</v>
      </c>
      <c r="CZ124" s="106" t="s">
        <v>1136</v>
      </c>
      <c r="DA124" s="107" t="s">
        <v>642</v>
      </c>
      <c r="DB124" s="108" t="s">
        <v>643</v>
      </c>
      <c r="DC124" s="109" t="s">
        <v>1137</v>
      </c>
      <c r="DD124" s="110" t="s">
        <v>644</v>
      </c>
      <c r="DE124" s="111" t="s">
        <v>1138</v>
      </c>
      <c r="DF124" s="112" t="s">
        <v>641</v>
      </c>
      <c r="DG124" s="113">
        <v>2013</v>
      </c>
      <c r="DH124" s="114" t="s">
        <v>1139</v>
      </c>
      <c r="DI124" s="227" t="str">
        <f>HYPERLINK("https://my.pitchbook.com?c=66548-80T", "View company online")</f>
        <v>View company online</v>
      </c>
    </row>
    <row r="125" spans="1:113" x14ac:dyDescent="0.2">
      <c r="A125" s="115" t="s">
        <v>1707</v>
      </c>
      <c r="B125" s="116" t="s">
        <v>1121</v>
      </c>
      <c r="C125" s="117" t="s">
        <v>1122</v>
      </c>
      <c r="D125" s="118" t="s">
        <v>1123</v>
      </c>
      <c r="E125" s="119" t="s">
        <v>1124</v>
      </c>
      <c r="F125" s="120" t="s">
        <v>164</v>
      </c>
      <c r="G125" s="121" t="s">
        <v>165</v>
      </c>
      <c r="H125" s="122" t="s">
        <v>1125</v>
      </c>
      <c r="I125" s="123" t="s">
        <v>1126</v>
      </c>
      <c r="J125" s="124" t="s">
        <v>918</v>
      </c>
      <c r="K125" s="125" t="s">
        <v>1127</v>
      </c>
      <c r="L125" s="126" t="s">
        <v>345</v>
      </c>
      <c r="M125" s="127" t="s">
        <v>133</v>
      </c>
      <c r="N125" s="128" t="s">
        <v>170</v>
      </c>
      <c r="O125" s="129" t="s">
        <v>1128</v>
      </c>
      <c r="P125" s="130" t="s">
        <v>1129</v>
      </c>
      <c r="Q125" s="131" t="s">
        <v>1130</v>
      </c>
      <c r="R125" s="132" t="s">
        <v>1131</v>
      </c>
      <c r="S125" s="133" t="s">
        <v>1132</v>
      </c>
      <c r="T125" s="134" t="s">
        <v>1133</v>
      </c>
      <c r="U125" s="135">
        <v>5</v>
      </c>
      <c r="V125" s="136" t="s">
        <v>1707</v>
      </c>
      <c r="W125" s="137">
        <v>42339</v>
      </c>
      <c r="X125" s="138">
        <v>42552</v>
      </c>
      <c r="Y125" s="139">
        <v>3.6</v>
      </c>
      <c r="Z125" s="140" t="s">
        <v>177</v>
      </c>
      <c r="AA125" s="141" t="s">
        <v>141</v>
      </c>
      <c r="AB125" s="142" t="s">
        <v>141</v>
      </c>
      <c r="AC125" s="143" t="s">
        <v>141</v>
      </c>
      <c r="AD125" s="144" t="s">
        <v>141</v>
      </c>
      <c r="AE125" s="145">
        <v>6.81</v>
      </c>
      <c r="AF125" s="146" t="s">
        <v>1516</v>
      </c>
      <c r="AG125" s="147" t="s">
        <v>141</v>
      </c>
      <c r="AH125" s="148" t="s">
        <v>141</v>
      </c>
      <c r="AI125" s="149" t="s">
        <v>141</v>
      </c>
      <c r="AJ125" s="150" t="s">
        <v>1518</v>
      </c>
      <c r="AK125" s="151" t="s">
        <v>141</v>
      </c>
      <c r="AL125" s="152" t="s">
        <v>141</v>
      </c>
      <c r="AM125" s="153" t="s">
        <v>170</v>
      </c>
      <c r="AN125" s="154" t="s">
        <v>1708</v>
      </c>
      <c r="AO125" s="155">
        <v>3.6</v>
      </c>
      <c r="AP125" s="156" t="s">
        <v>145</v>
      </c>
      <c r="AQ125" s="157" t="s">
        <v>141</v>
      </c>
      <c r="AR125" s="158" t="s">
        <v>141</v>
      </c>
      <c r="AS125" s="159" t="s">
        <v>141</v>
      </c>
      <c r="AT125" s="160" t="s">
        <v>141</v>
      </c>
      <c r="AU125" s="161" t="s">
        <v>141</v>
      </c>
      <c r="AV125" s="162" t="s">
        <v>141</v>
      </c>
      <c r="AW125" s="163" t="s">
        <v>141</v>
      </c>
      <c r="AX125" s="164" t="s">
        <v>141</v>
      </c>
      <c r="AY125" s="165" t="s">
        <v>141</v>
      </c>
      <c r="AZ125" s="166" t="s">
        <v>141</v>
      </c>
      <c r="BA125" s="167" t="s">
        <v>146</v>
      </c>
      <c r="BB125" s="168" t="s">
        <v>263</v>
      </c>
      <c r="BC125" s="169" t="s">
        <v>132</v>
      </c>
      <c r="BD125" s="170" t="s">
        <v>141</v>
      </c>
      <c r="BE125" s="171">
        <v>4</v>
      </c>
      <c r="BF125" s="172" t="s">
        <v>1709</v>
      </c>
      <c r="BG125" s="173">
        <v>2</v>
      </c>
      <c r="BH125" s="174" t="s">
        <v>1710</v>
      </c>
      <c r="BI125" s="175">
        <v>2</v>
      </c>
      <c r="BJ125" s="176" t="s">
        <v>141</v>
      </c>
      <c r="BK125" s="177" t="s">
        <v>1711</v>
      </c>
      <c r="BL125" s="178" t="s">
        <v>1712</v>
      </c>
      <c r="BM125" s="179" t="s">
        <v>141</v>
      </c>
      <c r="BN125" s="180" t="s">
        <v>141</v>
      </c>
      <c r="BO125" s="181" t="s">
        <v>141</v>
      </c>
      <c r="BP125" s="182" t="s">
        <v>141</v>
      </c>
      <c r="BQ125" s="183" t="s">
        <v>141</v>
      </c>
      <c r="BR125" s="184" t="s">
        <v>141</v>
      </c>
      <c r="BS125" s="185" t="s">
        <v>141</v>
      </c>
      <c r="BT125" s="186" t="s">
        <v>141</v>
      </c>
      <c r="BU125" s="187" t="s">
        <v>141</v>
      </c>
      <c r="BV125" s="188" t="s">
        <v>141</v>
      </c>
      <c r="BW125" s="189" t="s">
        <v>141</v>
      </c>
      <c r="BX125" s="190" t="s">
        <v>141</v>
      </c>
      <c r="BY125" s="191" t="s">
        <v>141</v>
      </c>
      <c r="BZ125" s="192" t="s">
        <v>141</v>
      </c>
      <c r="CA125" s="193" t="s">
        <v>141</v>
      </c>
      <c r="CB125" s="194" t="s">
        <v>141</v>
      </c>
      <c r="CC125" s="195" t="s">
        <v>141</v>
      </c>
      <c r="CD125" s="196" t="s">
        <v>141</v>
      </c>
      <c r="CE125" s="197">
        <v>2015</v>
      </c>
      <c r="CF125" s="198" t="s">
        <v>141</v>
      </c>
      <c r="CG125" s="199" t="s">
        <v>141</v>
      </c>
      <c r="CH125" s="200" t="s">
        <v>141</v>
      </c>
      <c r="CI125" s="201" t="s">
        <v>141</v>
      </c>
      <c r="CJ125" s="202" t="s">
        <v>141</v>
      </c>
      <c r="CK125" s="203" t="s">
        <v>141</v>
      </c>
      <c r="CL125" s="204" t="s">
        <v>141</v>
      </c>
      <c r="CM125" s="205" t="s">
        <v>141</v>
      </c>
      <c r="CN125" s="206" t="s">
        <v>141</v>
      </c>
      <c r="CO125" s="207" t="s">
        <v>141</v>
      </c>
      <c r="CP125" s="208" t="s">
        <v>141</v>
      </c>
      <c r="CQ125" s="209" t="s">
        <v>141</v>
      </c>
      <c r="CR125" s="210" t="s">
        <v>141</v>
      </c>
      <c r="CS125" s="211" t="s">
        <v>141</v>
      </c>
      <c r="CT125" s="212" t="s">
        <v>141</v>
      </c>
      <c r="CU125" s="213" t="s">
        <v>141</v>
      </c>
      <c r="CV125" s="214" t="s">
        <v>141</v>
      </c>
      <c r="CW125" s="215" t="s">
        <v>141</v>
      </c>
      <c r="CX125" s="216">
        <v>50</v>
      </c>
      <c r="CY125" s="217" t="s">
        <v>1135</v>
      </c>
      <c r="CZ125" s="218" t="s">
        <v>1136</v>
      </c>
      <c r="DA125" s="219" t="s">
        <v>642</v>
      </c>
      <c r="DB125" s="220" t="s">
        <v>643</v>
      </c>
      <c r="DC125" s="221" t="s">
        <v>1137</v>
      </c>
      <c r="DD125" s="222" t="s">
        <v>644</v>
      </c>
      <c r="DE125" s="223" t="s">
        <v>1138</v>
      </c>
      <c r="DF125" s="224" t="s">
        <v>641</v>
      </c>
      <c r="DG125" s="225">
        <v>2013</v>
      </c>
      <c r="DH125" s="226" t="s">
        <v>1139</v>
      </c>
      <c r="DI125" s="228" t="str">
        <f>HYPERLINK("https://my.pitchbook.com?c=66548-89T", "View company online")</f>
        <v>View company online</v>
      </c>
    </row>
    <row r="126" spans="1:113" x14ac:dyDescent="0.2">
      <c r="A126" s="3" t="s">
        <v>1713</v>
      </c>
      <c r="B126" s="4" t="s">
        <v>1121</v>
      </c>
      <c r="C126" s="5" t="s">
        <v>1122</v>
      </c>
      <c r="D126" s="6" t="s">
        <v>1123</v>
      </c>
      <c r="E126" s="7" t="s">
        <v>1124</v>
      </c>
      <c r="F126" s="8" t="s">
        <v>164</v>
      </c>
      <c r="G126" s="9" t="s">
        <v>165</v>
      </c>
      <c r="H126" s="10" t="s">
        <v>1125</v>
      </c>
      <c r="I126" s="11" t="s">
        <v>1126</v>
      </c>
      <c r="J126" s="12" t="s">
        <v>918</v>
      </c>
      <c r="K126" s="13" t="s">
        <v>1127</v>
      </c>
      <c r="L126" s="14" t="s">
        <v>345</v>
      </c>
      <c r="M126" s="15" t="s">
        <v>133</v>
      </c>
      <c r="N126" s="16" t="s">
        <v>170</v>
      </c>
      <c r="O126" s="17" t="s">
        <v>1128</v>
      </c>
      <c r="P126" s="18" t="s">
        <v>1129</v>
      </c>
      <c r="Q126" s="19" t="s">
        <v>1130</v>
      </c>
      <c r="R126" s="20" t="s">
        <v>1131</v>
      </c>
      <c r="S126" s="21" t="s">
        <v>1132</v>
      </c>
      <c r="T126" s="22" t="s">
        <v>1133</v>
      </c>
      <c r="U126" s="23">
        <v>7</v>
      </c>
      <c r="V126" s="24" t="s">
        <v>1713</v>
      </c>
      <c r="W126" s="25" t="s">
        <v>141</v>
      </c>
      <c r="X126" s="26">
        <v>42999</v>
      </c>
      <c r="Y126" s="27">
        <v>5.97</v>
      </c>
      <c r="Z126" s="28" t="s">
        <v>177</v>
      </c>
      <c r="AA126" s="29" t="s">
        <v>141</v>
      </c>
      <c r="AB126" s="30" t="s">
        <v>141</v>
      </c>
      <c r="AC126" s="31" t="s">
        <v>141</v>
      </c>
      <c r="AD126" s="32" t="s">
        <v>141</v>
      </c>
      <c r="AE126" s="33">
        <v>15.01</v>
      </c>
      <c r="AF126" s="34" t="s">
        <v>1714</v>
      </c>
      <c r="AG126" s="35" t="s">
        <v>141</v>
      </c>
      <c r="AH126" s="36" t="s">
        <v>141</v>
      </c>
      <c r="AI126" s="37" t="s">
        <v>1517</v>
      </c>
      <c r="AJ126" s="38" t="s">
        <v>1518</v>
      </c>
      <c r="AK126" s="39" t="s">
        <v>1517</v>
      </c>
      <c r="AL126" s="40" t="s">
        <v>141</v>
      </c>
      <c r="AM126" s="41" t="s">
        <v>170</v>
      </c>
      <c r="AN126" s="42" t="s">
        <v>1715</v>
      </c>
      <c r="AO126" s="43">
        <v>5.97</v>
      </c>
      <c r="AP126" s="44" t="s">
        <v>145</v>
      </c>
      <c r="AQ126" s="45" t="s">
        <v>141</v>
      </c>
      <c r="AR126" s="46" t="s">
        <v>141</v>
      </c>
      <c r="AS126" s="47" t="s">
        <v>141</v>
      </c>
      <c r="AT126" s="48" t="s">
        <v>141</v>
      </c>
      <c r="AU126" s="49" t="s">
        <v>141</v>
      </c>
      <c r="AV126" s="50" t="s">
        <v>141</v>
      </c>
      <c r="AW126" s="51" t="s">
        <v>141</v>
      </c>
      <c r="AX126" s="52" t="s">
        <v>141</v>
      </c>
      <c r="AY126" s="53" t="s">
        <v>141</v>
      </c>
      <c r="AZ126" s="54" t="s">
        <v>141</v>
      </c>
      <c r="BA126" s="55" t="s">
        <v>146</v>
      </c>
      <c r="BB126" s="56" t="s">
        <v>133</v>
      </c>
      <c r="BC126" s="57" t="s">
        <v>132</v>
      </c>
      <c r="BD126" s="58" t="s">
        <v>141</v>
      </c>
      <c r="BE126" s="59">
        <v>2</v>
      </c>
      <c r="BF126" s="60" t="s">
        <v>1716</v>
      </c>
      <c r="BG126" s="61">
        <v>1</v>
      </c>
      <c r="BH126" s="62" t="s">
        <v>1717</v>
      </c>
      <c r="BI126" s="63">
        <v>1</v>
      </c>
      <c r="BJ126" s="64" t="s">
        <v>141</v>
      </c>
      <c r="BK126" s="65" t="s">
        <v>1718</v>
      </c>
      <c r="BL126" s="66" t="s">
        <v>1719</v>
      </c>
      <c r="BM126" s="67" t="s">
        <v>1720</v>
      </c>
      <c r="BN126" s="68" t="s">
        <v>141</v>
      </c>
      <c r="BO126" s="69" t="s">
        <v>141</v>
      </c>
      <c r="BP126" s="70" t="s">
        <v>141</v>
      </c>
      <c r="BQ126" s="71" t="s">
        <v>141</v>
      </c>
      <c r="BR126" s="72" t="s">
        <v>141</v>
      </c>
      <c r="BS126" s="73" t="s">
        <v>141</v>
      </c>
      <c r="BT126" s="74" t="s">
        <v>141</v>
      </c>
      <c r="BU126" s="75" t="s">
        <v>141</v>
      </c>
      <c r="BV126" s="76" t="s">
        <v>141</v>
      </c>
      <c r="BW126" s="77" t="s">
        <v>141</v>
      </c>
      <c r="BX126" s="78">
        <v>0.68</v>
      </c>
      <c r="BY126" s="79" t="s">
        <v>141</v>
      </c>
      <c r="BZ126" s="80" t="s">
        <v>141</v>
      </c>
      <c r="CA126" s="81" t="s">
        <v>141</v>
      </c>
      <c r="CB126" s="82">
        <v>-2.71</v>
      </c>
      <c r="CC126" s="83">
        <v>-2.73</v>
      </c>
      <c r="CD126" s="84">
        <v>0</v>
      </c>
      <c r="CE126" s="85">
        <v>2017</v>
      </c>
      <c r="CF126" s="86" t="s">
        <v>141</v>
      </c>
      <c r="CG126" s="87" t="s">
        <v>141</v>
      </c>
      <c r="CH126" s="88" t="s">
        <v>141</v>
      </c>
      <c r="CI126" s="89" t="s">
        <v>141</v>
      </c>
      <c r="CJ126" s="90" t="s">
        <v>141</v>
      </c>
      <c r="CK126" s="91">
        <v>-2.2000000000000002</v>
      </c>
      <c r="CL126" s="92">
        <v>-2.19</v>
      </c>
      <c r="CM126" s="93" t="s">
        <v>141</v>
      </c>
      <c r="CN126" s="94">
        <v>8.7899999999999991</v>
      </c>
      <c r="CO126" s="95" t="s">
        <v>141</v>
      </c>
      <c r="CP126" s="96" t="s">
        <v>141</v>
      </c>
      <c r="CQ126" s="97" t="s">
        <v>141</v>
      </c>
      <c r="CR126" s="98" t="s">
        <v>141</v>
      </c>
      <c r="CS126" s="99" t="s">
        <v>141</v>
      </c>
      <c r="CT126" s="100" t="s">
        <v>141</v>
      </c>
      <c r="CU126" s="101" t="s">
        <v>141</v>
      </c>
      <c r="CV126" s="102" t="s">
        <v>141</v>
      </c>
      <c r="CW126" s="103">
        <v>-399.67</v>
      </c>
      <c r="CX126" s="104">
        <v>50</v>
      </c>
      <c r="CY126" s="105" t="s">
        <v>1135</v>
      </c>
      <c r="CZ126" s="106" t="s">
        <v>1136</v>
      </c>
      <c r="DA126" s="107" t="s">
        <v>642</v>
      </c>
      <c r="DB126" s="108" t="s">
        <v>643</v>
      </c>
      <c r="DC126" s="109" t="s">
        <v>1137</v>
      </c>
      <c r="DD126" s="110" t="s">
        <v>644</v>
      </c>
      <c r="DE126" s="111" t="s">
        <v>1138</v>
      </c>
      <c r="DF126" s="112" t="s">
        <v>641</v>
      </c>
      <c r="DG126" s="113">
        <v>2013</v>
      </c>
      <c r="DH126" s="114" t="s">
        <v>1139</v>
      </c>
      <c r="DI126" s="227" t="str">
        <f>HYPERLINK("https://my.pitchbook.com?c=94730-59T", "View company online")</f>
        <v>View company online</v>
      </c>
    </row>
    <row r="127" spans="1:113" x14ac:dyDescent="0.2">
      <c r="A127" s="115" t="s">
        <v>1721</v>
      </c>
      <c r="B127" s="116" t="s">
        <v>1121</v>
      </c>
      <c r="C127" s="117" t="s">
        <v>1122</v>
      </c>
      <c r="D127" s="118" t="s">
        <v>1123</v>
      </c>
      <c r="E127" s="119" t="s">
        <v>1124</v>
      </c>
      <c r="F127" s="120" t="s">
        <v>164</v>
      </c>
      <c r="G127" s="121" t="s">
        <v>165</v>
      </c>
      <c r="H127" s="122" t="s">
        <v>1125</v>
      </c>
      <c r="I127" s="123" t="s">
        <v>1126</v>
      </c>
      <c r="J127" s="124" t="s">
        <v>918</v>
      </c>
      <c r="K127" s="125" t="s">
        <v>1127</v>
      </c>
      <c r="L127" s="126" t="s">
        <v>345</v>
      </c>
      <c r="M127" s="127" t="s">
        <v>133</v>
      </c>
      <c r="N127" s="128" t="s">
        <v>170</v>
      </c>
      <c r="O127" s="129" t="s">
        <v>1128</v>
      </c>
      <c r="P127" s="130" t="s">
        <v>1129</v>
      </c>
      <c r="Q127" s="131" t="s">
        <v>1130</v>
      </c>
      <c r="R127" s="132" t="s">
        <v>1131</v>
      </c>
      <c r="S127" s="133" t="s">
        <v>1132</v>
      </c>
      <c r="T127" s="134" t="s">
        <v>1133</v>
      </c>
      <c r="U127" s="135">
        <v>6</v>
      </c>
      <c r="V127" s="136" t="s">
        <v>1721</v>
      </c>
      <c r="W127" s="137" t="s">
        <v>141</v>
      </c>
      <c r="X127" s="138">
        <v>42635</v>
      </c>
      <c r="Y127" s="139">
        <v>2.2400000000000002</v>
      </c>
      <c r="Z127" s="140" t="s">
        <v>177</v>
      </c>
      <c r="AA127" s="141" t="s">
        <v>141</v>
      </c>
      <c r="AB127" s="142" t="s">
        <v>141</v>
      </c>
      <c r="AC127" s="143" t="s">
        <v>141</v>
      </c>
      <c r="AD127" s="144" t="s">
        <v>141</v>
      </c>
      <c r="AE127" s="145">
        <v>9.0500000000000007</v>
      </c>
      <c r="AF127" s="146" t="s">
        <v>1550</v>
      </c>
      <c r="AG127" s="147" t="s">
        <v>141</v>
      </c>
      <c r="AH127" s="148" t="s">
        <v>141</v>
      </c>
      <c r="AI127" s="149" t="s">
        <v>141</v>
      </c>
      <c r="AJ127" s="150" t="s">
        <v>1518</v>
      </c>
      <c r="AK127" s="151" t="s">
        <v>141</v>
      </c>
      <c r="AL127" s="152" t="s">
        <v>141</v>
      </c>
      <c r="AM127" s="153" t="s">
        <v>170</v>
      </c>
      <c r="AN127" s="154" t="s">
        <v>1722</v>
      </c>
      <c r="AO127" s="155">
        <v>2.2400000000000002</v>
      </c>
      <c r="AP127" s="156" t="s">
        <v>145</v>
      </c>
      <c r="AQ127" s="157" t="s">
        <v>141</v>
      </c>
      <c r="AR127" s="158" t="s">
        <v>141</v>
      </c>
      <c r="AS127" s="159" t="s">
        <v>141</v>
      </c>
      <c r="AT127" s="160" t="s">
        <v>141</v>
      </c>
      <c r="AU127" s="161" t="s">
        <v>141</v>
      </c>
      <c r="AV127" s="162" t="s">
        <v>141</v>
      </c>
      <c r="AW127" s="163" t="s">
        <v>141</v>
      </c>
      <c r="AX127" s="164" t="s">
        <v>141</v>
      </c>
      <c r="AY127" s="165" t="s">
        <v>141</v>
      </c>
      <c r="AZ127" s="166" t="s">
        <v>141</v>
      </c>
      <c r="BA127" s="167" t="s">
        <v>146</v>
      </c>
      <c r="BB127" s="168" t="s">
        <v>133</v>
      </c>
      <c r="BC127" s="169" t="s">
        <v>132</v>
      </c>
      <c r="BD127" s="170" t="s">
        <v>141</v>
      </c>
      <c r="BE127" s="171">
        <v>1</v>
      </c>
      <c r="BF127" s="172" t="s">
        <v>141</v>
      </c>
      <c r="BG127" s="173" t="s">
        <v>141</v>
      </c>
      <c r="BH127" s="174" t="s">
        <v>1717</v>
      </c>
      <c r="BI127" s="175">
        <v>1</v>
      </c>
      <c r="BJ127" s="176" t="s">
        <v>141</v>
      </c>
      <c r="BK127" s="177" t="s">
        <v>1723</v>
      </c>
      <c r="BL127" s="178" t="s">
        <v>1720</v>
      </c>
      <c r="BM127" s="179" t="s">
        <v>1720</v>
      </c>
      <c r="BN127" s="180" t="s">
        <v>141</v>
      </c>
      <c r="BO127" s="181" t="s">
        <v>141</v>
      </c>
      <c r="BP127" s="182" t="s">
        <v>141</v>
      </c>
      <c r="BQ127" s="183" t="s">
        <v>141</v>
      </c>
      <c r="BR127" s="184" t="s">
        <v>141</v>
      </c>
      <c r="BS127" s="185" t="s">
        <v>141</v>
      </c>
      <c r="BT127" s="186" t="s">
        <v>141</v>
      </c>
      <c r="BU127" s="187" t="s">
        <v>141</v>
      </c>
      <c r="BV127" s="188" t="s">
        <v>141</v>
      </c>
      <c r="BW127" s="189" t="s">
        <v>141</v>
      </c>
      <c r="BX127" s="190" t="s">
        <v>141</v>
      </c>
      <c r="BY127" s="191" t="s">
        <v>141</v>
      </c>
      <c r="BZ127" s="192" t="s">
        <v>141</v>
      </c>
      <c r="CA127" s="193" t="s">
        <v>141</v>
      </c>
      <c r="CB127" s="194" t="s">
        <v>141</v>
      </c>
      <c r="CC127" s="195" t="s">
        <v>141</v>
      </c>
      <c r="CD127" s="196" t="s">
        <v>141</v>
      </c>
      <c r="CE127" s="197">
        <v>2016</v>
      </c>
      <c r="CF127" s="198" t="s">
        <v>141</v>
      </c>
      <c r="CG127" s="199" t="s">
        <v>141</v>
      </c>
      <c r="CH127" s="200" t="s">
        <v>141</v>
      </c>
      <c r="CI127" s="201" t="s">
        <v>141</v>
      </c>
      <c r="CJ127" s="202" t="s">
        <v>141</v>
      </c>
      <c r="CK127" s="203" t="s">
        <v>141</v>
      </c>
      <c r="CL127" s="204" t="s">
        <v>141</v>
      </c>
      <c r="CM127" s="205" t="s">
        <v>141</v>
      </c>
      <c r="CN127" s="206" t="s">
        <v>141</v>
      </c>
      <c r="CO127" s="207" t="s">
        <v>141</v>
      </c>
      <c r="CP127" s="208" t="s">
        <v>141</v>
      </c>
      <c r="CQ127" s="209" t="s">
        <v>141</v>
      </c>
      <c r="CR127" s="210" t="s">
        <v>141</v>
      </c>
      <c r="CS127" s="211" t="s">
        <v>141</v>
      </c>
      <c r="CT127" s="212" t="s">
        <v>141</v>
      </c>
      <c r="CU127" s="213" t="s">
        <v>141</v>
      </c>
      <c r="CV127" s="214" t="s">
        <v>141</v>
      </c>
      <c r="CW127" s="215" t="s">
        <v>141</v>
      </c>
      <c r="CX127" s="216">
        <v>50</v>
      </c>
      <c r="CY127" s="217" t="s">
        <v>1135</v>
      </c>
      <c r="CZ127" s="218" t="s">
        <v>1136</v>
      </c>
      <c r="DA127" s="219" t="s">
        <v>642</v>
      </c>
      <c r="DB127" s="220" t="s">
        <v>643</v>
      </c>
      <c r="DC127" s="221" t="s">
        <v>1137</v>
      </c>
      <c r="DD127" s="222" t="s">
        <v>644</v>
      </c>
      <c r="DE127" s="223" t="s">
        <v>1138</v>
      </c>
      <c r="DF127" s="224" t="s">
        <v>641</v>
      </c>
      <c r="DG127" s="225">
        <v>2013</v>
      </c>
      <c r="DH127" s="226" t="s">
        <v>1139</v>
      </c>
      <c r="DI127" s="228" t="str">
        <f>HYPERLINK("https://my.pitchbook.com?c=113315-68T", "View company online")</f>
        <v>View company online</v>
      </c>
    </row>
    <row r="128" spans="1:113" x14ac:dyDescent="0.2">
      <c r="A128" s="3" t="s">
        <v>1724</v>
      </c>
      <c r="B128" s="4" t="s">
        <v>357</v>
      </c>
      <c r="C128" s="5" t="s">
        <v>358</v>
      </c>
      <c r="D128" s="6" t="s">
        <v>359</v>
      </c>
      <c r="E128" s="7" t="s">
        <v>360</v>
      </c>
      <c r="F128" s="8" t="s">
        <v>126</v>
      </c>
      <c r="G128" s="9" t="s">
        <v>208</v>
      </c>
      <c r="H128" s="10" t="s">
        <v>209</v>
      </c>
      <c r="I128" s="11" t="s">
        <v>361</v>
      </c>
      <c r="J128" s="12" t="s">
        <v>362</v>
      </c>
      <c r="K128" s="13" t="s">
        <v>363</v>
      </c>
      <c r="L128" s="14" t="s">
        <v>132</v>
      </c>
      <c r="M128" s="15" t="s">
        <v>133</v>
      </c>
      <c r="N128" s="16" t="s">
        <v>134</v>
      </c>
      <c r="O128" s="17" t="s">
        <v>1725</v>
      </c>
      <c r="P128" s="18" t="s">
        <v>1726</v>
      </c>
      <c r="Q128" s="19" t="s">
        <v>1727</v>
      </c>
      <c r="R128" s="20" t="s">
        <v>1728</v>
      </c>
      <c r="S128" s="21" t="s">
        <v>1729</v>
      </c>
      <c r="T128" s="22" t="s">
        <v>1730</v>
      </c>
      <c r="U128" s="23">
        <v>2</v>
      </c>
      <c r="V128" s="24" t="s">
        <v>1724</v>
      </c>
      <c r="W128" s="25" t="s">
        <v>141</v>
      </c>
      <c r="X128" s="26">
        <v>41547</v>
      </c>
      <c r="Y128" s="27">
        <v>2.4</v>
      </c>
      <c r="Z128" s="28" t="s">
        <v>177</v>
      </c>
      <c r="AA128" s="29" t="s">
        <v>141</v>
      </c>
      <c r="AB128" s="30" t="s">
        <v>141</v>
      </c>
      <c r="AC128" s="31" t="s">
        <v>141</v>
      </c>
      <c r="AD128" s="32" t="s">
        <v>141</v>
      </c>
      <c r="AE128" s="33">
        <v>2.52</v>
      </c>
      <c r="AF128" s="34" t="s">
        <v>1571</v>
      </c>
      <c r="AG128" s="35" t="s">
        <v>141</v>
      </c>
      <c r="AH128" s="36" t="s">
        <v>141</v>
      </c>
      <c r="AI128" s="37" t="s">
        <v>141</v>
      </c>
      <c r="AJ128" s="38" t="s">
        <v>1518</v>
      </c>
      <c r="AK128" s="39" t="s">
        <v>141</v>
      </c>
      <c r="AL128" s="40" t="s">
        <v>141</v>
      </c>
      <c r="AM128" s="41" t="s">
        <v>170</v>
      </c>
      <c r="AN128" s="42" t="s">
        <v>1731</v>
      </c>
      <c r="AO128" s="43">
        <v>2.4</v>
      </c>
      <c r="AP128" s="44" t="s">
        <v>145</v>
      </c>
      <c r="AQ128" s="45" t="s">
        <v>141</v>
      </c>
      <c r="AR128" s="46" t="s">
        <v>141</v>
      </c>
      <c r="AS128" s="47" t="s">
        <v>141</v>
      </c>
      <c r="AT128" s="48" t="s">
        <v>141</v>
      </c>
      <c r="AU128" s="49" t="s">
        <v>141</v>
      </c>
      <c r="AV128" s="50" t="s">
        <v>141</v>
      </c>
      <c r="AW128" s="51" t="s">
        <v>141</v>
      </c>
      <c r="AX128" s="52" t="s">
        <v>141</v>
      </c>
      <c r="AY128" s="53" t="s">
        <v>141</v>
      </c>
      <c r="AZ128" s="54" t="s">
        <v>141</v>
      </c>
      <c r="BA128" s="55" t="s">
        <v>146</v>
      </c>
      <c r="BB128" s="56" t="s">
        <v>263</v>
      </c>
      <c r="BC128" s="57" t="s">
        <v>132</v>
      </c>
      <c r="BD128" s="58" t="s">
        <v>141</v>
      </c>
      <c r="BE128" s="59">
        <v>13</v>
      </c>
      <c r="BF128" s="238" t="s">
        <v>1732</v>
      </c>
      <c r="BG128" s="61">
        <v>12</v>
      </c>
      <c r="BH128" s="62" t="s">
        <v>178</v>
      </c>
      <c r="BI128" s="63">
        <v>1</v>
      </c>
      <c r="BJ128" s="64" t="s">
        <v>141</v>
      </c>
      <c r="BK128" s="65" t="s">
        <v>1733</v>
      </c>
      <c r="BL128" s="238" t="s">
        <v>1734</v>
      </c>
      <c r="BM128" s="67" t="s">
        <v>1735</v>
      </c>
      <c r="BN128" s="68" t="s">
        <v>1736</v>
      </c>
      <c r="BO128" s="69" t="s">
        <v>141</v>
      </c>
      <c r="BP128" s="70" t="s">
        <v>141</v>
      </c>
      <c r="BQ128" s="71" t="s">
        <v>141</v>
      </c>
      <c r="BR128" s="72" t="s">
        <v>372</v>
      </c>
      <c r="BS128" s="73" t="s">
        <v>372</v>
      </c>
      <c r="BT128" s="74" t="s">
        <v>141</v>
      </c>
      <c r="BU128" s="75" t="s">
        <v>141</v>
      </c>
      <c r="BV128" s="76" t="s">
        <v>141</v>
      </c>
      <c r="BW128" s="77" t="s">
        <v>141</v>
      </c>
      <c r="BX128" s="78" t="s">
        <v>141</v>
      </c>
      <c r="BY128" s="79" t="s">
        <v>141</v>
      </c>
      <c r="BZ128" s="80" t="s">
        <v>141</v>
      </c>
      <c r="CA128" s="81" t="s">
        <v>141</v>
      </c>
      <c r="CB128" s="82" t="s">
        <v>141</v>
      </c>
      <c r="CC128" s="83" t="s">
        <v>141</v>
      </c>
      <c r="CD128" s="84" t="s">
        <v>141</v>
      </c>
      <c r="CE128" s="85" t="s">
        <v>141</v>
      </c>
      <c r="CF128" s="86" t="s">
        <v>141</v>
      </c>
      <c r="CG128" s="87" t="s">
        <v>141</v>
      </c>
      <c r="CH128" s="88" t="s">
        <v>141</v>
      </c>
      <c r="CI128" s="89" t="s">
        <v>141</v>
      </c>
      <c r="CJ128" s="90" t="s">
        <v>141</v>
      </c>
      <c r="CK128" s="91" t="s">
        <v>141</v>
      </c>
      <c r="CL128" s="92" t="s">
        <v>141</v>
      </c>
      <c r="CM128" s="93" t="s">
        <v>141</v>
      </c>
      <c r="CN128" s="94" t="s">
        <v>141</v>
      </c>
      <c r="CO128" s="95" t="s">
        <v>141</v>
      </c>
      <c r="CP128" s="96" t="s">
        <v>141</v>
      </c>
      <c r="CQ128" s="97" t="s">
        <v>141</v>
      </c>
      <c r="CR128" s="98" t="s">
        <v>141</v>
      </c>
      <c r="CS128" s="99" t="s">
        <v>141</v>
      </c>
      <c r="CT128" s="100" t="s">
        <v>141</v>
      </c>
      <c r="CU128" s="101" t="s">
        <v>141</v>
      </c>
      <c r="CV128" s="102" t="s">
        <v>141</v>
      </c>
      <c r="CW128" s="103" t="s">
        <v>141</v>
      </c>
      <c r="CX128" s="104">
        <v>1000</v>
      </c>
      <c r="CY128" s="105" t="s">
        <v>150</v>
      </c>
      <c r="CZ128" s="106" t="s">
        <v>180</v>
      </c>
      <c r="DA128" s="107" t="s">
        <v>152</v>
      </c>
      <c r="DB128" s="108" t="s">
        <v>153</v>
      </c>
      <c r="DC128" s="109" t="s">
        <v>181</v>
      </c>
      <c r="DD128" s="110" t="s">
        <v>182</v>
      </c>
      <c r="DE128" s="111" t="s">
        <v>373</v>
      </c>
      <c r="DF128" s="112" t="s">
        <v>157</v>
      </c>
      <c r="DG128" s="113">
        <v>2013</v>
      </c>
      <c r="DH128" s="114" t="s">
        <v>374</v>
      </c>
      <c r="DI128" s="227" t="str">
        <f>HYPERLINK("https://my.pitchbook.com?c=28924-93T", "View company online")</f>
        <v>View company online</v>
      </c>
    </row>
    <row r="129" spans="1:113" x14ac:dyDescent="0.2">
      <c r="A129" s="115" t="s">
        <v>1737</v>
      </c>
      <c r="B129" s="116" t="s">
        <v>357</v>
      </c>
      <c r="C129" s="117" t="s">
        <v>358</v>
      </c>
      <c r="D129" s="118" t="s">
        <v>359</v>
      </c>
      <c r="E129" s="119" t="s">
        <v>360</v>
      </c>
      <c r="F129" s="120" t="s">
        <v>126</v>
      </c>
      <c r="G129" s="121" t="s">
        <v>208</v>
      </c>
      <c r="H129" s="122" t="s">
        <v>209</v>
      </c>
      <c r="I129" s="123" t="s">
        <v>361</v>
      </c>
      <c r="J129" s="124" t="s">
        <v>362</v>
      </c>
      <c r="K129" s="125" t="s">
        <v>363</v>
      </c>
      <c r="L129" s="126" t="s">
        <v>132</v>
      </c>
      <c r="M129" s="127" t="s">
        <v>133</v>
      </c>
      <c r="N129" s="128" t="s">
        <v>134</v>
      </c>
      <c r="O129" s="129" t="s">
        <v>1725</v>
      </c>
      <c r="P129" s="130" t="s">
        <v>1726</v>
      </c>
      <c r="Q129" s="131" t="s">
        <v>1727</v>
      </c>
      <c r="R129" s="132" t="s">
        <v>1728</v>
      </c>
      <c r="S129" s="133" t="s">
        <v>1729</v>
      </c>
      <c r="T129" s="134" t="s">
        <v>1730</v>
      </c>
      <c r="U129" s="135">
        <v>3</v>
      </c>
      <c r="V129" s="136" t="s">
        <v>1737</v>
      </c>
      <c r="W129" s="137" t="s">
        <v>141</v>
      </c>
      <c r="X129" s="138">
        <v>41782</v>
      </c>
      <c r="Y129" s="139">
        <v>17.3</v>
      </c>
      <c r="Z129" s="140" t="s">
        <v>177</v>
      </c>
      <c r="AA129" s="141">
        <v>54.25</v>
      </c>
      <c r="AB129" s="142">
        <v>71.55</v>
      </c>
      <c r="AC129" s="143" t="s">
        <v>177</v>
      </c>
      <c r="AD129" s="144">
        <v>24.18</v>
      </c>
      <c r="AE129" s="145">
        <v>19.82</v>
      </c>
      <c r="AF129" s="146" t="s">
        <v>1582</v>
      </c>
      <c r="AG129" s="147" t="s">
        <v>141</v>
      </c>
      <c r="AH129" s="148">
        <v>3.63</v>
      </c>
      <c r="AI129" s="149" t="s">
        <v>1517</v>
      </c>
      <c r="AJ129" s="150" t="s">
        <v>1518</v>
      </c>
      <c r="AK129" s="151" t="s">
        <v>1517</v>
      </c>
      <c r="AL129" s="152" t="s">
        <v>141</v>
      </c>
      <c r="AM129" s="153" t="s">
        <v>170</v>
      </c>
      <c r="AN129" s="154" t="s">
        <v>1738</v>
      </c>
      <c r="AO129" s="155">
        <v>17.3</v>
      </c>
      <c r="AP129" s="156" t="s">
        <v>145</v>
      </c>
      <c r="AQ129" s="157" t="s">
        <v>141</v>
      </c>
      <c r="AR129" s="158" t="s">
        <v>141</v>
      </c>
      <c r="AS129" s="159" t="s">
        <v>141</v>
      </c>
      <c r="AT129" s="160" t="s">
        <v>141</v>
      </c>
      <c r="AU129" s="161" t="s">
        <v>141</v>
      </c>
      <c r="AV129" s="162" t="s">
        <v>141</v>
      </c>
      <c r="AW129" s="163" t="s">
        <v>141</v>
      </c>
      <c r="AX129" s="164" t="s">
        <v>141</v>
      </c>
      <c r="AY129" s="165" t="s">
        <v>141</v>
      </c>
      <c r="AZ129" s="166" t="s">
        <v>141</v>
      </c>
      <c r="BA129" s="167" t="s">
        <v>146</v>
      </c>
      <c r="BB129" s="168" t="s">
        <v>263</v>
      </c>
      <c r="BC129" s="169" t="s">
        <v>132</v>
      </c>
      <c r="BD129" s="170" t="s">
        <v>141</v>
      </c>
      <c r="BE129" s="171">
        <v>6</v>
      </c>
      <c r="BF129" s="172" t="s">
        <v>1739</v>
      </c>
      <c r="BG129" s="173">
        <v>3</v>
      </c>
      <c r="BH129" s="174" t="s">
        <v>1740</v>
      </c>
      <c r="BI129" s="175">
        <v>3</v>
      </c>
      <c r="BJ129" s="176" t="s">
        <v>141</v>
      </c>
      <c r="BK129" s="177" t="s">
        <v>1741</v>
      </c>
      <c r="BL129" s="178" t="s">
        <v>1742</v>
      </c>
      <c r="BM129" s="179" t="s">
        <v>1743</v>
      </c>
      <c r="BN129" s="180" t="s">
        <v>1744</v>
      </c>
      <c r="BO129" s="181" t="s">
        <v>141</v>
      </c>
      <c r="BP129" s="182" t="s">
        <v>141</v>
      </c>
      <c r="BQ129" s="183" t="s">
        <v>141</v>
      </c>
      <c r="BR129" s="184" t="s">
        <v>372</v>
      </c>
      <c r="BS129" s="185" t="s">
        <v>372</v>
      </c>
      <c r="BT129" s="186" t="s">
        <v>141</v>
      </c>
      <c r="BU129" s="187" t="s">
        <v>141</v>
      </c>
      <c r="BV129" s="188" t="s">
        <v>141</v>
      </c>
      <c r="BW129" s="189" t="s">
        <v>141</v>
      </c>
      <c r="BX129" s="190" t="s">
        <v>141</v>
      </c>
      <c r="BY129" s="191" t="s">
        <v>141</v>
      </c>
      <c r="BZ129" s="192" t="s">
        <v>141</v>
      </c>
      <c r="CA129" s="193" t="s">
        <v>141</v>
      </c>
      <c r="CB129" s="194" t="s">
        <v>141</v>
      </c>
      <c r="CC129" s="195" t="s">
        <v>141</v>
      </c>
      <c r="CD129" s="196" t="s">
        <v>141</v>
      </c>
      <c r="CE129" s="197" t="s">
        <v>141</v>
      </c>
      <c r="CF129" s="198" t="s">
        <v>141</v>
      </c>
      <c r="CG129" s="199" t="s">
        <v>141</v>
      </c>
      <c r="CH129" s="200" t="s">
        <v>141</v>
      </c>
      <c r="CI129" s="201" t="s">
        <v>141</v>
      </c>
      <c r="CJ129" s="202" t="s">
        <v>141</v>
      </c>
      <c r="CK129" s="203" t="s">
        <v>141</v>
      </c>
      <c r="CL129" s="204" t="s">
        <v>141</v>
      </c>
      <c r="CM129" s="205" t="s">
        <v>141</v>
      </c>
      <c r="CN129" s="206" t="s">
        <v>141</v>
      </c>
      <c r="CO129" s="207" t="s">
        <v>141</v>
      </c>
      <c r="CP129" s="208" t="s">
        <v>141</v>
      </c>
      <c r="CQ129" s="209" t="s">
        <v>141</v>
      </c>
      <c r="CR129" s="210" t="s">
        <v>141</v>
      </c>
      <c r="CS129" s="211" t="s">
        <v>141</v>
      </c>
      <c r="CT129" s="212" t="s">
        <v>141</v>
      </c>
      <c r="CU129" s="213" t="s">
        <v>141</v>
      </c>
      <c r="CV129" s="214" t="s">
        <v>141</v>
      </c>
      <c r="CW129" s="215" t="s">
        <v>141</v>
      </c>
      <c r="CX129" s="216">
        <v>1000</v>
      </c>
      <c r="CY129" s="217" t="s">
        <v>150</v>
      </c>
      <c r="CZ129" s="218" t="s">
        <v>180</v>
      </c>
      <c r="DA129" s="219" t="s">
        <v>152</v>
      </c>
      <c r="DB129" s="220" t="s">
        <v>153</v>
      </c>
      <c r="DC129" s="221" t="s">
        <v>181</v>
      </c>
      <c r="DD129" s="222" t="s">
        <v>182</v>
      </c>
      <c r="DE129" s="223" t="s">
        <v>373</v>
      </c>
      <c r="DF129" s="224" t="s">
        <v>157</v>
      </c>
      <c r="DG129" s="225">
        <v>2013</v>
      </c>
      <c r="DH129" s="226" t="s">
        <v>374</v>
      </c>
      <c r="DI129" s="228" t="str">
        <f>HYPERLINK("https://my.pitchbook.com?c=34134-85T", "View company online")</f>
        <v>View company online</v>
      </c>
    </row>
    <row r="130" spans="1:113" x14ac:dyDescent="0.2">
      <c r="A130" s="3" t="s">
        <v>1745</v>
      </c>
      <c r="B130" s="4" t="s">
        <v>357</v>
      </c>
      <c r="C130" s="5" t="s">
        <v>358</v>
      </c>
      <c r="D130" s="6" t="s">
        <v>359</v>
      </c>
      <c r="E130" s="7" t="s">
        <v>360</v>
      </c>
      <c r="F130" s="8" t="s">
        <v>126</v>
      </c>
      <c r="G130" s="9" t="s">
        <v>208</v>
      </c>
      <c r="H130" s="10" t="s">
        <v>209</v>
      </c>
      <c r="I130" s="11" t="s">
        <v>361</v>
      </c>
      <c r="J130" s="12" t="s">
        <v>362</v>
      </c>
      <c r="K130" s="13" t="s">
        <v>363</v>
      </c>
      <c r="L130" s="14" t="s">
        <v>132</v>
      </c>
      <c r="M130" s="15" t="s">
        <v>133</v>
      </c>
      <c r="N130" s="16" t="s">
        <v>134</v>
      </c>
      <c r="O130" s="17" t="s">
        <v>364</v>
      </c>
      <c r="P130" s="18" t="s">
        <v>365</v>
      </c>
      <c r="Q130" s="19" t="s">
        <v>366</v>
      </c>
      <c r="R130" s="20" t="s">
        <v>367</v>
      </c>
      <c r="S130" s="21" t="s">
        <v>368</v>
      </c>
      <c r="T130" s="22" t="s">
        <v>369</v>
      </c>
      <c r="U130" s="23">
        <v>4</v>
      </c>
      <c r="V130" s="24" t="s">
        <v>1745</v>
      </c>
      <c r="W130" s="25" t="s">
        <v>141</v>
      </c>
      <c r="X130" s="26">
        <v>42080</v>
      </c>
      <c r="Y130" s="27">
        <v>40</v>
      </c>
      <c r="Z130" s="28" t="s">
        <v>177</v>
      </c>
      <c r="AA130" s="29">
        <v>560</v>
      </c>
      <c r="AB130" s="30">
        <v>600</v>
      </c>
      <c r="AC130" s="31" t="s">
        <v>177</v>
      </c>
      <c r="AD130" s="32">
        <v>6.67</v>
      </c>
      <c r="AE130" s="33">
        <v>60</v>
      </c>
      <c r="AF130" s="34" t="s">
        <v>1516</v>
      </c>
      <c r="AG130" s="35" t="s">
        <v>1188</v>
      </c>
      <c r="AH130" s="36">
        <v>28.39</v>
      </c>
      <c r="AI130" s="37" t="s">
        <v>1551</v>
      </c>
      <c r="AJ130" s="38" t="s">
        <v>1518</v>
      </c>
      <c r="AK130" s="39" t="s">
        <v>1551</v>
      </c>
      <c r="AL130" s="40" t="s">
        <v>141</v>
      </c>
      <c r="AM130" s="41" t="s">
        <v>170</v>
      </c>
      <c r="AN130" s="42" t="s">
        <v>1746</v>
      </c>
      <c r="AO130" s="43">
        <v>40</v>
      </c>
      <c r="AP130" s="44" t="s">
        <v>145</v>
      </c>
      <c r="AQ130" s="45" t="s">
        <v>141</v>
      </c>
      <c r="AR130" s="46" t="s">
        <v>141</v>
      </c>
      <c r="AS130" s="47" t="s">
        <v>141</v>
      </c>
      <c r="AT130" s="48" t="s">
        <v>141</v>
      </c>
      <c r="AU130" s="49" t="s">
        <v>141</v>
      </c>
      <c r="AV130" s="50" t="s">
        <v>141</v>
      </c>
      <c r="AW130" s="51" t="s">
        <v>141</v>
      </c>
      <c r="AX130" s="52" t="s">
        <v>141</v>
      </c>
      <c r="AY130" s="53" t="s">
        <v>141</v>
      </c>
      <c r="AZ130" s="54" t="s">
        <v>141</v>
      </c>
      <c r="BA130" s="55" t="s">
        <v>146</v>
      </c>
      <c r="BB130" s="56" t="s">
        <v>133</v>
      </c>
      <c r="BC130" s="57" t="s">
        <v>132</v>
      </c>
      <c r="BD130" s="58" t="s">
        <v>141</v>
      </c>
      <c r="BE130" s="59">
        <v>6</v>
      </c>
      <c r="BF130" s="60" t="s">
        <v>1747</v>
      </c>
      <c r="BG130" s="61">
        <v>2</v>
      </c>
      <c r="BH130" s="62" t="s">
        <v>1748</v>
      </c>
      <c r="BI130" s="63">
        <v>4</v>
      </c>
      <c r="BJ130" s="64" t="s">
        <v>141</v>
      </c>
      <c r="BK130" s="65" t="s">
        <v>1749</v>
      </c>
      <c r="BL130" s="66" t="s">
        <v>1750</v>
      </c>
      <c r="BM130" s="67" t="s">
        <v>1751</v>
      </c>
      <c r="BN130" s="68" t="s">
        <v>1752</v>
      </c>
      <c r="BO130" s="69" t="s">
        <v>141</v>
      </c>
      <c r="BP130" s="70" t="s">
        <v>141</v>
      </c>
      <c r="BQ130" s="71" t="s">
        <v>141</v>
      </c>
      <c r="BR130" s="72" t="s">
        <v>372</v>
      </c>
      <c r="BS130" s="73" t="s">
        <v>372</v>
      </c>
      <c r="BT130" s="74" t="s">
        <v>141</v>
      </c>
      <c r="BU130" s="75" t="s">
        <v>141</v>
      </c>
      <c r="BV130" s="76" t="s">
        <v>141</v>
      </c>
      <c r="BW130" s="77" t="s">
        <v>141</v>
      </c>
      <c r="BX130" s="78" t="s">
        <v>141</v>
      </c>
      <c r="BY130" s="79" t="s">
        <v>141</v>
      </c>
      <c r="BZ130" s="80" t="s">
        <v>141</v>
      </c>
      <c r="CA130" s="81" t="s">
        <v>141</v>
      </c>
      <c r="CB130" s="82" t="s">
        <v>141</v>
      </c>
      <c r="CC130" s="83" t="s">
        <v>141</v>
      </c>
      <c r="CD130" s="84" t="s">
        <v>141</v>
      </c>
      <c r="CE130" s="85" t="s">
        <v>141</v>
      </c>
      <c r="CF130" s="86" t="s">
        <v>141</v>
      </c>
      <c r="CG130" s="87" t="s">
        <v>141</v>
      </c>
      <c r="CH130" s="88" t="s">
        <v>141</v>
      </c>
      <c r="CI130" s="89" t="s">
        <v>141</v>
      </c>
      <c r="CJ130" s="90" t="s">
        <v>141</v>
      </c>
      <c r="CK130" s="91" t="s">
        <v>141</v>
      </c>
      <c r="CL130" s="92" t="s">
        <v>141</v>
      </c>
      <c r="CM130" s="93" t="s">
        <v>141</v>
      </c>
      <c r="CN130" s="94" t="s">
        <v>141</v>
      </c>
      <c r="CO130" s="95" t="s">
        <v>141</v>
      </c>
      <c r="CP130" s="96" t="s">
        <v>141</v>
      </c>
      <c r="CQ130" s="97" t="s">
        <v>141</v>
      </c>
      <c r="CR130" s="98" t="s">
        <v>141</v>
      </c>
      <c r="CS130" s="99" t="s">
        <v>141</v>
      </c>
      <c r="CT130" s="100" t="s">
        <v>141</v>
      </c>
      <c r="CU130" s="101" t="s">
        <v>141</v>
      </c>
      <c r="CV130" s="102" t="s">
        <v>141</v>
      </c>
      <c r="CW130" s="103" t="s">
        <v>141</v>
      </c>
      <c r="CX130" s="104">
        <v>1000</v>
      </c>
      <c r="CY130" s="105" t="s">
        <v>150</v>
      </c>
      <c r="CZ130" s="106" t="s">
        <v>180</v>
      </c>
      <c r="DA130" s="107" t="s">
        <v>152</v>
      </c>
      <c r="DB130" s="108" t="s">
        <v>153</v>
      </c>
      <c r="DC130" s="109" t="s">
        <v>181</v>
      </c>
      <c r="DD130" s="110" t="s">
        <v>182</v>
      </c>
      <c r="DE130" s="111" t="s">
        <v>373</v>
      </c>
      <c r="DF130" s="112" t="s">
        <v>157</v>
      </c>
      <c r="DG130" s="113">
        <v>2013</v>
      </c>
      <c r="DH130" s="114" t="s">
        <v>374</v>
      </c>
      <c r="DI130" s="227" t="str">
        <f>HYPERLINK("https://my.pitchbook.com?c=47036-62T", "View company online")</f>
        <v>View company online</v>
      </c>
    </row>
    <row r="131" spans="1:113" x14ac:dyDescent="0.2">
      <c r="A131" s="115" t="s">
        <v>1753</v>
      </c>
      <c r="B131" s="116" t="s">
        <v>1754</v>
      </c>
      <c r="C131" s="117" t="s">
        <v>1755</v>
      </c>
      <c r="D131" s="118" t="s">
        <v>1756</v>
      </c>
      <c r="E131" s="119" t="s">
        <v>1757</v>
      </c>
      <c r="F131" s="120" t="s">
        <v>126</v>
      </c>
      <c r="G131" s="121" t="s">
        <v>340</v>
      </c>
      <c r="H131" s="122" t="s">
        <v>341</v>
      </c>
      <c r="I131" s="123" t="s">
        <v>1758</v>
      </c>
      <c r="J131" s="124" t="s">
        <v>589</v>
      </c>
      <c r="K131" s="125" t="s">
        <v>1759</v>
      </c>
      <c r="L131" s="126" t="s">
        <v>132</v>
      </c>
      <c r="M131" s="127" t="s">
        <v>133</v>
      </c>
      <c r="N131" s="128" t="s">
        <v>170</v>
      </c>
      <c r="O131" s="129" t="s">
        <v>1760</v>
      </c>
      <c r="P131" s="130" t="s">
        <v>1761</v>
      </c>
      <c r="Q131" s="131" t="s">
        <v>1762</v>
      </c>
      <c r="R131" s="132" t="s">
        <v>1763</v>
      </c>
      <c r="S131" s="133" t="s">
        <v>1764</v>
      </c>
      <c r="T131" s="134" t="s">
        <v>1765</v>
      </c>
      <c r="U131" s="135">
        <v>2</v>
      </c>
      <c r="V131" s="136" t="s">
        <v>1753</v>
      </c>
      <c r="W131" s="137" t="s">
        <v>141</v>
      </c>
      <c r="X131" s="138">
        <v>42124</v>
      </c>
      <c r="Y131" s="139">
        <v>14</v>
      </c>
      <c r="Z131" s="140" t="s">
        <v>177</v>
      </c>
      <c r="AA131" s="141">
        <v>36</v>
      </c>
      <c r="AB131" s="142">
        <v>50</v>
      </c>
      <c r="AC131" s="143" t="s">
        <v>177</v>
      </c>
      <c r="AD131" s="144">
        <v>28</v>
      </c>
      <c r="AE131" s="145">
        <v>18.79</v>
      </c>
      <c r="AF131" s="146" t="s">
        <v>1582</v>
      </c>
      <c r="AG131" s="147" t="s">
        <v>1188</v>
      </c>
      <c r="AH131" s="148">
        <v>4.22</v>
      </c>
      <c r="AI131" s="149" t="s">
        <v>1517</v>
      </c>
      <c r="AJ131" s="150" t="s">
        <v>1518</v>
      </c>
      <c r="AK131" s="151" t="s">
        <v>1517</v>
      </c>
      <c r="AL131" s="152" t="s">
        <v>141</v>
      </c>
      <c r="AM131" s="153" t="s">
        <v>170</v>
      </c>
      <c r="AN131" s="154" t="s">
        <v>1766</v>
      </c>
      <c r="AO131" s="155">
        <v>14</v>
      </c>
      <c r="AP131" s="156" t="s">
        <v>145</v>
      </c>
      <c r="AQ131" s="157" t="s">
        <v>141</v>
      </c>
      <c r="AR131" s="158" t="s">
        <v>141</v>
      </c>
      <c r="AS131" s="159" t="s">
        <v>141</v>
      </c>
      <c r="AT131" s="160" t="s">
        <v>141</v>
      </c>
      <c r="AU131" s="161" t="s">
        <v>141</v>
      </c>
      <c r="AV131" s="162" t="s">
        <v>141</v>
      </c>
      <c r="AW131" s="163" t="s">
        <v>141</v>
      </c>
      <c r="AX131" s="164" t="s">
        <v>141</v>
      </c>
      <c r="AY131" s="165" t="s">
        <v>141</v>
      </c>
      <c r="AZ131" s="166" t="s">
        <v>141</v>
      </c>
      <c r="BA131" s="167" t="s">
        <v>146</v>
      </c>
      <c r="BB131" s="168" t="s">
        <v>133</v>
      </c>
      <c r="BC131" s="169" t="s">
        <v>132</v>
      </c>
      <c r="BD131" s="170">
        <v>40</v>
      </c>
      <c r="BE131" s="171">
        <v>5</v>
      </c>
      <c r="BF131" s="172" t="s">
        <v>1767</v>
      </c>
      <c r="BG131" s="173">
        <v>4</v>
      </c>
      <c r="BH131" s="174" t="s">
        <v>1768</v>
      </c>
      <c r="BI131" s="175">
        <v>1</v>
      </c>
      <c r="BJ131" s="176" t="s">
        <v>141</v>
      </c>
      <c r="BK131" s="177" t="s">
        <v>1769</v>
      </c>
      <c r="BL131" s="178" t="s">
        <v>1770</v>
      </c>
      <c r="BM131" s="179" t="s">
        <v>1771</v>
      </c>
      <c r="BN131" s="180" t="s">
        <v>1772</v>
      </c>
      <c r="BO131" s="181" t="s">
        <v>141</v>
      </c>
      <c r="BP131" s="182" t="s">
        <v>141</v>
      </c>
      <c r="BQ131" s="183" t="s">
        <v>141</v>
      </c>
      <c r="BR131" s="184" t="s">
        <v>1773</v>
      </c>
      <c r="BS131" s="185" t="s">
        <v>1773</v>
      </c>
      <c r="BT131" s="186" t="s">
        <v>141</v>
      </c>
      <c r="BU131" s="187" t="s">
        <v>141</v>
      </c>
      <c r="BV131" s="188" t="s">
        <v>141</v>
      </c>
      <c r="BW131" s="189" t="s">
        <v>141</v>
      </c>
      <c r="BX131" s="190" t="s">
        <v>141</v>
      </c>
      <c r="BY131" s="191" t="s">
        <v>141</v>
      </c>
      <c r="BZ131" s="192" t="s">
        <v>141</v>
      </c>
      <c r="CA131" s="193" t="s">
        <v>141</v>
      </c>
      <c r="CB131" s="194" t="s">
        <v>141</v>
      </c>
      <c r="CC131" s="195" t="s">
        <v>141</v>
      </c>
      <c r="CD131" s="196" t="s">
        <v>141</v>
      </c>
      <c r="CE131" s="197" t="s">
        <v>141</v>
      </c>
      <c r="CF131" s="198" t="s">
        <v>141</v>
      </c>
      <c r="CG131" s="199" t="s">
        <v>141</v>
      </c>
      <c r="CH131" s="200" t="s">
        <v>141</v>
      </c>
      <c r="CI131" s="201" t="s">
        <v>141</v>
      </c>
      <c r="CJ131" s="202" t="s">
        <v>141</v>
      </c>
      <c r="CK131" s="203" t="s">
        <v>141</v>
      </c>
      <c r="CL131" s="204" t="s">
        <v>141</v>
      </c>
      <c r="CM131" s="205" t="s">
        <v>141</v>
      </c>
      <c r="CN131" s="206" t="s">
        <v>141</v>
      </c>
      <c r="CO131" s="207" t="s">
        <v>141</v>
      </c>
      <c r="CP131" s="208" t="s">
        <v>141</v>
      </c>
      <c r="CQ131" s="209" t="s">
        <v>141</v>
      </c>
      <c r="CR131" s="210" t="s">
        <v>141</v>
      </c>
      <c r="CS131" s="211" t="s">
        <v>141</v>
      </c>
      <c r="CT131" s="212" t="s">
        <v>141</v>
      </c>
      <c r="CU131" s="213" t="s">
        <v>141</v>
      </c>
      <c r="CV131" s="214" t="s">
        <v>141</v>
      </c>
      <c r="CW131" s="215" t="s">
        <v>141</v>
      </c>
      <c r="CX131" s="216">
        <v>220</v>
      </c>
      <c r="CY131" s="217" t="s">
        <v>150</v>
      </c>
      <c r="CZ131" s="218" t="s">
        <v>1774</v>
      </c>
      <c r="DA131" s="219" t="s">
        <v>152</v>
      </c>
      <c r="DB131" s="220" t="s">
        <v>153</v>
      </c>
      <c r="DC131" s="221" t="s">
        <v>1775</v>
      </c>
      <c r="DD131" s="222" t="s">
        <v>946</v>
      </c>
      <c r="DE131" s="223" t="s">
        <v>1776</v>
      </c>
      <c r="DF131" s="224" t="s">
        <v>157</v>
      </c>
      <c r="DG131" s="225">
        <v>2012</v>
      </c>
      <c r="DH131" s="226" t="s">
        <v>1777</v>
      </c>
      <c r="DI131" s="228" t="str">
        <f>HYPERLINK("https://my.pitchbook.com?c=49912-75T", "View company online")</f>
        <v>View company online</v>
      </c>
    </row>
    <row r="132" spans="1:113" x14ac:dyDescent="0.2">
      <c r="A132" s="3" t="s">
        <v>1778</v>
      </c>
      <c r="B132" s="4" t="s">
        <v>376</v>
      </c>
      <c r="C132" s="5" t="s">
        <v>377</v>
      </c>
      <c r="D132" s="6" t="s">
        <v>378</v>
      </c>
      <c r="E132" s="7" t="s">
        <v>379</v>
      </c>
      <c r="F132" s="8" t="s">
        <v>126</v>
      </c>
      <c r="G132" s="9" t="s">
        <v>127</v>
      </c>
      <c r="H132" s="10" t="s">
        <v>128</v>
      </c>
      <c r="I132" s="11" t="s">
        <v>129</v>
      </c>
      <c r="J132" s="12" t="s">
        <v>130</v>
      </c>
      <c r="K132" s="13" t="s">
        <v>380</v>
      </c>
      <c r="L132" s="14" t="s">
        <v>132</v>
      </c>
      <c r="M132" s="15" t="s">
        <v>133</v>
      </c>
      <c r="N132" s="16" t="s">
        <v>134</v>
      </c>
      <c r="O132" s="17" t="s">
        <v>381</v>
      </c>
      <c r="P132" s="18" t="s">
        <v>382</v>
      </c>
      <c r="Q132" s="19" t="s">
        <v>383</v>
      </c>
      <c r="R132" s="20" t="s">
        <v>384</v>
      </c>
      <c r="S132" s="21" t="s">
        <v>385</v>
      </c>
      <c r="T132" s="22" t="s">
        <v>386</v>
      </c>
      <c r="U132" s="23">
        <v>2</v>
      </c>
      <c r="V132" s="24" t="s">
        <v>1778</v>
      </c>
      <c r="W132" s="25">
        <v>42005</v>
      </c>
      <c r="X132" s="26">
        <v>42600</v>
      </c>
      <c r="Y132" s="27">
        <v>5.37</v>
      </c>
      <c r="Z132" s="28" t="s">
        <v>177</v>
      </c>
      <c r="AA132" s="29">
        <v>6.06</v>
      </c>
      <c r="AB132" s="30">
        <v>11.43</v>
      </c>
      <c r="AC132" s="31" t="s">
        <v>177</v>
      </c>
      <c r="AD132" s="32">
        <v>47.01</v>
      </c>
      <c r="AE132" s="33">
        <v>5.37</v>
      </c>
      <c r="AF132" s="34" t="s">
        <v>1571</v>
      </c>
      <c r="AG132" s="35" t="s">
        <v>141</v>
      </c>
      <c r="AH132" s="36">
        <v>0.9</v>
      </c>
      <c r="AI132" s="37" t="s">
        <v>1517</v>
      </c>
      <c r="AJ132" s="38" t="s">
        <v>1518</v>
      </c>
      <c r="AK132" s="39" t="s">
        <v>1517</v>
      </c>
      <c r="AL132" s="40" t="s">
        <v>141</v>
      </c>
      <c r="AM132" s="41" t="s">
        <v>170</v>
      </c>
      <c r="AN132" s="42" t="s">
        <v>1779</v>
      </c>
      <c r="AO132" s="43">
        <v>5.37</v>
      </c>
      <c r="AP132" s="44" t="s">
        <v>145</v>
      </c>
      <c r="AQ132" s="45" t="s">
        <v>141</v>
      </c>
      <c r="AR132" s="46" t="s">
        <v>141</v>
      </c>
      <c r="AS132" s="47" t="s">
        <v>141</v>
      </c>
      <c r="AT132" s="48" t="s">
        <v>141</v>
      </c>
      <c r="AU132" s="49" t="s">
        <v>141</v>
      </c>
      <c r="AV132" s="50" t="s">
        <v>141</v>
      </c>
      <c r="AW132" s="51" t="s">
        <v>141</v>
      </c>
      <c r="AX132" s="52" t="s">
        <v>141</v>
      </c>
      <c r="AY132" s="53" t="s">
        <v>141</v>
      </c>
      <c r="AZ132" s="54" t="s">
        <v>141</v>
      </c>
      <c r="BA132" s="55" t="s">
        <v>146</v>
      </c>
      <c r="BB132" s="56" t="s">
        <v>133</v>
      </c>
      <c r="BC132" s="57" t="s">
        <v>132</v>
      </c>
      <c r="BD132" s="58">
        <v>30</v>
      </c>
      <c r="BE132" s="59">
        <v>2</v>
      </c>
      <c r="BF132" s="60" t="s">
        <v>1780</v>
      </c>
      <c r="BG132" s="61">
        <v>2</v>
      </c>
      <c r="BH132" s="62" t="s">
        <v>141</v>
      </c>
      <c r="BI132" s="63" t="s">
        <v>141</v>
      </c>
      <c r="BJ132" s="64" t="s">
        <v>141</v>
      </c>
      <c r="BK132" s="65" t="s">
        <v>1781</v>
      </c>
      <c r="BL132" s="66" t="s">
        <v>1782</v>
      </c>
      <c r="BM132" s="67" t="s">
        <v>141</v>
      </c>
      <c r="BN132" s="68" t="s">
        <v>1783</v>
      </c>
      <c r="BO132" s="69" t="s">
        <v>141</v>
      </c>
      <c r="BP132" s="70" t="s">
        <v>141</v>
      </c>
      <c r="BQ132" s="71" t="s">
        <v>141</v>
      </c>
      <c r="BR132" s="72" t="s">
        <v>141</v>
      </c>
      <c r="BS132" s="73" t="s">
        <v>141</v>
      </c>
      <c r="BT132" s="74" t="s">
        <v>141</v>
      </c>
      <c r="BU132" s="75" t="s">
        <v>141</v>
      </c>
      <c r="BV132" s="76" t="s">
        <v>141</v>
      </c>
      <c r="BW132" s="77" t="s">
        <v>141</v>
      </c>
      <c r="BX132" s="78" t="s">
        <v>141</v>
      </c>
      <c r="BY132" s="79" t="s">
        <v>141</v>
      </c>
      <c r="BZ132" s="80" t="s">
        <v>141</v>
      </c>
      <c r="CA132" s="81" t="s">
        <v>141</v>
      </c>
      <c r="CB132" s="82" t="s">
        <v>141</v>
      </c>
      <c r="CC132" s="83" t="s">
        <v>141</v>
      </c>
      <c r="CD132" s="84" t="s">
        <v>141</v>
      </c>
      <c r="CE132" s="85" t="s">
        <v>141</v>
      </c>
      <c r="CF132" s="86" t="s">
        <v>141</v>
      </c>
      <c r="CG132" s="87" t="s">
        <v>141</v>
      </c>
      <c r="CH132" s="88" t="s">
        <v>141</v>
      </c>
      <c r="CI132" s="89" t="s">
        <v>141</v>
      </c>
      <c r="CJ132" s="90" t="s">
        <v>141</v>
      </c>
      <c r="CK132" s="91" t="s">
        <v>141</v>
      </c>
      <c r="CL132" s="92" t="s">
        <v>141</v>
      </c>
      <c r="CM132" s="93" t="s">
        <v>141</v>
      </c>
      <c r="CN132" s="94" t="s">
        <v>141</v>
      </c>
      <c r="CO132" s="95" t="s">
        <v>141</v>
      </c>
      <c r="CP132" s="96" t="s">
        <v>141</v>
      </c>
      <c r="CQ132" s="97" t="s">
        <v>141</v>
      </c>
      <c r="CR132" s="98" t="s">
        <v>141</v>
      </c>
      <c r="CS132" s="99" t="s">
        <v>141</v>
      </c>
      <c r="CT132" s="100" t="s">
        <v>141</v>
      </c>
      <c r="CU132" s="101" t="s">
        <v>141</v>
      </c>
      <c r="CV132" s="102" t="s">
        <v>141</v>
      </c>
      <c r="CW132" s="103" t="s">
        <v>141</v>
      </c>
      <c r="CX132" s="104">
        <v>30</v>
      </c>
      <c r="CY132" s="105" t="s">
        <v>150</v>
      </c>
      <c r="CZ132" s="106" t="s">
        <v>390</v>
      </c>
      <c r="DA132" s="107" t="s">
        <v>152</v>
      </c>
      <c r="DB132" s="108" t="s">
        <v>153</v>
      </c>
      <c r="DC132" s="109" t="s">
        <v>391</v>
      </c>
      <c r="DD132" s="110" t="s">
        <v>392</v>
      </c>
      <c r="DE132" s="111" t="s">
        <v>393</v>
      </c>
      <c r="DF132" s="112" t="s">
        <v>157</v>
      </c>
      <c r="DG132" s="113">
        <v>2015</v>
      </c>
      <c r="DH132" s="114" t="s">
        <v>394</v>
      </c>
      <c r="DI132" s="227" t="str">
        <f>HYPERLINK("https://my.pitchbook.com?c=55881-19T", "View company online")</f>
        <v>View company online</v>
      </c>
    </row>
    <row r="133" spans="1:113" x14ac:dyDescent="0.2">
      <c r="A133" s="115" t="s">
        <v>1784</v>
      </c>
      <c r="B133" s="116" t="s">
        <v>376</v>
      </c>
      <c r="C133" s="117" t="s">
        <v>377</v>
      </c>
      <c r="D133" s="118" t="s">
        <v>378</v>
      </c>
      <c r="E133" s="119" t="s">
        <v>379</v>
      </c>
      <c r="F133" s="120" t="s">
        <v>126</v>
      </c>
      <c r="G133" s="121" t="s">
        <v>127</v>
      </c>
      <c r="H133" s="122" t="s">
        <v>128</v>
      </c>
      <c r="I133" s="123" t="s">
        <v>129</v>
      </c>
      <c r="J133" s="124" t="s">
        <v>130</v>
      </c>
      <c r="K133" s="125" t="s">
        <v>380</v>
      </c>
      <c r="L133" s="126" t="s">
        <v>132</v>
      </c>
      <c r="M133" s="127" t="s">
        <v>133</v>
      </c>
      <c r="N133" s="128" t="s">
        <v>134</v>
      </c>
      <c r="O133" s="129" t="s">
        <v>381</v>
      </c>
      <c r="P133" s="130" t="s">
        <v>382</v>
      </c>
      <c r="Q133" s="131" t="s">
        <v>383</v>
      </c>
      <c r="R133" s="132" t="s">
        <v>384</v>
      </c>
      <c r="S133" s="133" t="s">
        <v>385</v>
      </c>
      <c r="T133" s="134" t="s">
        <v>386</v>
      </c>
      <c r="U133" s="135">
        <v>3</v>
      </c>
      <c r="V133" s="136" t="s">
        <v>1784</v>
      </c>
      <c r="W133" s="137" t="s">
        <v>141</v>
      </c>
      <c r="X133" s="138">
        <v>42807</v>
      </c>
      <c r="Y133" s="139" t="s">
        <v>141</v>
      </c>
      <c r="Z133" s="140" t="s">
        <v>141</v>
      </c>
      <c r="AA133" s="141" t="s">
        <v>141</v>
      </c>
      <c r="AB133" s="142" t="s">
        <v>141</v>
      </c>
      <c r="AC133" s="143" t="s">
        <v>141</v>
      </c>
      <c r="AD133" s="144" t="s">
        <v>141</v>
      </c>
      <c r="AE133" s="145" t="s">
        <v>141</v>
      </c>
      <c r="AF133" s="146" t="s">
        <v>1582</v>
      </c>
      <c r="AG133" s="147" t="s">
        <v>141</v>
      </c>
      <c r="AH133" s="148" t="s">
        <v>141</v>
      </c>
      <c r="AI133" s="149" t="s">
        <v>1551</v>
      </c>
      <c r="AJ133" s="150" t="s">
        <v>1518</v>
      </c>
      <c r="AK133" s="151" t="s">
        <v>1551</v>
      </c>
      <c r="AL133" s="152" t="s">
        <v>141</v>
      </c>
      <c r="AM133" s="153" t="s">
        <v>170</v>
      </c>
      <c r="AN133" s="154" t="s">
        <v>1785</v>
      </c>
      <c r="AO133" s="155" t="s">
        <v>141</v>
      </c>
      <c r="AP133" s="156" t="s">
        <v>145</v>
      </c>
      <c r="AQ133" s="157" t="s">
        <v>141</v>
      </c>
      <c r="AR133" s="158" t="s">
        <v>141</v>
      </c>
      <c r="AS133" s="159" t="s">
        <v>141</v>
      </c>
      <c r="AT133" s="160" t="s">
        <v>141</v>
      </c>
      <c r="AU133" s="161" t="s">
        <v>141</v>
      </c>
      <c r="AV133" s="162" t="s">
        <v>141</v>
      </c>
      <c r="AW133" s="163" t="s">
        <v>141</v>
      </c>
      <c r="AX133" s="164" t="s">
        <v>141</v>
      </c>
      <c r="AY133" s="165" t="s">
        <v>141</v>
      </c>
      <c r="AZ133" s="166" t="s">
        <v>141</v>
      </c>
      <c r="BA133" s="167" t="s">
        <v>1283</v>
      </c>
      <c r="BB133" s="168" t="s">
        <v>133</v>
      </c>
      <c r="BC133" s="169" t="s">
        <v>1786</v>
      </c>
      <c r="BD133" s="170" t="s">
        <v>141</v>
      </c>
      <c r="BE133" s="171" t="s">
        <v>141</v>
      </c>
      <c r="BF133" s="172" t="s">
        <v>141</v>
      </c>
      <c r="BG133" s="173" t="s">
        <v>141</v>
      </c>
      <c r="BH133" s="174" t="s">
        <v>141</v>
      </c>
      <c r="BI133" s="175" t="s">
        <v>141</v>
      </c>
      <c r="BJ133" s="176" t="s">
        <v>141</v>
      </c>
      <c r="BK133" s="177" t="s">
        <v>141</v>
      </c>
      <c r="BL133" s="178" t="s">
        <v>141</v>
      </c>
      <c r="BM133" s="179" t="s">
        <v>141</v>
      </c>
      <c r="BN133" s="180" t="s">
        <v>141</v>
      </c>
      <c r="BO133" s="181" t="s">
        <v>141</v>
      </c>
      <c r="BP133" s="182" t="s">
        <v>141</v>
      </c>
      <c r="BQ133" s="183" t="s">
        <v>141</v>
      </c>
      <c r="BR133" s="184" t="s">
        <v>141</v>
      </c>
      <c r="BS133" s="185" t="s">
        <v>141</v>
      </c>
      <c r="BT133" s="186" t="s">
        <v>141</v>
      </c>
      <c r="BU133" s="187" t="s">
        <v>141</v>
      </c>
      <c r="BV133" s="188" t="s">
        <v>141</v>
      </c>
      <c r="BW133" s="189" t="s">
        <v>141</v>
      </c>
      <c r="BX133" s="190" t="s">
        <v>141</v>
      </c>
      <c r="BY133" s="191" t="s">
        <v>141</v>
      </c>
      <c r="BZ133" s="192" t="s">
        <v>141</v>
      </c>
      <c r="CA133" s="193" t="s">
        <v>141</v>
      </c>
      <c r="CB133" s="194" t="s">
        <v>141</v>
      </c>
      <c r="CC133" s="195" t="s">
        <v>141</v>
      </c>
      <c r="CD133" s="196" t="s">
        <v>141</v>
      </c>
      <c r="CE133" s="197" t="s">
        <v>141</v>
      </c>
      <c r="CF133" s="198" t="s">
        <v>141</v>
      </c>
      <c r="CG133" s="199" t="s">
        <v>141</v>
      </c>
      <c r="CH133" s="200" t="s">
        <v>141</v>
      </c>
      <c r="CI133" s="201" t="s">
        <v>141</v>
      </c>
      <c r="CJ133" s="202" t="s">
        <v>141</v>
      </c>
      <c r="CK133" s="203" t="s">
        <v>141</v>
      </c>
      <c r="CL133" s="204" t="s">
        <v>141</v>
      </c>
      <c r="CM133" s="205" t="s">
        <v>141</v>
      </c>
      <c r="CN133" s="206" t="s">
        <v>141</v>
      </c>
      <c r="CO133" s="207" t="s">
        <v>141</v>
      </c>
      <c r="CP133" s="208" t="s">
        <v>141</v>
      </c>
      <c r="CQ133" s="209" t="s">
        <v>141</v>
      </c>
      <c r="CR133" s="210" t="s">
        <v>141</v>
      </c>
      <c r="CS133" s="211" t="s">
        <v>141</v>
      </c>
      <c r="CT133" s="212" t="s">
        <v>141</v>
      </c>
      <c r="CU133" s="213" t="s">
        <v>141</v>
      </c>
      <c r="CV133" s="214" t="s">
        <v>141</v>
      </c>
      <c r="CW133" s="215" t="s">
        <v>141</v>
      </c>
      <c r="CX133" s="216">
        <v>30</v>
      </c>
      <c r="CY133" s="217" t="s">
        <v>150</v>
      </c>
      <c r="CZ133" s="218" t="s">
        <v>390</v>
      </c>
      <c r="DA133" s="219" t="s">
        <v>152</v>
      </c>
      <c r="DB133" s="220" t="s">
        <v>153</v>
      </c>
      <c r="DC133" s="221" t="s">
        <v>391</v>
      </c>
      <c r="DD133" s="222" t="s">
        <v>392</v>
      </c>
      <c r="DE133" s="223" t="s">
        <v>393</v>
      </c>
      <c r="DF133" s="224" t="s">
        <v>157</v>
      </c>
      <c r="DG133" s="225">
        <v>2015</v>
      </c>
      <c r="DH133" s="226" t="s">
        <v>394</v>
      </c>
      <c r="DI133" s="228" t="str">
        <f>HYPERLINK("https://my.pitchbook.com?c=84735-55T", "View company online")</f>
        <v>View company online</v>
      </c>
    </row>
    <row r="134" spans="1:113" x14ac:dyDescent="0.2">
      <c r="A134" s="3" t="s">
        <v>1787</v>
      </c>
      <c r="B134" s="4" t="s">
        <v>376</v>
      </c>
      <c r="C134" s="5" t="s">
        <v>377</v>
      </c>
      <c r="D134" s="6" t="s">
        <v>378</v>
      </c>
      <c r="E134" s="7" t="s">
        <v>379</v>
      </c>
      <c r="F134" s="8" t="s">
        <v>126</v>
      </c>
      <c r="G134" s="9" t="s">
        <v>127</v>
      </c>
      <c r="H134" s="10" t="s">
        <v>128</v>
      </c>
      <c r="I134" s="11" t="s">
        <v>129</v>
      </c>
      <c r="J134" s="12" t="s">
        <v>130</v>
      </c>
      <c r="K134" s="13" t="s">
        <v>380</v>
      </c>
      <c r="L134" s="14" t="s">
        <v>132</v>
      </c>
      <c r="M134" s="15" t="s">
        <v>133</v>
      </c>
      <c r="N134" s="16" t="s">
        <v>134</v>
      </c>
      <c r="O134" s="17" t="s">
        <v>381</v>
      </c>
      <c r="P134" s="18" t="s">
        <v>382</v>
      </c>
      <c r="Q134" s="19" t="s">
        <v>383</v>
      </c>
      <c r="R134" s="20" t="s">
        <v>384</v>
      </c>
      <c r="S134" s="21" t="s">
        <v>385</v>
      </c>
      <c r="T134" s="22" t="s">
        <v>386</v>
      </c>
      <c r="U134" s="23">
        <v>4</v>
      </c>
      <c r="V134" s="24" t="s">
        <v>1787</v>
      </c>
      <c r="W134" s="25" t="s">
        <v>141</v>
      </c>
      <c r="X134" s="26">
        <v>42787</v>
      </c>
      <c r="Y134" s="27">
        <v>3</v>
      </c>
      <c r="Z134" s="28" t="s">
        <v>177</v>
      </c>
      <c r="AA134" s="29" t="s">
        <v>141</v>
      </c>
      <c r="AB134" s="30" t="s">
        <v>141</v>
      </c>
      <c r="AC134" s="31" t="s">
        <v>141</v>
      </c>
      <c r="AD134" s="32" t="s">
        <v>141</v>
      </c>
      <c r="AE134" s="33">
        <v>8.3699999999999992</v>
      </c>
      <c r="AF134" s="34" t="s">
        <v>1516</v>
      </c>
      <c r="AG134" s="35" t="s">
        <v>141</v>
      </c>
      <c r="AH134" s="36" t="s">
        <v>141</v>
      </c>
      <c r="AI134" s="37" t="s">
        <v>141</v>
      </c>
      <c r="AJ134" s="38" t="s">
        <v>1518</v>
      </c>
      <c r="AK134" s="39" t="s">
        <v>141</v>
      </c>
      <c r="AL134" s="40" t="s">
        <v>141</v>
      </c>
      <c r="AM134" s="41" t="s">
        <v>170</v>
      </c>
      <c r="AN134" s="42" t="s">
        <v>379</v>
      </c>
      <c r="AO134" s="43" t="s">
        <v>141</v>
      </c>
      <c r="AP134" s="44" t="s">
        <v>145</v>
      </c>
      <c r="AQ134" s="45" t="s">
        <v>141</v>
      </c>
      <c r="AR134" s="46" t="s">
        <v>141</v>
      </c>
      <c r="AS134" s="47" t="s">
        <v>281</v>
      </c>
      <c r="AT134" s="48" t="s">
        <v>141</v>
      </c>
      <c r="AU134" s="49" t="s">
        <v>141</v>
      </c>
      <c r="AV134" s="50">
        <v>3</v>
      </c>
      <c r="AW134" s="51" t="s">
        <v>141</v>
      </c>
      <c r="AX134" s="52" t="s">
        <v>141</v>
      </c>
      <c r="AY134" s="53">
        <v>3</v>
      </c>
      <c r="AZ134" s="54" t="s">
        <v>141</v>
      </c>
      <c r="BA134" s="55" t="s">
        <v>146</v>
      </c>
      <c r="BB134" s="56" t="s">
        <v>133</v>
      </c>
      <c r="BC134" s="57" t="s">
        <v>132</v>
      </c>
      <c r="BD134" s="58">
        <v>30</v>
      </c>
      <c r="BE134" s="59" t="s">
        <v>141</v>
      </c>
      <c r="BF134" s="60" t="s">
        <v>141</v>
      </c>
      <c r="BG134" s="61" t="s">
        <v>141</v>
      </c>
      <c r="BH134" s="62" t="s">
        <v>141</v>
      </c>
      <c r="BI134" s="63" t="s">
        <v>141</v>
      </c>
      <c r="BJ134" s="64" t="s">
        <v>141</v>
      </c>
      <c r="BK134" s="65" t="s">
        <v>141</v>
      </c>
      <c r="BL134" s="66" t="s">
        <v>141</v>
      </c>
      <c r="BM134" s="67" t="s">
        <v>141</v>
      </c>
      <c r="BN134" s="68" t="s">
        <v>141</v>
      </c>
      <c r="BO134" s="69" t="s">
        <v>141</v>
      </c>
      <c r="BP134" s="70" t="s">
        <v>141</v>
      </c>
      <c r="BQ134" s="71" t="s">
        <v>141</v>
      </c>
      <c r="BR134" s="72" t="s">
        <v>141</v>
      </c>
      <c r="BS134" s="73" t="s">
        <v>141</v>
      </c>
      <c r="BT134" s="74" t="s">
        <v>141</v>
      </c>
      <c r="BU134" s="75" t="s">
        <v>141</v>
      </c>
      <c r="BV134" s="76" t="s">
        <v>141</v>
      </c>
      <c r="BW134" s="77" t="s">
        <v>141</v>
      </c>
      <c r="BX134" s="78" t="s">
        <v>141</v>
      </c>
      <c r="BY134" s="79" t="s">
        <v>141</v>
      </c>
      <c r="BZ134" s="80" t="s">
        <v>141</v>
      </c>
      <c r="CA134" s="81" t="s">
        <v>141</v>
      </c>
      <c r="CB134" s="82" t="s">
        <v>141</v>
      </c>
      <c r="CC134" s="83" t="s">
        <v>141</v>
      </c>
      <c r="CD134" s="84" t="s">
        <v>141</v>
      </c>
      <c r="CE134" s="85" t="s">
        <v>141</v>
      </c>
      <c r="CF134" s="86" t="s">
        <v>141</v>
      </c>
      <c r="CG134" s="87" t="s">
        <v>141</v>
      </c>
      <c r="CH134" s="88" t="s">
        <v>141</v>
      </c>
      <c r="CI134" s="89" t="s">
        <v>141</v>
      </c>
      <c r="CJ134" s="90" t="s">
        <v>141</v>
      </c>
      <c r="CK134" s="91" t="s">
        <v>141</v>
      </c>
      <c r="CL134" s="92" t="s">
        <v>141</v>
      </c>
      <c r="CM134" s="93" t="s">
        <v>141</v>
      </c>
      <c r="CN134" s="94" t="s">
        <v>141</v>
      </c>
      <c r="CO134" s="95" t="s">
        <v>141</v>
      </c>
      <c r="CP134" s="96" t="s">
        <v>141</v>
      </c>
      <c r="CQ134" s="97" t="s">
        <v>141</v>
      </c>
      <c r="CR134" s="98" t="s">
        <v>141</v>
      </c>
      <c r="CS134" s="99" t="s">
        <v>141</v>
      </c>
      <c r="CT134" s="100" t="s">
        <v>141</v>
      </c>
      <c r="CU134" s="101" t="s">
        <v>141</v>
      </c>
      <c r="CV134" s="102" t="s">
        <v>141</v>
      </c>
      <c r="CW134" s="103" t="s">
        <v>141</v>
      </c>
      <c r="CX134" s="104">
        <v>30</v>
      </c>
      <c r="CY134" s="105" t="s">
        <v>150</v>
      </c>
      <c r="CZ134" s="106" t="s">
        <v>390</v>
      </c>
      <c r="DA134" s="107" t="s">
        <v>152</v>
      </c>
      <c r="DB134" s="108" t="s">
        <v>153</v>
      </c>
      <c r="DC134" s="109" t="s">
        <v>391</v>
      </c>
      <c r="DD134" s="110" t="s">
        <v>392</v>
      </c>
      <c r="DE134" s="111" t="s">
        <v>393</v>
      </c>
      <c r="DF134" s="112" t="s">
        <v>157</v>
      </c>
      <c r="DG134" s="113">
        <v>2015</v>
      </c>
      <c r="DH134" s="114" t="s">
        <v>394</v>
      </c>
      <c r="DI134" s="227" t="str">
        <f>HYPERLINK("https://my.pitchbook.com?c=102642-85T", "View company online")</f>
        <v>View company online</v>
      </c>
    </row>
    <row r="135" spans="1:113" x14ac:dyDescent="0.2">
      <c r="A135" s="115" t="s">
        <v>1788</v>
      </c>
      <c r="B135" s="116" t="s">
        <v>1789</v>
      </c>
      <c r="C135" s="117" t="s">
        <v>1790</v>
      </c>
      <c r="D135" s="118" t="s">
        <v>1791</v>
      </c>
      <c r="E135" s="119" t="s">
        <v>1792</v>
      </c>
      <c r="F135" s="120" t="s">
        <v>126</v>
      </c>
      <c r="G135" s="121" t="s">
        <v>456</v>
      </c>
      <c r="H135" s="122" t="s">
        <v>457</v>
      </c>
      <c r="I135" s="123" t="s">
        <v>1793</v>
      </c>
      <c r="J135" s="124" t="s">
        <v>1794</v>
      </c>
      <c r="K135" s="125" t="s">
        <v>1795</v>
      </c>
      <c r="L135" s="126" t="s">
        <v>132</v>
      </c>
      <c r="M135" s="127" t="s">
        <v>133</v>
      </c>
      <c r="N135" s="128" t="s">
        <v>134</v>
      </c>
      <c r="O135" s="129" t="s">
        <v>1796</v>
      </c>
      <c r="P135" s="130" t="s">
        <v>1797</v>
      </c>
      <c r="Q135" s="131" t="s">
        <v>1798</v>
      </c>
      <c r="R135" s="132" t="s">
        <v>1799</v>
      </c>
      <c r="S135" s="133" t="s">
        <v>1800</v>
      </c>
      <c r="T135" s="134" t="s">
        <v>141</v>
      </c>
      <c r="U135" s="135">
        <v>2</v>
      </c>
      <c r="V135" s="136" t="s">
        <v>1788</v>
      </c>
      <c r="W135" s="137" t="s">
        <v>141</v>
      </c>
      <c r="X135" s="138">
        <v>42736</v>
      </c>
      <c r="Y135" s="139" t="s">
        <v>141</v>
      </c>
      <c r="Z135" s="140" t="s">
        <v>141</v>
      </c>
      <c r="AA135" s="141" t="s">
        <v>141</v>
      </c>
      <c r="AB135" s="142" t="s">
        <v>141</v>
      </c>
      <c r="AC135" s="143" t="s">
        <v>141</v>
      </c>
      <c r="AD135" s="144" t="s">
        <v>141</v>
      </c>
      <c r="AE135" s="145" t="s">
        <v>141</v>
      </c>
      <c r="AF135" s="146" t="s">
        <v>1582</v>
      </c>
      <c r="AG135" s="147" t="s">
        <v>141</v>
      </c>
      <c r="AH135" s="148" t="s">
        <v>141</v>
      </c>
      <c r="AI135" s="149" t="s">
        <v>141</v>
      </c>
      <c r="AJ135" s="150" t="s">
        <v>1518</v>
      </c>
      <c r="AK135" s="151" t="s">
        <v>141</v>
      </c>
      <c r="AL135" s="152" t="s">
        <v>141</v>
      </c>
      <c r="AM135" s="153" t="s">
        <v>170</v>
      </c>
      <c r="AN135" s="154" t="s">
        <v>1801</v>
      </c>
      <c r="AO135" s="155" t="s">
        <v>141</v>
      </c>
      <c r="AP135" s="156" t="s">
        <v>145</v>
      </c>
      <c r="AQ135" s="157" t="s">
        <v>141</v>
      </c>
      <c r="AR135" s="158" t="s">
        <v>141</v>
      </c>
      <c r="AS135" s="159" t="s">
        <v>141</v>
      </c>
      <c r="AT135" s="160" t="s">
        <v>141</v>
      </c>
      <c r="AU135" s="161" t="s">
        <v>141</v>
      </c>
      <c r="AV135" s="162" t="s">
        <v>141</v>
      </c>
      <c r="AW135" s="163" t="s">
        <v>141</v>
      </c>
      <c r="AX135" s="164" t="s">
        <v>141</v>
      </c>
      <c r="AY135" s="165" t="s">
        <v>141</v>
      </c>
      <c r="AZ135" s="166" t="s">
        <v>141</v>
      </c>
      <c r="BA135" s="167" t="s">
        <v>146</v>
      </c>
      <c r="BB135" s="168" t="s">
        <v>133</v>
      </c>
      <c r="BC135" s="169" t="s">
        <v>132</v>
      </c>
      <c r="BD135" s="170" t="s">
        <v>141</v>
      </c>
      <c r="BE135" s="171">
        <v>1</v>
      </c>
      <c r="BF135" s="172" t="s">
        <v>1802</v>
      </c>
      <c r="BG135" s="173">
        <v>1</v>
      </c>
      <c r="BH135" s="174" t="s">
        <v>141</v>
      </c>
      <c r="BI135" s="175" t="s">
        <v>141</v>
      </c>
      <c r="BJ135" s="176" t="s">
        <v>141</v>
      </c>
      <c r="BK135" s="177" t="s">
        <v>141</v>
      </c>
      <c r="BL135" s="178" t="s">
        <v>1803</v>
      </c>
      <c r="BM135" s="179" t="s">
        <v>1803</v>
      </c>
      <c r="BN135" s="180" t="s">
        <v>141</v>
      </c>
      <c r="BO135" s="181" t="s">
        <v>141</v>
      </c>
      <c r="BP135" s="182" t="s">
        <v>141</v>
      </c>
      <c r="BQ135" s="183" t="s">
        <v>141</v>
      </c>
      <c r="BR135" s="184" t="s">
        <v>141</v>
      </c>
      <c r="BS135" s="185" t="s">
        <v>141</v>
      </c>
      <c r="BT135" s="186" t="s">
        <v>141</v>
      </c>
      <c r="BU135" s="187" t="s">
        <v>141</v>
      </c>
      <c r="BV135" s="188" t="s">
        <v>141</v>
      </c>
      <c r="BW135" s="189" t="s">
        <v>141</v>
      </c>
      <c r="BX135" s="190" t="s">
        <v>141</v>
      </c>
      <c r="BY135" s="191" t="s">
        <v>141</v>
      </c>
      <c r="BZ135" s="192" t="s">
        <v>141</v>
      </c>
      <c r="CA135" s="193" t="s">
        <v>141</v>
      </c>
      <c r="CB135" s="194" t="s">
        <v>141</v>
      </c>
      <c r="CC135" s="195" t="s">
        <v>141</v>
      </c>
      <c r="CD135" s="196" t="s">
        <v>141</v>
      </c>
      <c r="CE135" s="197" t="s">
        <v>141</v>
      </c>
      <c r="CF135" s="198" t="s">
        <v>141</v>
      </c>
      <c r="CG135" s="199" t="s">
        <v>141</v>
      </c>
      <c r="CH135" s="200" t="s">
        <v>141</v>
      </c>
      <c r="CI135" s="201" t="s">
        <v>141</v>
      </c>
      <c r="CJ135" s="202" t="s">
        <v>141</v>
      </c>
      <c r="CK135" s="203" t="s">
        <v>141</v>
      </c>
      <c r="CL135" s="204" t="s">
        <v>141</v>
      </c>
      <c r="CM135" s="205" t="s">
        <v>141</v>
      </c>
      <c r="CN135" s="206" t="s">
        <v>141</v>
      </c>
      <c r="CO135" s="207" t="s">
        <v>141</v>
      </c>
      <c r="CP135" s="208" t="s">
        <v>141</v>
      </c>
      <c r="CQ135" s="209" t="s">
        <v>141</v>
      </c>
      <c r="CR135" s="210" t="s">
        <v>141</v>
      </c>
      <c r="CS135" s="211" t="s">
        <v>141</v>
      </c>
      <c r="CT135" s="212" t="s">
        <v>141</v>
      </c>
      <c r="CU135" s="213" t="s">
        <v>141</v>
      </c>
      <c r="CV135" s="214" t="s">
        <v>141</v>
      </c>
      <c r="CW135" s="215" t="s">
        <v>141</v>
      </c>
      <c r="CX135" s="216" t="s">
        <v>141</v>
      </c>
      <c r="CY135" s="217" t="s">
        <v>150</v>
      </c>
      <c r="CZ135" s="218" t="s">
        <v>200</v>
      </c>
      <c r="DA135" s="219" t="s">
        <v>152</v>
      </c>
      <c r="DB135" s="220" t="s">
        <v>153</v>
      </c>
      <c r="DC135" s="221" t="s">
        <v>201</v>
      </c>
      <c r="DD135" s="222" t="s">
        <v>201</v>
      </c>
      <c r="DE135" s="223" t="s">
        <v>1804</v>
      </c>
      <c r="DF135" s="224" t="s">
        <v>157</v>
      </c>
      <c r="DG135" s="225">
        <v>2015</v>
      </c>
      <c r="DH135" s="226" t="s">
        <v>1805</v>
      </c>
      <c r="DI135" s="228" t="str">
        <f>HYPERLINK("https://my.pitchbook.com?c=100746-19T", "View company online")</f>
        <v>View company online</v>
      </c>
    </row>
    <row r="136" spans="1:113" x14ac:dyDescent="0.2">
      <c r="A136" s="3" t="s">
        <v>1806</v>
      </c>
      <c r="B136" s="4" t="s">
        <v>1789</v>
      </c>
      <c r="C136" s="5" t="s">
        <v>1790</v>
      </c>
      <c r="D136" s="6" t="s">
        <v>1791</v>
      </c>
      <c r="E136" s="7" t="s">
        <v>1792</v>
      </c>
      <c r="F136" s="8" t="s">
        <v>126</v>
      </c>
      <c r="G136" s="9" t="s">
        <v>456</v>
      </c>
      <c r="H136" s="10" t="s">
        <v>457</v>
      </c>
      <c r="I136" s="11" t="s">
        <v>1793</v>
      </c>
      <c r="J136" s="12" t="s">
        <v>1794</v>
      </c>
      <c r="K136" s="13" t="s">
        <v>1795</v>
      </c>
      <c r="L136" s="14" t="s">
        <v>132</v>
      </c>
      <c r="M136" s="15" t="s">
        <v>133</v>
      </c>
      <c r="N136" s="16" t="s">
        <v>134</v>
      </c>
      <c r="O136" s="17" t="s">
        <v>1796</v>
      </c>
      <c r="P136" s="18" t="s">
        <v>1797</v>
      </c>
      <c r="Q136" s="19" t="s">
        <v>1798</v>
      </c>
      <c r="R136" s="20" t="s">
        <v>1799</v>
      </c>
      <c r="S136" s="21" t="s">
        <v>1800</v>
      </c>
      <c r="T136" s="22" t="s">
        <v>141</v>
      </c>
      <c r="U136" s="23">
        <v>3</v>
      </c>
      <c r="V136" s="24" t="s">
        <v>1806</v>
      </c>
      <c r="W136" s="25" t="s">
        <v>141</v>
      </c>
      <c r="X136" s="26">
        <v>43475</v>
      </c>
      <c r="Y136" s="27" t="s">
        <v>141</v>
      </c>
      <c r="Z136" s="28" t="s">
        <v>141</v>
      </c>
      <c r="AA136" s="29" t="s">
        <v>141</v>
      </c>
      <c r="AB136" s="30" t="s">
        <v>141</v>
      </c>
      <c r="AC136" s="31" t="s">
        <v>141</v>
      </c>
      <c r="AD136" s="32" t="s">
        <v>141</v>
      </c>
      <c r="AE136" s="33" t="s">
        <v>141</v>
      </c>
      <c r="AF136" s="34" t="s">
        <v>1516</v>
      </c>
      <c r="AG136" s="35" t="s">
        <v>141</v>
      </c>
      <c r="AH136" s="36" t="s">
        <v>141</v>
      </c>
      <c r="AI136" s="37" t="s">
        <v>141</v>
      </c>
      <c r="AJ136" s="38" t="s">
        <v>1518</v>
      </c>
      <c r="AK136" s="39" t="s">
        <v>141</v>
      </c>
      <c r="AL136" s="40" t="s">
        <v>141</v>
      </c>
      <c r="AM136" s="41" t="s">
        <v>170</v>
      </c>
      <c r="AN136" s="42" t="s">
        <v>1792</v>
      </c>
      <c r="AO136" s="43" t="s">
        <v>141</v>
      </c>
      <c r="AP136" s="44" t="s">
        <v>145</v>
      </c>
      <c r="AQ136" s="45" t="s">
        <v>141</v>
      </c>
      <c r="AR136" s="46" t="s">
        <v>141</v>
      </c>
      <c r="AS136" s="47" t="s">
        <v>141</v>
      </c>
      <c r="AT136" s="48" t="s">
        <v>141</v>
      </c>
      <c r="AU136" s="49" t="s">
        <v>141</v>
      </c>
      <c r="AV136" s="50" t="s">
        <v>141</v>
      </c>
      <c r="AW136" s="51" t="s">
        <v>141</v>
      </c>
      <c r="AX136" s="52" t="s">
        <v>141</v>
      </c>
      <c r="AY136" s="53" t="s">
        <v>141</v>
      </c>
      <c r="AZ136" s="54" t="s">
        <v>141</v>
      </c>
      <c r="BA136" s="55" t="s">
        <v>146</v>
      </c>
      <c r="BB136" s="56" t="s">
        <v>133</v>
      </c>
      <c r="BC136" s="57" t="s">
        <v>132</v>
      </c>
      <c r="BD136" s="58" t="s">
        <v>141</v>
      </c>
      <c r="BE136" s="59">
        <v>2</v>
      </c>
      <c r="BF136" s="60" t="s">
        <v>1807</v>
      </c>
      <c r="BG136" s="61">
        <v>1</v>
      </c>
      <c r="BH136" s="62" t="s">
        <v>1802</v>
      </c>
      <c r="BI136" s="63">
        <v>1</v>
      </c>
      <c r="BJ136" s="64" t="s">
        <v>141</v>
      </c>
      <c r="BK136" s="65" t="s">
        <v>1808</v>
      </c>
      <c r="BL136" s="66" t="s">
        <v>1809</v>
      </c>
      <c r="BM136" s="67" t="s">
        <v>141</v>
      </c>
      <c r="BN136" s="68" t="s">
        <v>141</v>
      </c>
      <c r="BO136" s="69" t="s">
        <v>141</v>
      </c>
      <c r="BP136" s="70" t="s">
        <v>141</v>
      </c>
      <c r="BQ136" s="71" t="s">
        <v>141</v>
      </c>
      <c r="BR136" s="72" t="s">
        <v>141</v>
      </c>
      <c r="BS136" s="73" t="s">
        <v>141</v>
      </c>
      <c r="BT136" s="74" t="s">
        <v>141</v>
      </c>
      <c r="BU136" s="75" t="s">
        <v>141</v>
      </c>
      <c r="BV136" s="76" t="s">
        <v>141</v>
      </c>
      <c r="BW136" s="77" t="s">
        <v>141</v>
      </c>
      <c r="BX136" s="78" t="s">
        <v>141</v>
      </c>
      <c r="BY136" s="79" t="s">
        <v>141</v>
      </c>
      <c r="BZ136" s="80" t="s">
        <v>141</v>
      </c>
      <c r="CA136" s="81" t="s">
        <v>141</v>
      </c>
      <c r="CB136" s="82" t="s">
        <v>141</v>
      </c>
      <c r="CC136" s="83" t="s">
        <v>141</v>
      </c>
      <c r="CD136" s="84" t="s">
        <v>141</v>
      </c>
      <c r="CE136" s="85" t="s">
        <v>141</v>
      </c>
      <c r="CF136" s="86" t="s">
        <v>141</v>
      </c>
      <c r="CG136" s="87" t="s">
        <v>141</v>
      </c>
      <c r="CH136" s="88" t="s">
        <v>141</v>
      </c>
      <c r="CI136" s="89" t="s">
        <v>141</v>
      </c>
      <c r="CJ136" s="90" t="s">
        <v>141</v>
      </c>
      <c r="CK136" s="91" t="s">
        <v>141</v>
      </c>
      <c r="CL136" s="92" t="s">
        <v>141</v>
      </c>
      <c r="CM136" s="93" t="s">
        <v>141</v>
      </c>
      <c r="CN136" s="94" t="s">
        <v>141</v>
      </c>
      <c r="CO136" s="95" t="s">
        <v>141</v>
      </c>
      <c r="CP136" s="96" t="s">
        <v>141</v>
      </c>
      <c r="CQ136" s="97" t="s">
        <v>141</v>
      </c>
      <c r="CR136" s="98" t="s">
        <v>141</v>
      </c>
      <c r="CS136" s="99" t="s">
        <v>141</v>
      </c>
      <c r="CT136" s="100" t="s">
        <v>141</v>
      </c>
      <c r="CU136" s="101" t="s">
        <v>141</v>
      </c>
      <c r="CV136" s="102" t="s">
        <v>141</v>
      </c>
      <c r="CW136" s="103" t="s">
        <v>141</v>
      </c>
      <c r="CX136" s="104" t="s">
        <v>141</v>
      </c>
      <c r="CY136" s="105" t="s">
        <v>150</v>
      </c>
      <c r="CZ136" s="106" t="s">
        <v>200</v>
      </c>
      <c r="DA136" s="107" t="s">
        <v>152</v>
      </c>
      <c r="DB136" s="108" t="s">
        <v>153</v>
      </c>
      <c r="DC136" s="109" t="s">
        <v>201</v>
      </c>
      <c r="DD136" s="110" t="s">
        <v>201</v>
      </c>
      <c r="DE136" s="111" t="s">
        <v>1804</v>
      </c>
      <c r="DF136" s="112" t="s">
        <v>157</v>
      </c>
      <c r="DG136" s="113">
        <v>2015</v>
      </c>
      <c r="DH136" s="114" t="s">
        <v>1805</v>
      </c>
      <c r="DI136" s="227" t="str">
        <f>HYPERLINK("https://my.pitchbook.com?c=116362-45T", "View company online")</f>
        <v>View company online</v>
      </c>
    </row>
    <row r="137" spans="1:113" x14ac:dyDescent="0.2">
      <c r="A137" s="115" t="s">
        <v>1810</v>
      </c>
      <c r="B137" s="116" t="s">
        <v>1811</v>
      </c>
      <c r="C137" s="117" t="s">
        <v>1812</v>
      </c>
      <c r="D137" s="118" t="s">
        <v>1813</v>
      </c>
      <c r="E137" s="119" t="s">
        <v>1814</v>
      </c>
      <c r="F137" s="120" t="s">
        <v>126</v>
      </c>
      <c r="G137" s="121" t="s">
        <v>456</v>
      </c>
      <c r="H137" s="122" t="s">
        <v>457</v>
      </c>
      <c r="I137" s="123" t="s">
        <v>1815</v>
      </c>
      <c r="J137" s="124" t="s">
        <v>168</v>
      </c>
      <c r="K137" s="125" t="s">
        <v>1816</v>
      </c>
      <c r="L137" s="126" t="s">
        <v>132</v>
      </c>
      <c r="M137" s="127" t="s">
        <v>133</v>
      </c>
      <c r="N137" s="128" t="s">
        <v>134</v>
      </c>
      <c r="O137" s="129" t="s">
        <v>1817</v>
      </c>
      <c r="P137" s="130" t="s">
        <v>1818</v>
      </c>
      <c r="Q137" s="131" t="s">
        <v>141</v>
      </c>
      <c r="R137" s="132" t="s">
        <v>141</v>
      </c>
      <c r="S137" s="133" t="s">
        <v>1819</v>
      </c>
      <c r="T137" s="134" t="s">
        <v>1820</v>
      </c>
      <c r="U137" s="135">
        <v>1</v>
      </c>
      <c r="V137" s="136" t="s">
        <v>1810</v>
      </c>
      <c r="W137" s="137" t="s">
        <v>141</v>
      </c>
      <c r="X137" s="138">
        <v>41426</v>
      </c>
      <c r="Y137" s="139" t="s">
        <v>141</v>
      </c>
      <c r="Z137" s="140" t="s">
        <v>141</v>
      </c>
      <c r="AA137" s="141" t="s">
        <v>141</v>
      </c>
      <c r="AB137" s="142" t="s">
        <v>141</v>
      </c>
      <c r="AC137" s="143" t="s">
        <v>141</v>
      </c>
      <c r="AD137" s="144" t="s">
        <v>141</v>
      </c>
      <c r="AE137" s="145" t="s">
        <v>141</v>
      </c>
      <c r="AF137" s="146" t="s">
        <v>1571</v>
      </c>
      <c r="AG137" s="147" t="s">
        <v>141</v>
      </c>
      <c r="AH137" s="148" t="s">
        <v>141</v>
      </c>
      <c r="AI137" s="149" t="s">
        <v>141</v>
      </c>
      <c r="AJ137" s="150" t="s">
        <v>1518</v>
      </c>
      <c r="AK137" s="151" t="s">
        <v>141</v>
      </c>
      <c r="AL137" s="152" t="s">
        <v>141</v>
      </c>
      <c r="AM137" s="153" t="s">
        <v>170</v>
      </c>
      <c r="AN137" s="154" t="s">
        <v>1821</v>
      </c>
      <c r="AO137" s="155" t="s">
        <v>141</v>
      </c>
      <c r="AP137" s="156" t="s">
        <v>145</v>
      </c>
      <c r="AQ137" s="157" t="s">
        <v>141</v>
      </c>
      <c r="AR137" s="158" t="s">
        <v>141</v>
      </c>
      <c r="AS137" s="159" t="s">
        <v>141</v>
      </c>
      <c r="AT137" s="160" t="s">
        <v>141</v>
      </c>
      <c r="AU137" s="161" t="s">
        <v>141</v>
      </c>
      <c r="AV137" s="162" t="s">
        <v>141</v>
      </c>
      <c r="AW137" s="163" t="s">
        <v>141</v>
      </c>
      <c r="AX137" s="164" t="s">
        <v>141</v>
      </c>
      <c r="AY137" s="165" t="s">
        <v>141</v>
      </c>
      <c r="AZ137" s="166" t="s">
        <v>141</v>
      </c>
      <c r="BA137" s="167" t="s">
        <v>146</v>
      </c>
      <c r="BB137" s="168" t="s">
        <v>263</v>
      </c>
      <c r="BC137" s="169" t="s">
        <v>132</v>
      </c>
      <c r="BD137" s="170" t="s">
        <v>141</v>
      </c>
      <c r="BE137" s="171">
        <v>2</v>
      </c>
      <c r="BF137" s="172" t="s">
        <v>1822</v>
      </c>
      <c r="BG137" s="173">
        <v>2</v>
      </c>
      <c r="BH137" s="174" t="s">
        <v>141</v>
      </c>
      <c r="BI137" s="175" t="s">
        <v>141</v>
      </c>
      <c r="BJ137" s="176" t="s">
        <v>141</v>
      </c>
      <c r="BK137" s="177" t="s">
        <v>1823</v>
      </c>
      <c r="BL137" s="178" t="s">
        <v>1824</v>
      </c>
      <c r="BM137" s="179" t="s">
        <v>141</v>
      </c>
      <c r="BN137" s="180" t="s">
        <v>141</v>
      </c>
      <c r="BO137" s="181" t="s">
        <v>141</v>
      </c>
      <c r="BP137" s="182" t="s">
        <v>141</v>
      </c>
      <c r="BQ137" s="183" t="s">
        <v>141</v>
      </c>
      <c r="BR137" s="184" t="s">
        <v>141</v>
      </c>
      <c r="BS137" s="185" t="s">
        <v>141</v>
      </c>
      <c r="BT137" s="186" t="s">
        <v>141</v>
      </c>
      <c r="BU137" s="187" t="s">
        <v>141</v>
      </c>
      <c r="BV137" s="188" t="s">
        <v>141</v>
      </c>
      <c r="BW137" s="189" t="s">
        <v>141</v>
      </c>
      <c r="BX137" s="190" t="s">
        <v>141</v>
      </c>
      <c r="BY137" s="191" t="s">
        <v>141</v>
      </c>
      <c r="BZ137" s="192" t="s">
        <v>141</v>
      </c>
      <c r="CA137" s="193" t="s">
        <v>141</v>
      </c>
      <c r="CB137" s="194" t="s">
        <v>141</v>
      </c>
      <c r="CC137" s="195" t="s">
        <v>141</v>
      </c>
      <c r="CD137" s="196" t="s">
        <v>141</v>
      </c>
      <c r="CE137" s="197" t="s">
        <v>141</v>
      </c>
      <c r="CF137" s="198" t="s">
        <v>141</v>
      </c>
      <c r="CG137" s="199" t="s">
        <v>141</v>
      </c>
      <c r="CH137" s="200" t="s">
        <v>141</v>
      </c>
      <c r="CI137" s="201" t="s">
        <v>141</v>
      </c>
      <c r="CJ137" s="202" t="s">
        <v>141</v>
      </c>
      <c r="CK137" s="203" t="s">
        <v>141</v>
      </c>
      <c r="CL137" s="204" t="s">
        <v>141</v>
      </c>
      <c r="CM137" s="205" t="s">
        <v>141</v>
      </c>
      <c r="CN137" s="206" t="s">
        <v>141</v>
      </c>
      <c r="CO137" s="207" t="s">
        <v>141</v>
      </c>
      <c r="CP137" s="208" t="s">
        <v>141</v>
      </c>
      <c r="CQ137" s="209" t="s">
        <v>141</v>
      </c>
      <c r="CR137" s="210" t="s">
        <v>141</v>
      </c>
      <c r="CS137" s="211" t="s">
        <v>141</v>
      </c>
      <c r="CT137" s="212" t="s">
        <v>141</v>
      </c>
      <c r="CU137" s="213" t="s">
        <v>141</v>
      </c>
      <c r="CV137" s="214" t="s">
        <v>141</v>
      </c>
      <c r="CW137" s="215" t="s">
        <v>141</v>
      </c>
      <c r="CX137" s="216">
        <v>140</v>
      </c>
      <c r="CY137" s="217" t="s">
        <v>150</v>
      </c>
      <c r="CZ137" s="218" t="s">
        <v>1825</v>
      </c>
      <c r="DA137" s="219" t="s">
        <v>152</v>
      </c>
      <c r="DB137" s="220" t="s">
        <v>153</v>
      </c>
      <c r="DC137" s="221" t="s">
        <v>1826</v>
      </c>
      <c r="DD137" s="222" t="s">
        <v>329</v>
      </c>
      <c r="DE137" s="223" t="s">
        <v>1827</v>
      </c>
      <c r="DF137" s="224" t="s">
        <v>157</v>
      </c>
      <c r="DG137" s="225">
        <v>2011</v>
      </c>
      <c r="DH137" s="226" t="s">
        <v>1828</v>
      </c>
      <c r="DI137" s="228" t="str">
        <f>HYPERLINK("https://my.pitchbook.com?c=56220-76T", "View company online")</f>
        <v>View company online</v>
      </c>
    </row>
    <row r="138" spans="1:113" x14ac:dyDescent="0.2">
      <c r="A138" s="3" t="s">
        <v>1829</v>
      </c>
      <c r="B138" s="4" t="s">
        <v>1811</v>
      </c>
      <c r="C138" s="5" t="s">
        <v>1812</v>
      </c>
      <c r="D138" s="6" t="s">
        <v>1813</v>
      </c>
      <c r="E138" s="7" t="s">
        <v>1814</v>
      </c>
      <c r="F138" s="8" t="s">
        <v>126</v>
      </c>
      <c r="G138" s="9" t="s">
        <v>456</v>
      </c>
      <c r="H138" s="10" t="s">
        <v>457</v>
      </c>
      <c r="I138" s="11" t="s">
        <v>1815</v>
      </c>
      <c r="J138" s="12" t="s">
        <v>168</v>
      </c>
      <c r="K138" s="13" t="s">
        <v>1816</v>
      </c>
      <c r="L138" s="14" t="s">
        <v>132</v>
      </c>
      <c r="M138" s="15" t="s">
        <v>133</v>
      </c>
      <c r="N138" s="16" t="s">
        <v>134</v>
      </c>
      <c r="O138" s="17" t="s">
        <v>1817</v>
      </c>
      <c r="P138" s="18" t="s">
        <v>1818</v>
      </c>
      <c r="Q138" s="19" t="s">
        <v>141</v>
      </c>
      <c r="R138" s="20" t="s">
        <v>141</v>
      </c>
      <c r="S138" s="21" t="s">
        <v>1819</v>
      </c>
      <c r="T138" s="22" t="s">
        <v>1820</v>
      </c>
      <c r="U138" s="23">
        <v>2</v>
      </c>
      <c r="V138" s="24" t="s">
        <v>1829</v>
      </c>
      <c r="W138" s="25" t="s">
        <v>141</v>
      </c>
      <c r="X138" s="26">
        <v>42370</v>
      </c>
      <c r="Y138" s="27">
        <v>1.1000000000000001</v>
      </c>
      <c r="Z138" s="28" t="s">
        <v>177</v>
      </c>
      <c r="AA138" s="29" t="s">
        <v>141</v>
      </c>
      <c r="AB138" s="30" t="s">
        <v>141</v>
      </c>
      <c r="AC138" s="31" t="s">
        <v>141</v>
      </c>
      <c r="AD138" s="32" t="s">
        <v>141</v>
      </c>
      <c r="AE138" s="33">
        <v>1.1000000000000001</v>
      </c>
      <c r="AF138" s="34" t="s">
        <v>1582</v>
      </c>
      <c r="AG138" s="35" t="s">
        <v>141</v>
      </c>
      <c r="AH138" s="36" t="s">
        <v>141</v>
      </c>
      <c r="AI138" s="37" t="s">
        <v>141</v>
      </c>
      <c r="AJ138" s="38" t="s">
        <v>1518</v>
      </c>
      <c r="AK138" s="39" t="s">
        <v>141</v>
      </c>
      <c r="AL138" s="40" t="s">
        <v>141</v>
      </c>
      <c r="AM138" s="41" t="s">
        <v>170</v>
      </c>
      <c r="AN138" s="42" t="s">
        <v>1830</v>
      </c>
      <c r="AO138" s="43">
        <v>1.1000000000000001</v>
      </c>
      <c r="AP138" s="44" t="s">
        <v>145</v>
      </c>
      <c r="AQ138" s="45" t="s">
        <v>141</v>
      </c>
      <c r="AR138" s="46" t="s">
        <v>141</v>
      </c>
      <c r="AS138" s="47" t="s">
        <v>141</v>
      </c>
      <c r="AT138" s="48" t="s">
        <v>141</v>
      </c>
      <c r="AU138" s="49" t="s">
        <v>141</v>
      </c>
      <c r="AV138" s="50" t="s">
        <v>141</v>
      </c>
      <c r="AW138" s="51" t="s">
        <v>141</v>
      </c>
      <c r="AX138" s="52" t="s">
        <v>141</v>
      </c>
      <c r="AY138" s="53" t="s">
        <v>141</v>
      </c>
      <c r="AZ138" s="54" t="s">
        <v>141</v>
      </c>
      <c r="BA138" s="55" t="s">
        <v>146</v>
      </c>
      <c r="BB138" s="56" t="s">
        <v>133</v>
      </c>
      <c r="BC138" s="57" t="s">
        <v>132</v>
      </c>
      <c r="BD138" s="58" t="s">
        <v>141</v>
      </c>
      <c r="BE138" s="59">
        <v>4</v>
      </c>
      <c r="BF138" s="60" t="s">
        <v>1831</v>
      </c>
      <c r="BG138" s="61">
        <v>3</v>
      </c>
      <c r="BH138" s="62" t="s">
        <v>1832</v>
      </c>
      <c r="BI138" s="63">
        <v>1</v>
      </c>
      <c r="BJ138" s="64" t="s">
        <v>141</v>
      </c>
      <c r="BK138" s="65" t="s">
        <v>1833</v>
      </c>
      <c r="BL138" s="66" t="s">
        <v>1834</v>
      </c>
      <c r="BM138" s="67" t="s">
        <v>1835</v>
      </c>
      <c r="BN138" s="68" t="s">
        <v>141</v>
      </c>
      <c r="BO138" s="69" t="s">
        <v>141</v>
      </c>
      <c r="BP138" s="70" t="s">
        <v>141</v>
      </c>
      <c r="BQ138" s="71" t="s">
        <v>141</v>
      </c>
      <c r="BR138" s="72" t="s">
        <v>141</v>
      </c>
      <c r="BS138" s="73" t="s">
        <v>141</v>
      </c>
      <c r="BT138" s="74" t="s">
        <v>141</v>
      </c>
      <c r="BU138" s="75" t="s">
        <v>141</v>
      </c>
      <c r="BV138" s="76" t="s">
        <v>141</v>
      </c>
      <c r="BW138" s="77" t="s">
        <v>141</v>
      </c>
      <c r="BX138" s="78">
        <v>0.51</v>
      </c>
      <c r="BY138" s="79" t="s">
        <v>141</v>
      </c>
      <c r="BZ138" s="80" t="s">
        <v>141</v>
      </c>
      <c r="CA138" s="81" t="s">
        <v>141</v>
      </c>
      <c r="CB138" s="82" t="s">
        <v>141</v>
      </c>
      <c r="CC138" s="83" t="s">
        <v>141</v>
      </c>
      <c r="CD138" s="84" t="s">
        <v>141</v>
      </c>
      <c r="CE138" s="85">
        <v>2015</v>
      </c>
      <c r="CF138" s="86" t="s">
        <v>141</v>
      </c>
      <c r="CG138" s="87" t="s">
        <v>141</v>
      </c>
      <c r="CH138" s="88" t="s">
        <v>141</v>
      </c>
      <c r="CI138" s="89" t="s">
        <v>141</v>
      </c>
      <c r="CJ138" s="90" t="s">
        <v>141</v>
      </c>
      <c r="CK138" s="91" t="s">
        <v>141</v>
      </c>
      <c r="CL138" s="92" t="s">
        <v>141</v>
      </c>
      <c r="CM138" s="93" t="s">
        <v>141</v>
      </c>
      <c r="CN138" s="94">
        <v>2.16</v>
      </c>
      <c r="CO138" s="95" t="s">
        <v>141</v>
      </c>
      <c r="CP138" s="96" t="s">
        <v>141</v>
      </c>
      <c r="CQ138" s="97" t="s">
        <v>141</v>
      </c>
      <c r="CR138" s="98" t="s">
        <v>141</v>
      </c>
      <c r="CS138" s="99" t="s">
        <v>141</v>
      </c>
      <c r="CT138" s="100" t="s">
        <v>141</v>
      </c>
      <c r="CU138" s="101" t="s">
        <v>141</v>
      </c>
      <c r="CV138" s="102" t="s">
        <v>141</v>
      </c>
      <c r="CW138" s="103" t="s">
        <v>141</v>
      </c>
      <c r="CX138" s="104">
        <v>140</v>
      </c>
      <c r="CY138" s="105" t="s">
        <v>150</v>
      </c>
      <c r="CZ138" s="106" t="s">
        <v>1825</v>
      </c>
      <c r="DA138" s="107" t="s">
        <v>152</v>
      </c>
      <c r="DB138" s="108" t="s">
        <v>153</v>
      </c>
      <c r="DC138" s="109" t="s">
        <v>1826</v>
      </c>
      <c r="DD138" s="110" t="s">
        <v>329</v>
      </c>
      <c r="DE138" s="111" t="s">
        <v>1827</v>
      </c>
      <c r="DF138" s="112" t="s">
        <v>157</v>
      </c>
      <c r="DG138" s="113">
        <v>2011</v>
      </c>
      <c r="DH138" s="114" t="s">
        <v>1828</v>
      </c>
      <c r="DI138" s="227" t="str">
        <f>HYPERLINK("https://my.pitchbook.com?c=81022-06T", "View company online")</f>
        <v>View company online</v>
      </c>
    </row>
    <row r="139" spans="1:113" x14ac:dyDescent="0.2">
      <c r="A139" s="115" t="s">
        <v>1836</v>
      </c>
      <c r="B139" s="116" t="s">
        <v>414</v>
      </c>
      <c r="C139" s="117" t="s">
        <v>415</v>
      </c>
      <c r="D139" s="118" t="s">
        <v>416</v>
      </c>
      <c r="E139" s="119" t="s">
        <v>417</v>
      </c>
      <c r="F139" s="120" t="s">
        <v>164</v>
      </c>
      <c r="G139" s="121" t="s">
        <v>165</v>
      </c>
      <c r="H139" s="122" t="s">
        <v>418</v>
      </c>
      <c r="I139" s="123" t="s">
        <v>419</v>
      </c>
      <c r="J139" s="124" t="s">
        <v>211</v>
      </c>
      <c r="K139" s="125" t="s">
        <v>420</v>
      </c>
      <c r="L139" s="126" t="s">
        <v>345</v>
      </c>
      <c r="M139" s="127" t="s">
        <v>133</v>
      </c>
      <c r="N139" s="128" t="s">
        <v>170</v>
      </c>
      <c r="O139" s="129" t="s">
        <v>433</v>
      </c>
      <c r="P139" s="130" t="s">
        <v>434</v>
      </c>
      <c r="Q139" s="131" t="s">
        <v>435</v>
      </c>
      <c r="R139" s="132" t="s">
        <v>436</v>
      </c>
      <c r="S139" s="133" t="s">
        <v>437</v>
      </c>
      <c r="T139" s="134" t="s">
        <v>438</v>
      </c>
      <c r="U139" s="135">
        <v>8</v>
      </c>
      <c r="V139" s="136" t="s">
        <v>1836</v>
      </c>
      <c r="W139" s="137" t="s">
        <v>141</v>
      </c>
      <c r="X139" s="138">
        <v>42076</v>
      </c>
      <c r="Y139" s="139">
        <v>12.95</v>
      </c>
      <c r="Z139" s="140" t="s">
        <v>177</v>
      </c>
      <c r="AA139" s="141">
        <v>18.149999999999999</v>
      </c>
      <c r="AB139" s="142">
        <v>31.1</v>
      </c>
      <c r="AC139" s="143" t="s">
        <v>177</v>
      </c>
      <c r="AD139" s="144">
        <v>38.21</v>
      </c>
      <c r="AE139" s="145">
        <v>16.899999999999999</v>
      </c>
      <c r="AF139" s="146" t="s">
        <v>1550</v>
      </c>
      <c r="AG139" s="147" t="s">
        <v>141</v>
      </c>
      <c r="AH139" s="148">
        <v>1.21</v>
      </c>
      <c r="AI139" s="149" t="s">
        <v>1517</v>
      </c>
      <c r="AJ139" s="150" t="s">
        <v>1518</v>
      </c>
      <c r="AK139" s="151" t="s">
        <v>1517</v>
      </c>
      <c r="AL139" s="152" t="s">
        <v>141</v>
      </c>
      <c r="AM139" s="153" t="s">
        <v>170</v>
      </c>
      <c r="AN139" s="154" t="s">
        <v>1837</v>
      </c>
      <c r="AO139" s="155">
        <v>12.95</v>
      </c>
      <c r="AP139" s="156" t="s">
        <v>145</v>
      </c>
      <c r="AQ139" s="157" t="s">
        <v>141</v>
      </c>
      <c r="AR139" s="158" t="s">
        <v>141</v>
      </c>
      <c r="AS139" s="159" t="s">
        <v>141</v>
      </c>
      <c r="AT139" s="160" t="s">
        <v>141</v>
      </c>
      <c r="AU139" s="161" t="s">
        <v>141</v>
      </c>
      <c r="AV139" s="162" t="s">
        <v>141</v>
      </c>
      <c r="AW139" s="163" t="s">
        <v>141</v>
      </c>
      <c r="AX139" s="164" t="s">
        <v>141</v>
      </c>
      <c r="AY139" s="165" t="s">
        <v>141</v>
      </c>
      <c r="AZ139" s="166" t="s">
        <v>141</v>
      </c>
      <c r="BA139" s="167" t="s">
        <v>146</v>
      </c>
      <c r="BB139" s="168" t="s">
        <v>133</v>
      </c>
      <c r="BC139" s="169" t="s">
        <v>132</v>
      </c>
      <c r="BD139" s="170">
        <v>15</v>
      </c>
      <c r="BE139" s="171">
        <v>3</v>
      </c>
      <c r="BF139" s="172" t="s">
        <v>1838</v>
      </c>
      <c r="BG139" s="173">
        <v>2</v>
      </c>
      <c r="BH139" s="174" t="s">
        <v>1839</v>
      </c>
      <c r="BI139" s="175">
        <v>1</v>
      </c>
      <c r="BJ139" s="176" t="s">
        <v>141</v>
      </c>
      <c r="BK139" s="177" t="s">
        <v>1840</v>
      </c>
      <c r="BL139" s="178" t="s">
        <v>1841</v>
      </c>
      <c r="BM139" s="179" t="s">
        <v>1842</v>
      </c>
      <c r="BN139" s="180" t="s">
        <v>1843</v>
      </c>
      <c r="BO139" s="181" t="s">
        <v>141</v>
      </c>
      <c r="BP139" s="182" t="s">
        <v>141</v>
      </c>
      <c r="BQ139" s="183" t="s">
        <v>141</v>
      </c>
      <c r="BR139" s="184" t="s">
        <v>1844</v>
      </c>
      <c r="BS139" s="185" t="s">
        <v>1844</v>
      </c>
      <c r="BT139" s="186" t="s">
        <v>141</v>
      </c>
      <c r="BU139" s="187" t="s">
        <v>141</v>
      </c>
      <c r="BV139" s="188" t="s">
        <v>141</v>
      </c>
      <c r="BW139" s="189" t="s">
        <v>141</v>
      </c>
      <c r="BX139" s="190" t="s">
        <v>141</v>
      </c>
      <c r="BY139" s="191" t="s">
        <v>141</v>
      </c>
      <c r="BZ139" s="192" t="s">
        <v>141</v>
      </c>
      <c r="CA139" s="193" t="s">
        <v>141</v>
      </c>
      <c r="CB139" s="194" t="s">
        <v>141</v>
      </c>
      <c r="CC139" s="195" t="s">
        <v>141</v>
      </c>
      <c r="CD139" s="196" t="s">
        <v>141</v>
      </c>
      <c r="CE139" s="197" t="s">
        <v>141</v>
      </c>
      <c r="CF139" s="198" t="s">
        <v>141</v>
      </c>
      <c r="CG139" s="199" t="s">
        <v>141</v>
      </c>
      <c r="CH139" s="200" t="s">
        <v>141</v>
      </c>
      <c r="CI139" s="201" t="s">
        <v>141</v>
      </c>
      <c r="CJ139" s="202" t="s">
        <v>141</v>
      </c>
      <c r="CK139" s="203" t="s">
        <v>141</v>
      </c>
      <c r="CL139" s="204" t="s">
        <v>141</v>
      </c>
      <c r="CM139" s="205" t="s">
        <v>141</v>
      </c>
      <c r="CN139" s="206" t="s">
        <v>141</v>
      </c>
      <c r="CO139" s="207" t="s">
        <v>141</v>
      </c>
      <c r="CP139" s="208" t="s">
        <v>141</v>
      </c>
      <c r="CQ139" s="209" t="s">
        <v>141</v>
      </c>
      <c r="CR139" s="210" t="s">
        <v>141</v>
      </c>
      <c r="CS139" s="211" t="s">
        <v>141</v>
      </c>
      <c r="CT139" s="212" t="s">
        <v>141</v>
      </c>
      <c r="CU139" s="213" t="s">
        <v>141</v>
      </c>
      <c r="CV139" s="214" t="s">
        <v>141</v>
      </c>
      <c r="CW139" s="215" t="s">
        <v>141</v>
      </c>
      <c r="CX139" s="216">
        <v>300</v>
      </c>
      <c r="CY139" s="217" t="s">
        <v>150</v>
      </c>
      <c r="CZ139" s="218" t="s">
        <v>240</v>
      </c>
      <c r="DA139" s="219" t="s">
        <v>152</v>
      </c>
      <c r="DB139" s="220" t="s">
        <v>153</v>
      </c>
      <c r="DC139" s="221" t="s">
        <v>241</v>
      </c>
      <c r="DD139" s="222" t="s">
        <v>242</v>
      </c>
      <c r="DE139" s="223" t="s">
        <v>283</v>
      </c>
      <c r="DF139" s="224" t="s">
        <v>157</v>
      </c>
      <c r="DG139" s="225">
        <v>2012</v>
      </c>
      <c r="DH139" s="226" t="s">
        <v>431</v>
      </c>
      <c r="DI139" s="228" t="str">
        <f>HYPERLINK("https://my.pitchbook.com?c=46884-79T", "View company online")</f>
        <v>View company online</v>
      </c>
    </row>
    <row r="140" spans="1:113" x14ac:dyDescent="0.2">
      <c r="A140" s="3" t="s">
        <v>1845</v>
      </c>
      <c r="B140" s="4" t="s">
        <v>414</v>
      </c>
      <c r="C140" s="5" t="s">
        <v>415</v>
      </c>
      <c r="D140" s="6" t="s">
        <v>416</v>
      </c>
      <c r="E140" s="7" t="s">
        <v>417</v>
      </c>
      <c r="F140" s="8" t="s">
        <v>164</v>
      </c>
      <c r="G140" s="9" t="s">
        <v>165</v>
      </c>
      <c r="H140" s="10" t="s">
        <v>418</v>
      </c>
      <c r="I140" s="11" t="s">
        <v>419</v>
      </c>
      <c r="J140" s="12" t="s">
        <v>211</v>
      </c>
      <c r="K140" s="13" t="s">
        <v>420</v>
      </c>
      <c r="L140" s="14" t="s">
        <v>345</v>
      </c>
      <c r="M140" s="15" t="s">
        <v>133</v>
      </c>
      <c r="N140" s="16" t="s">
        <v>170</v>
      </c>
      <c r="O140" s="17" t="s">
        <v>433</v>
      </c>
      <c r="P140" s="18" t="s">
        <v>434</v>
      </c>
      <c r="Q140" s="19" t="s">
        <v>435</v>
      </c>
      <c r="R140" s="20" t="s">
        <v>436</v>
      </c>
      <c r="S140" s="21" t="s">
        <v>437</v>
      </c>
      <c r="T140" s="22" t="s">
        <v>438</v>
      </c>
      <c r="U140" s="23">
        <v>9</v>
      </c>
      <c r="V140" s="24" t="s">
        <v>1845</v>
      </c>
      <c r="W140" s="25" t="s">
        <v>141</v>
      </c>
      <c r="X140" s="26">
        <v>42985</v>
      </c>
      <c r="Y140" s="27">
        <v>22</v>
      </c>
      <c r="Z140" s="28" t="s">
        <v>177</v>
      </c>
      <c r="AA140" s="29">
        <v>44</v>
      </c>
      <c r="AB140" s="30">
        <v>66</v>
      </c>
      <c r="AC140" s="31" t="s">
        <v>177</v>
      </c>
      <c r="AD140" s="32">
        <v>33.33</v>
      </c>
      <c r="AE140" s="33">
        <v>38.9</v>
      </c>
      <c r="AF140" s="34" t="s">
        <v>1714</v>
      </c>
      <c r="AG140" s="35" t="s">
        <v>1846</v>
      </c>
      <c r="AH140" s="36">
        <v>1.21</v>
      </c>
      <c r="AI140" s="37" t="s">
        <v>1551</v>
      </c>
      <c r="AJ140" s="38" t="s">
        <v>1518</v>
      </c>
      <c r="AK140" s="39" t="s">
        <v>1551</v>
      </c>
      <c r="AL140" s="40" t="s">
        <v>141</v>
      </c>
      <c r="AM140" s="41" t="s">
        <v>170</v>
      </c>
      <c r="AN140" s="42" t="s">
        <v>1847</v>
      </c>
      <c r="AO140" s="43">
        <v>22</v>
      </c>
      <c r="AP140" s="44" t="s">
        <v>145</v>
      </c>
      <c r="AQ140" s="45" t="s">
        <v>141</v>
      </c>
      <c r="AR140" s="46" t="s">
        <v>141</v>
      </c>
      <c r="AS140" s="47" t="s">
        <v>141</v>
      </c>
      <c r="AT140" s="48" t="s">
        <v>141</v>
      </c>
      <c r="AU140" s="49" t="s">
        <v>141</v>
      </c>
      <c r="AV140" s="50" t="s">
        <v>141</v>
      </c>
      <c r="AW140" s="51" t="s">
        <v>141</v>
      </c>
      <c r="AX140" s="52" t="s">
        <v>141</v>
      </c>
      <c r="AY140" s="53" t="s">
        <v>141</v>
      </c>
      <c r="AZ140" s="54" t="s">
        <v>141</v>
      </c>
      <c r="BA140" s="55" t="s">
        <v>146</v>
      </c>
      <c r="BB140" s="56" t="s">
        <v>591</v>
      </c>
      <c r="BC140" s="57" t="s">
        <v>132</v>
      </c>
      <c r="BD140" s="58">
        <v>130</v>
      </c>
      <c r="BE140" s="59">
        <v>3</v>
      </c>
      <c r="BF140" s="60" t="s">
        <v>141</v>
      </c>
      <c r="BG140" s="61" t="s">
        <v>141</v>
      </c>
      <c r="BH140" s="62" t="s">
        <v>1848</v>
      </c>
      <c r="BI140" s="63">
        <v>3</v>
      </c>
      <c r="BJ140" s="64" t="s">
        <v>141</v>
      </c>
      <c r="BK140" s="65" t="s">
        <v>1849</v>
      </c>
      <c r="BL140" s="66" t="s">
        <v>1850</v>
      </c>
      <c r="BM140" s="67" t="s">
        <v>1842</v>
      </c>
      <c r="BN140" s="68" t="s">
        <v>1843</v>
      </c>
      <c r="BO140" s="69" t="s">
        <v>141</v>
      </c>
      <c r="BP140" s="70" t="s">
        <v>141</v>
      </c>
      <c r="BQ140" s="71" t="s">
        <v>141</v>
      </c>
      <c r="BR140" s="72" t="s">
        <v>1844</v>
      </c>
      <c r="BS140" s="73" t="s">
        <v>1844</v>
      </c>
      <c r="BT140" s="74" t="s">
        <v>141</v>
      </c>
      <c r="BU140" s="75" t="s">
        <v>141</v>
      </c>
      <c r="BV140" s="76" t="s">
        <v>141</v>
      </c>
      <c r="BW140" s="77" t="s">
        <v>141</v>
      </c>
      <c r="BX140" s="78" t="s">
        <v>141</v>
      </c>
      <c r="BY140" s="79" t="s">
        <v>141</v>
      </c>
      <c r="BZ140" s="80" t="s">
        <v>141</v>
      </c>
      <c r="CA140" s="81" t="s">
        <v>141</v>
      </c>
      <c r="CB140" s="82" t="s">
        <v>141</v>
      </c>
      <c r="CC140" s="83" t="s">
        <v>141</v>
      </c>
      <c r="CD140" s="84" t="s">
        <v>141</v>
      </c>
      <c r="CE140" s="85" t="s">
        <v>141</v>
      </c>
      <c r="CF140" s="86" t="s">
        <v>141</v>
      </c>
      <c r="CG140" s="87" t="s">
        <v>141</v>
      </c>
      <c r="CH140" s="88" t="s">
        <v>141</v>
      </c>
      <c r="CI140" s="89" t="s">
        <v>141</v>
      </c>
      <c r="CJ140" s="90" t="s">
        <v>141</v>
      </c>
      <c r="CK140" s="91" t="s">
        <v>141</v>
      </c>
      <c r="CL140" s="92" t="s">
        <v>141</v>
      </c>
      <c r="CM140" s="93" t="s">
        <v>141</v>
      </c>
      <c r="CN140" s="94" t="s">
        <v>141</v>
      </c>
      <c r="CO140" s="95" t="s">
        <v>141</v>
      </c>
      <c r="CP140" s="96" t="s">
        <v>141</v>
      </c>
      <c r="CQ140" s="97" t="s">
        <v>141</v>
      </c>
      <c r="CR140" s="98" t="s">
        <v>141</v>
      </c>
      <c r="CS140" s="99" t="s">
        <v>141</v>
      </c>
      <c r="CT140" s="100" t="s">
        <v>141</v>
      </c>
      <c r="CU140" s="101" t="s">
        <v>141</v>
      </c>
      <c r="CV140" s="102" t="s">
        <v>141</v>
      </c>
      <c r="CW140" s="103" t="s">
        <v>141</v>
      </c>
      <c r="CX140" s="104">
        <v>300</v>
      </c>
      <c r="CY140" s="105" t="s">
        <v>150</v>
      </c>
      <c r="CZ140" s="106" t="s">
        <v>240</v>
      </c>
      <c r="DA140" s="107" t="s">
        <v>152</v>
      </c>
      <c r="DB140" s="108" t="s">
        <v>153</v>
      </c>
      <c r="DC140" s="109" t="s">
        <v>241</v>
      </c>
      <c r="DD140" s="110" t="s">
        <v>242</v>
      </c>
      <c r="DE140" s="111" t="s">
        <v>283</v>
      </c>
      <c r="DF140" s="112" t="s">
        <v>157</v>
      </c>
      <c r="DG140" s="113">
        <v>2012</v>
      </c>
      <c r="DH140" s="114" t="s">
        <v>431</v>
      </c>
      <c r="DI140" s="227" t="str">
        <f>HYPERLINK("https://my.pitchbook.com?c=93945-43T", "View company online")</f>
        <v>View company online</v>
      </c>
    </row>
    <row r="141" spans="1:113" x14ac:dyDescent="0.2">
      <c r="A141" s="115" t="s">
        <v>1851</v>
      </c>
      <c r="B141" s="116" t="s">
        <v>1190</v>
      </c>
      <c r="C141" s="117" t="s">
        <v>1191</v>
      </c>
      <c r="D141" s="118" t="s">
        <v>1192</v>
      </c>
      <c r="E141" s="119" t="s">
        <v>1193</v>
      </c>
      <c r="F141" s="120" t="s">
        <v>164</v>
      </c>
      <c r="G141" s="121" t="s">
        <v>165</v>
      </c>
      <c r="H141" s="122" t="s">
        <v>418</v>
      </c>
      <c r="I141" s="123" t="s">
        <v>1194</v>
      </c>
      <c r="J141" s="124" t="s">
        <v>211</v>
      </c>
      <c r="K141" s="125" t="s">
        <v>1195</v>
      </c>
      <c r="L141" s="126" t="s">
        <v>132</v>
      </c>
      <c r="M141" s="127" t="s">
        <v>133</v>
      </c>
      <c r="N141" s="128" t="s">
        <v>170</v>
      </c>
      <c r="O141" s="129" t="s">
        <v>1196</v>
      </c>
      <c r="P141" s="130" t="s">
        <v>1197</v>
      </c>
      <c r="Q141" s="131" t="s">
        <v>1198</v>
      </c>
      <c r="R141" s="132" t="s">
        <v>1199</v>
      </c>
      <c r="S141" s="133" t="s">
        <v>1200</v>
      </c>
      <c r="T141" s="134" t="s">
        <v>1201</v>
      </c>
      <c r="U141" s="135">
        <v>3</v>
      </c>
      <c r="V141" s="136" t="s">
        <v>1851</v>
      </c>
      <c r="W141" s="137">
        <v>43929</v>
      </c>
      <c r="X141" s="138">
        <v>43929</v>
      </c>
      <c r="Y141" s="139" t="s">
        <v>141</v>
      </c>
      <c r="Z141" s="140" t="s">
        <v>141</v>
      </c>
      <c r="AA141" s="141" t="s">
        <v>141</v>
      </c>
      <c r="AB141" s="142" t="s">
        <v>141</v>
      </c>
      <c r="AC141" s="143" t="s">
        <v>141</v>
      </c>
      <c r="AD141" s="144" t="s">
        <v>141</v>
      </c>
      <c r="AE141" s="145" t="s">
        <v>141</v>
      </c>
      <c r="AF141" s="146" t="s">
        <v>1582</v>
      </c>
      <c r="AG141" s="147" t="s">
        <v>141</v>
      </c>
      <c r="AH141" s="148" t="s">
        <v>141</v>
      </c>
      <c r="AI141" s="149" t="s">
        <v>141</v>
      </c>
      <c r="AJ141" s="150" t="s">
        <v>1518</v>
      </c>
      <c r="AK141" s="151" t="s">
        <v>141</v>
      </c>
      <c r="AL141" s="152" t="s">
        <v>141</v>
      </c>
      <c r="AM141" s="153" t="s">
        <v>170</v>
      </c>
      <c r="AN141" s="154" t="s">
        <v>1852</v>
      </c>
      <c r="AO141" s="155" t="s">
        <v>141</v>
      </c>
      <c r="AP141" s="156" t="s">
        <v>145</v>
      </c>
      <c r="AQ141" s="157" t="s">
        <v>141</v>
      </c>
      <c r="AR141" s="158" t="s">
        <v>141</v>
      </c>
      <c r="AS141" s="159" t="s">
        <v>281</v>
      </c>
      <c r="AT141" s="160" t="s">
        <v>141</v>
      </c>
      <c r="AU141" s="161" t="s">
        <v>141</v>
      </c>
      <c r="AV141" s="162" t="s">
        <v>141</v>
      </c>
      <c r="AW141" s="163" t="s">
        <v>141</v>
      </c>
      <c r="AX141" s="164" t="s">
        <v>141</v>
      </c>
      <c r="AY141" s="165" t="s">
        <v>141</v>
      </c>
      <c r="AZ141" s="166" t="s">
        <v>141</v>
      </c>
      <c r="BA141" s="167" t="s">
        <v>1283</v>
      </c>
      <c r="BB141" s="168" t="s">
        <v>133</v>
      </c>
      <c r="BC141" s="169" t="s">
        <v>1786</v>
      </c>
      <c r="BD141" s="170" t="s">
        <v>141</v>
      </c>
      <c r="BE141" s="171" t="s">
        <v>141</v>
      </c>
      <c r="BF141" s="172" t="s">
        <v>141</v>
      </c>
      <c r="BG141" s="173" t="s">
        <v>141</v>
      </c>
      <c r="BH141" s="174" t="s">
        <v>141</v>
      </c>
      <c r="BI141" s="175" t="s">
        <v>141</v>
      </c>
      <c r="BJ141" s="176" t="s">
        <v>141</v>
      </c>
      <c r="BK141" s="177" t="s">
        <v>141</v>
      </c>
      <c r="BL141" s="178" t="s">
        <v>141</v>
      </c>
      <c r="BM141" s="179" t="s">
        <v>141</v>
      </c>
      <c r="BN141" s="180" t="s">
        <v>141</v>
      </c>
      <c r="BO141" s="181" t="s">
        <v>141</v>
      </c>
      <c r="BP141" s="182" t="s">
        <v>141</v>
      </c>
      <c r="BQ141" s="183" t="s">
        <v>141</v>
      </c>
      <c r="BR141" s="184" t="s">
        <v>141</v>
      </c>
      <c r="BS141" s="185" t="s">
        <v>141</v>
      </c>
      <c r="BT141" s="186" t="s">
        <v>141</v>
      </c>
      <c r="BU141" s="187" t="s">
        <v>141</v>
      </c>
      <c r="BV141" s="188" t="s">
        <v>141</v>
      </c>
      <c r="BW141" s="189" t="s">
        <v>141</v>
      </c>
      <c r="BX141" s="190" t="s">
        <v>141</v>
      </c>
      <c r="BY141" s="191" t="s">
        <v>141</v>
      </c>
      <c r="BZ141" s="192" t="s">
        <v>141</v>
      </c>
      <c r="CA141" s="193" t="s">
        <v>141</v>
      </c>
      <c r="CB141" s="194" t="s">
        <v>141</v>
      </c>
      <c r="CC141" s="195" t="s">
        <v>141</v>
      </c>
      <c r="CD141" s="196" t="s">
        <v>141</v>
      </c>
      <c r="CE141" s="197" t="s">
        <v>141</v>
      </c>
      <c r="CF141" s="198" t="s">
        <v>141</v>
      </c>
      <c r="CG141" s="199" t="s">
        <v>141</v>
      </c>
      <c r="CH141" s="200" t="s">
        <v>141</v>
      </c>
      <c r="CI141" s="201" t="s">
        <v>141</v>
      </c>
      <c r="CJ141" s="202" t="s">
        <v>141</v>
      </c>
      <c r="CK141" s="203" t="s">
        <v>141</v>
      </c>
      <c r="CL141" s="204" t="s">
        <v>141</v>
      </c>
      <c r="CM141" s="205" t="s">
        <v>141</v>
      </c>
      <c r="CN141" s="206" t="s">
        <v>141</v>
      </c>
      <c r="CO141" s="207" t="s">
        <v>141</v>
      </c>
      <c r="CP141" s="208" t="s">
        <v>141</v>
      </c>
      <c r="CQ141" s="209" t="s">
        <v>141</v>
      </c>
      <c r="CR141" s="210" t="s">
        <v>141</v>
      </c>
      <c r="CS141" s="211" t="s">
        <v>141</v>
      </c>
      <c r="CT141" s="212" t="s">
        <v>141</v>
      </c>
      <c r="CU141" s="213" t="s">
        <v>141</v>
      </c>
      <c r="CV141" s="214" t="s">
        <v>141</v>
      </c>
      <c r="CW141" s="215" t="s">
        <v>141</v>
      </c>
      <c r="CX141" s="216" t="s">
        <v>141</v>
      </c>
      <c r="CY141" s="217" t="s">
        <v>150</v>
      </c>
      <c r="CZ141" s="218" t="s">
        <v>327</v>
      </c>
      <c r="DA141" s="219" t="s">
        <v>152</v>
      </c>
      <c r="DB141" s="220" t="s">
        <v>153</v>
      </c>
      <c r="DC141" s="221" t="s">
        <v>328</v>
      </c>
      <c r="DD141" s="222" t="s">
        <v>329</v>
      </c>
      <c r="DE141" s="223" t="s">
        <v>1203</v>
      </c>
      <c r="DF141" s="224" t="s">
        <v>157</v>
      </c>
      <c r="DG141" s="225">
        <v>2015</v>
      </c>
      <c r="DH141" s="226" t="s">
        <v>1204</v>
      </c>
      <c r="DI141" s="228" t="str">
        <f>HYPERLINK("https://my.pitchbook.com?c=134850-52T", "View company online")</f>
        <v>View company online</v>
      </c>
    </row>
    <row r="142" spans="1:113" x14ac:dyDescent="0.2">
      <c r="A142" s="3" t="s">
        <v>1853</v>
      </c>
      <c r="B142" s="4" t="s">
        <v>1854</v>
      </c>
      <c r="C142" s="5" t="s">
        <v>1855</v>
      </c>
      <c r="D142" s="6" t="s">
        <v>1856</v>
      </c>
      <c r="E142" s="7" t="s">
        <v>1857</v>
      </c>
      <c r="F142" s="8" t="s">
        <v>126</v>
      </c>
      <c r="G142" s="9" t="s">
        <v>456</v>
      </c>
      <c r="H142" s="10" t="s">
        <v>457</v>
      </c>
      <c r="I142" s="11" t="s">
        <v>1013</v>
      </c>
      <c r="J142" s="12" t="s">
        <v>1858</v>
      </c>
      <c r="K142" s="13" t="s">
        <v>1859</v>
      </c>
      <c r="L142" s="14" t="s">
        <v>132</v>
      </c>
      <c r="M142" s="15" t="s">
        <v>133</v>
      </c>
      <c r="N142" s="16" t="s">
        <v>170</v>
      </c>
      <c r="O142" s="17" t="s">
        <v>1860</v>
      </c>
      <c r="P142" s="18" t="s">
        <v>1861</v>
      </c>
      <c r="Q142" s="19" t="s">
        <v>1862</v>
      </c>
      <c r="R142" s="20" t="s">
        <v>1863</v>
      </c>
      <c r="S142" s="21" t="s">
        <v>1864</v>
      </c>
      <c r="T142" s="22" t="s">
        <v>1865</v>
      </c>
      <c r="U142" s="23">
        <v>1</v>
      </c>
      <c r="V142" s="24" t="s">
        <v>1853</v>
      </c>
      <c r="W142" s="25">
        <v>42217</v>
      </c>
      <c r="X142" s="26">
        <v>42471</v>
      </c>
      <c r="Y142" s="27">
        <v>0.81</v>
      </c>
      <c r="Z142" s="28" t="s">
        <v>177</v>
      </c>
      <c r="AA142" s="29" t="s">
        <v>141</v>
      </c>
      <c r="AB142" s="30" t="s">
        <v>141</v>
      </c>
      <c r="AC142" s="31" t="s">
        <v>141</v>
      </c>
      <c r="AD142" s="32" t="s">
        <v>141</v>
      </c>
      <c r="AE142" s="33" t="s">
        <v>141</v>
      </c>
      <c r="AF142" s="34" t="s">
        <v>1571</v>
      </c>
      <c r="AG142" s="35" t="s">
        <v>141</v>
      </c>
      <c r="AH142" s="36" t="s">
        <v>141</v>
      </c>
      <c r="AI142" s="37" t="s">
        <v>141</v>
      </c>
      <c r="AJ142" s="38" t="s">
        <v>1518</v>
      </c>
      <c r="AK142" s="39" t="s">
        <v>141</v>
      </c>
      <c r="AL142" s="40" t="s">
        <v>141</v>
      </c>
      <c r="AM142" s="41" t="s">
        <v>170</v>
      </c>
      <c r="AN142" s="42" t="s">
        <v>1857</v>
      </c>
      <c r="AO142" s="43" t="s">
        <v>141</v>
      </c>
      <c r="AP142" s="44" t="s">
        <v>145</v>
      </c>
      <c r="AQ142" s="45" t="s">
        <v>141</v>
      </c>
      <c r="AR142" s="46" t="s">
        <v>141</v>
      </c>
      <c r="AS142" s="47" t="s">
        <v>281</v>
      </c>
      <c r="AT142" s="48" t="s">
        <v>141</v>
      </c>
      <c r="AU142" s="49" t="s">
        <v>141</v>
      </c>
      <c r="AV142" s="50" t="s">
        <v>141</v>
      </c>
      <c r="AW142" s="51" t="s">
        <v>141</v>
      </c>
      <c r="AX142" s="52" t="s">
        <v>141</v>
      </c>
      <c r="AY142" s="53" t="s">
        <v>141</v>
      </c>
      <c r="AZ142" s="54" t="s">
        <v>141</v>
      </c>
      <c r="BA142" s="55" t="s">
        <v>146</v>
      </c>
      <c r="BB142" s="56" t="s">
        <v>133</v>
      </c>
      <c r="BC142" s="57" t="s">
        <v>132</v>
      </c>
      <c r="BD142" s="58">
        <v>3</v>
      </c>
      <c r="BE142" s="59">
        <v>8</v>
      </c>
      <c r="BF142" s="60" t="s">
        <v>1866</v>
      </c>
      <c r="BG142" s="61">
        <v>8</v>
      </c>
      <c r="BH142" s="62" t="s">
        <v>141</v>
      </c>
      <c r="BI142" s="63" t="s">
        <v>141</v>
      </c>
      <c r="BJ142" s="64" t="s">
        <v>141</v>
      </c>
      <c r="BK142" s="65" t="s">
        <v>1867</v>
      </c>
      <c r="BL142" s="66" t="s">
        <v>1868</v>
      </c>
      <c r="BM142" s="67" t="s">
        <v>141</v>
      </c>
      <c r="BN142" s="68" t="s">
        <v>141</v>
      </c>
      <c r="BO142" s="69" t="s">
        <v>141</v>
      </c>
      <c r="BP142" s="70" t="s">
        <v>141</v>
      </c>
      <c r="BQ142" s="71" t="s">
        <v>141</v>
      </c>
      <c r="BR142" s="72" t="s">
        <v>141</v>
      </c>
      <c r="BS142" s="73" t="s">
        <v>141</v>
      </c>
      <c r="BT142" s="74" t="s">
        <v>141</v>
      </c>
      <c r="BU142" s="75" t="s">
        <v>141</v>
      </c>
      <c r="BV142" s="76" t="s">
        <v>141</v>
      </c>
      <c r="BW142" s="77" t="s">
        <v>141</v>
      </c>
      <c r="BX142" s="78" t="s">
        <v>141</v>
      </c>
      <c r="BY142" s="79" t="s">
        <v>141</v>
      </c>
      <c r="BZ142" s="80" t="s">
        <v>141</v>
      </c>
      <c r="CA142" s="81" t="s">
        <v>141</v>
      </c>
      <c r="CB142" s="82" t="s">
        <v>141</v>
      </c>
      <c r="CC142" s="83" t="s">
        <v>141</v>
      </c>
      <c r="CD142" s="84" t="s">
        <v>141</v>
      </c>
      <c r="CE142" s="85" t="s">
        <v>141</v>
      </c>
      <c r="CF142" s="86" t="s">
        <v>141</v>
      </c>
      <c r="CG142" s="87" t="s">
        <v>141</v>
      </c>
      <c r="CH142" s="88" t="s">
        <v>141</v>
      </c>
      <c r="CI142" s="89" t="s">
        <v>141</v>
      </c>
      <c r="CJ142" s="90" t="s">
        <v>141</v>
      </c>
      <c r="CK142" s="91" t="s">
        <v>141</v>
      </c>
      <c r="CL142" s="92" t="s">
        <v>141</v>
      </c>
      <c r="CM142" s="93" t="s">
        <v>141</v>
      </c>
      <c r="CN142" s="94" t="s">
        <v>141</v>
      </c>
      <c r="CO142" s="95" t="s">
        <v>141</v>
      </c>
      <c r="CP142" s="96" t="s">
        <v>141</v>
      </c>
      <c r="CQ142" s="97" t="s">
        <v>141</v>
      </c>
      <c r="CR142" s="98" t="s">
        <v>141</v>
      </c>
      <c r="CS142" s="99" t="s">
        <v>141</v>
      </c>
      <c r="CT142" s="100" t="s">
        <v>141</v>
      </c>
      <c r="CU142" s="101" t="s">
        <v>141</v>
      </c>
      <c r="CV142" s="102" t="s">
        <v>141</v>
      </c>
      <c r="CW142" s="103" t="s">
        <v>141</v>
      </c>
      <c r="CX142" s="104">
        <v>24</v>
      </c>
      <c r="CY142" s="105" t="s">
        <v>150</v>
      </c>
      <c r="CZ142" s="106" t="s">
        <v>180</v>
      </c>
      <c r="DA142" s="107" t="s">
        <v>152</v>
      </c>
      <c r="DB142" s="108" t="s">
        <v>153</v>
      </c>
      <c r="DC142" s="109" t="s">
        <v>181</v>
      </c>
      <c r="DD142" s="110" t="s">
        <v>182</v>
      </c>
      <c r="DE142" s="111" t="s">
        <v>1869</v>
      </c>
      <c r="DF142" s="112" t="s">
        <v>157</v>
      </c>
      <c r="DG142" s="113">
        <v>2012</v>
      </c>
      <c r="DH142" s="114" t="s">
        <v>1870</v>
      </c>
      <c r="DI142" s="227" t="str">
        <f>HYPERLINK("https://my.pitchbook.com?c=58787-92T", "View company online")</f>
        <v>View company online</v>
      </c>
    </row>
    <row r="143" spans="1:113" x14ac:dyDescent="0.2">
      <c r="A143" s="115" t="s">
        <v>1871</v>
      </c>
      <c r="B143" s="116" t="s">
        <v>452</v>
      </c>
      <c r="C143" s="117" t="s">
        <v>453</v>
      </c>
      <c r="D143" s="118" t="s">
        <v>454</v>
      </c>
      <c r="E143" s="119" t="s">
        <v>455</v>
      </c>
      <c r="F143" s="120" t="s">
        <v>126</v>
      </c>
      <c r="G143" s="121" t="s">
        <v>456</v>
      </c>
      <c r="H143" s="122" t="s">
        <v>457</v>
      </c>
      <c r="I143" s="123" t="s">
        <v>458</v>
      </c>
      <c r="J143" s="124" t="s">
        <v>459</v>
      </c>
      <c r="K143" s="125" t="s">
        <v>460</v>
      </c>
      <c r="L143" s="126" t="s">
        <v>132</v>
      </c>
      <c r="M143" s="127" t="s">
        <v>133</v>
      </c>
      <c r="N143" s="128" t="s">
        <v>134</v>
      </c>
      <c r="O143" s="129" t="s">
        <v>461</v>
      </c>
      <c r="P143" s="130" t="s">
        <v>462</v>
      </c>
      <c r="Q143" s="131" t="s">
        <v>463</v>
      </c>
      <c r="R143" s="132" t="s">
        <v>464</v>
      </c>
      <c r="S143" s="133" t="s">
        <v>465</v>
      </c>
      <c r="T143" s="134" t="s">
        <v>466</v>
      </c>
      <c r="U143" s="135">
        <v>3</v>
      </c>
      <c r="V143" s="136" t="s">
        <v>1871</v>
      </c>
      <c r="W143" s="137">
        <v>41729</v>
      </c>
      <c r="X143" s="138">
        <v>42306</v>
      </c>
      <c r="Y143" s="139">
        <v>10.75</v>
      </c>
      <c r="Z143" s="140" t="s">
        <v>177</v>
      </c>
      <c r="AA143" s="141">
        <v>18.190000000000001</v>
      </c>
      <c r="AB143" s="142">
        <v>28.94</v>
      </c>
      <c r="AC143" s="143" t="s">
        <v>177</v>
      </c>
      <c r="AD143" s="144">
        <v>37.15</v>
      </c>
      <c r="AE143" s="145">
        <v>11.97</v>
      </c>
      <c r="AF143" s="146" t="s">
        <v>1582</v>
      </c>
      <c r="AG143" s="147" t="s">
        <v>141</v>
      </c>
      <c r="AH143" s="148">
        <v>2.8</v>
      </c>
      <c r="AI143" s="149" t="s">
        <v>1517</v>
      </c>
      <c r="AJ143" s="150" t="s">
        <v>1518</v>
      </c>
      <c r="AK143" s="151" t="s">
        <v>1517</v>
      </c>
      <c r="AL143" s="152" t="s">
        <v>141</v>
      </c>
      <c r="AM143" s="153" t="s">
        <v>170</v>
      </c>
      <c r="AN143" s="154" t="s">
        <v>1872</v>
      </c>
      <c r="AO143" s="155">
        <v>10.75</v>
      </c>
      <c r="AP143" s="156" t="s">
        <v>145</v>
      </c>
      <c r="AQ143" s="157" t="s">
        <v>141</v>
      </c>
      <c r="AR143" s="158" t="s">
        <v>141</v>
      </c>
      <c r="AS143" s="159" t="s">
        <v>141</v>
      </c>
      <c r="AT143" s="160" t="s">
        <v>141</v>
      </c>
      <c r="AU143" s="161" t="s">
        <v>141</v>
      </c>
      <c r="AV143" s="162" t="s">
        <v>141</v>
      </c>
      <c r="AW143" s="163" t="s">
        <v>141</v>
      </c>
      <c r="AX143" s="164" t="s">
        <v>141</v>
      </c>
      <c r="AY143" s="165" t="s">
        <v>141</v>
      </c>
      <c r="AZ143" s="166" t="s">
        <v>141</v>
      </c>
      <c r="BA143" s="167" t="s">
        <v>146</v>
      </c>
      <c r="BB143" s="168" t="s">
        <v>263</v>
      </c>
      <c r="BC143" s="169" t="s">
        <v>132</v>
      </c>
      <c r="BD143" s="170">
        <v>90</v>
      </c>
      <c r="BE143" s="171">
        <v>6</v>
      </c>
      <c r="BF143" s="172" t="s">
        <v>1873</v>
      </c>
      <c r="BG143" s="173">
        <v>5</v>
      </c>
      <c r="BH143" s="174" t="s">
        <v>1874</v>
      </c>
      <c r="BI143" s="175">
        <v>1</v>
      </c>
      <c r="BJ143" s="176" t="s">
        <v>141</v>
      </c>
      <c r="BK143" s="239" t="s">
        <v>1875</v>
      </c>
      <c r="BL143" s="239" t="s">
        <v>1876</v>
      </c>
      <c r="BM143" s="179" t="s">
        <v>1877</v>
      </c>
      <c r="BN143" s="180" t="s">
        <v>1878</v>
      </c>
      <c r="BO143" s="181" t="s">
        <v>141</v>
      </c>
      <c r="BP143" s="182" t="s">
        <v>141</v>
      </c>
      <c r="BQ143" s="183" t="s">
        <v>141</v>
      </c>
      <c r="BR143" s="184" t="s">
        <v>468</v>
      </c>
      <c r="BS143" s="185" t="s">
        <v>468</v>
      </c>
      <c r="BT143" s="186" t="s">
        <v>141</v>
      </c>
      <c r="BU143" s="187" t="s">
        <v>141</v>
      </c>
      <c r="BV143" s="188" t="s">
        <v>141</v>
      </c>
      <c r="BW143" s="189" t="s">
        <v>141</v>
      </c>
      <c r="BX143" s="190" t="s">
        <v>141</v>
      </c>
      <c r="BY143" s="191" t="s">
        <v>141</v>
      </c>
      <c r="BZ143" s="192" t="s">
        <v>141</v>
      </c>
      <c r="CA143" s="193" t="s">
        <v>141</v>
      </c>
      <c r="CB143" s="194" t="s">
        <v>141</v>
      </c>
      <c r="CC143" s="195" t="s">
        <v>141</v>
      </c>
      <c r="CD143" s="196" t="s">
        <v>141</v>
      </c>
      <c r="CE143" s="197" t="s">
        <v>141</v>
      </c>
      <c r="CF143" s="198" t="s">
        <v>141</v>
      </c>
      <c r="CG143" s="199" t="s">
        <v>141</v>
      </c>
      <c r="CH143" s="200" t="s">
        <v>141</v>
      </c>
      <c r="CI143" s="201" t="s">
        <v>141</v>
      </c>
      <c r="CJ143" s="202" t="s">
        <v>141</v>
      </c>
      <c r="CK143" s="203" t="s">
        <v>141</v>
      </c>
      <c r="CL143" s="204" t="s">
        <v>141</v>
      </c>
      <c r="CM143" s="205" t="s">
        <v>141</v>
      </c>
      <c r="CN143" s="206" t="s">
        <v>141</v>
      </c>
      <c r="CO143" s="207" t="s">
        <v>141</v>
      </c>
      <c r="CP143" s="208" t="s">
        <v>141</v>
      </c>
      <c r="CQ143" s="209" t="s">
        <v>141</v>
      </c>
      <c r="CR143" s="210" t="s">
        <v>141</v>
      </c>
      <c r="CS143" s="211" t="s">
        <v>141</v>
      </c>
      <c r="CT143" s="212" t="s">
        <v>141</v>
      </c>
      <c r="CU143" s="213" t="s">
        <v>141</v>
      </c>
      <c r="CV143" s="214" t="s">
        <v>141</v>
      </c>
      <c r="CW143" s="215" t="s">
        <v>141</v>
      </c>
      <c r="CX143" s="216">
        <v>72</v>
      </c>
      <c r="CY143" s="217" t="s">
        <v>150</v>
      </c>
      <c r="CZ143" s="218" t="s">
        <v>180</v>
      </c>
      <c r="DA143" s="219" t="s">
        <v>152</v>
      </c>
      <c r="DB143" s="220" t="s">
        <v>153</v>
      </c>
      <c r="DC143" s="221" t="s">
        <v>181</v>
      </c>
      <c r="DD143" s="222" t="s">
        <v>182</v>
      </c>
      <c r="DE143" s="223" t="s">
        <v>469</v>
      </c>
      <c r="DF143" s="224" t="s">
        <v>157</v>
      </c>
      <c r="DG143" s="225">
        <v>2010</v>
      </c>
      <c r="DH143" s="226" t="s">
        <v>470</v>
      </c>
      <c r="DI143" s="228" t="str">
        <f>HYPERLINK("https://my.pitchbook.com?c=59987-98T", "View company online")</f>
        <v>View company online</v>
      </c>
    </row>
    <row r="144" spans="1:113" x14ac:dyDescent="0.2">
      <c r="A144" s="3" t="s">
        <v>1879</v>
      </c>
      <c r="B144" s="4" t="s">
        <v>1220</v>
      </c>
      <c r="C144" s="5" t="s">
        <v>1221</v>
      </c>
      <c r="D144" s="6" t="s">
        <v>1222</v>
      </c>
      <c r="E144" s="7" t="s">
        <v>1223</v>
      </c>
      <c r="F144" s="8" t="s">
        <v>126</v>
      </c>
      <c r="G144" s="9" t="s">
        <v>127</v>
      </c>
      <c r="H144" s="10" t="s">
        <v>128</v>
      </c>
      <c r="I144" s="11" t="s">
        <v>1224</v>
      </c>
      <c r="J144" s="12" t="s">
        <v>1225</v>
      </c>
      <c r="K144" s="13" t="s">
        <v>1226</v>
      </c>
      <c r="L144" s="14" t="s">
        <v>132</v>
      </c>
      <c r="M144" s="15" t="s">
        <v>133</v>
      </c>
      <c r="N144" s="16" t="s">
        <v>170</v>
      </c>
      <c r="O144" s="17" t="s">
        <v>1227</v>
      </c>
      <c r="P144" s="18" t="s">
        <v>1228</v>
      </c>
      <c r="Q144" s="19" t="s">
        <v>1229</v>
      </c>
      <c r="R144" s="20" t="s">
        <v>1230</v>
      </c>
      <c r="S144" s="21" t="s">
        <v>1231</v>
      </c>
      <c r="T144" s="22" t="s">
        <v>1232</v>
      </c>
      <c r="U144" s="23">
        <v>3</v>
      </c>
      <c r="V144" s="24" t="s">
        <v>1879</v>
      </c>
      <c r="W144" s="25" t="s">
        <v>141</v>
      </c>
      <c r="X144" s="26">
        <v>41617</v>
      </c>
      <c r="Y144" s="27">
        <v>1.96</v>
      </c>
      <c r="Z144" s="28" t="s">
        <v>177</v>
      </c>
      <c r="AA144" s="29">
        <v>4.01</v>
      </c>
      <c r="AB144" s="30">
        <v>5.97</v>
      </c>
      <c r="AC144" s="31" t="s">
        <v>177</v>
      </c>
      <c r="AD144" s="32">
        <v>33.56</v>
      </c>
      <c r="AE144" s="33">
        <v>3.61</v>
      </c>
      <c r="AF144" s="34" t="s">
        <v>1571</v>
      </c>
      <c r="AG144" s="35" t="s">
        <v>141</v>
      </c>
      <c r="AH144" s="36">
        <v>7.27</v>
      </c>
      <c r="AI144" s="37" t="s">
        <v>141</v>
      </c>
      <c r="AJ144" s="38" t="s">
        <v>1518</v>
      </c>
      <c r="AK144" s="39" t="s">
        <v>141</v>
      </c>
      <c r="AL144" s="40" t="s">
        <v>141</v>
      </c>
      <c r="AM144" s="41" t="s">
        <v>170</v>
      </c>
      <c r="AN144" s="42" t="s">
        <v>1880</v>
      </c>
      <c r="AO144" s="43">
        <v>1.96</v>
      </c>
      <c r="AP144" s="44" t="s">
        <v>145</v>
      </c>
      <c r="AQ144" s="45" t="s">
        <v>141</v>
      </c>
      <c r="AR144" s="46" t="s">
        <v>141</v>
      </c>
      <c r="AS144" s="47" t="s">
        <v>141</v>
      </c>
      <c r="AT144" s="48" t="s">
        <v>141</v>
      </c>
      <c r="AU144" s="49" t="s">
        <v>141</v>
      </c>
      <c r="AV144" s="50" t="s">
        <v>141</v>
      </c>
      <c r="AW144" s="51" t="s">
        <v>141</v>
      </c>
      <c r="AX144" s="52" t="s">
        <v>141</v>
      </c>
      <c r="AY144" s="53" t="s">
        <v>141</v>
      </c>
      <c r="AZ144" s="54" t="s">
        <v>141</v>
      </c>
      <c r="BA144" s="55" t="s">
        <v>146</v>
      </c>
      <c r="BB144" s="56" t="s">
        <v>263</v>
      </c>
      <c r="BC144" s="57" t="s">
        <v>132</v>
      </c>
      <c r="BD144" s="58">
        <v>13</v>
      </c>
      <c r="BE144" s="59">
        <v>3</v>
      </c>
      <c r="BF144" s="60" t="s">
        <v>1881</v>
      </c>
      <c r="BG144" s="61">
        <v>2</v>
      </c>
      <c r="BH144" s="62" t="s">
        <v>1234</v>
      </c>
      <c r="BI144" s="63">
        <v>1</v>
      </c>
      <c r="BJ144" s="64" t="s">
        <v>141</v>
      </c>
      <c r="BK144" s="65" t="s">
        <v>1882</v>
      </c>
      <c r="BL144" s="66" t="s">
        <v>1883</v>
      </c>
      <c r="BM144" s="67" t="s">
        <v>1884</v>
      </c>
      <c r="BN144" s="68" t="s">
        <v>1237</v>
      </c>
      <c r="BO144" s="69" t="s">
        <v>141</v>
      </c>
      <c r="BP144" s="70" t="s">
        <v>141</v>
      </c>
      <c r="BQ144" s="71" t="s">
        <v>141</v>
      </c>
      <c r="BR144" s="72" t="s">
        <v>1885</v>
      </c>
      <c r="BS144" s="73" t="s">
        <v>141</v>
      </c>
      <c r="BT144" s="74" t="s">
        <v>141</v>
      </c>
      <c r="BU144" s="75" t="s">
        <v>1885</v>
      </c>
      <c r="BV144" s="76" t="s">
        <v>141</v>
      </c>
      <c r="BW144" s="77" t="s">
        <v>141</v>
      </c>
      <c r="BX144" s="78" t="s">
        <v>141</v>
      </c>
      <c r="BY144" s="79" t="s">
        <v>141</v>
      </c>
      <c r="BZ144" s="80" t="s">
        <v>141</v>
      </c>
      <c r="CA144" s="81" t="s">
        <v>141</v>
      </c>
      <c r="CB144" s="82" t="s">
        <v>141</v>
      </c>
      <c r="CC144" s="83" t="s">
        <v>141</v>
      </c>
      <c r="CD144" s="84">
        <v>0</v>
      </c>
      <c r="CE144" s="85">
        <v>2014</v>
      </c>
      <c r="CF144" s="86" t="s">
        <v>141</v>
      </c>
      <c r="CG144" s="87" t="s">
        <v>141</v>
      </c>
      <c r="CH144" s="88" t="s">
        <v>141</v>
      </c>
      <c r="CI144" s="89" t="s">
        <v>141</v>
      </c>
      <c r="CJ144" s="90" t="s">
        <v>141</v>
      </c>
      <c r="CK144" s="91" t="s">
        <v>141</v>
      </c>
      <c r="CL144" s="92" t="s">
        <v>141</v>
      </c>
      <c r="CM144" s="93" t="s">
        <v>141</v>
      </c>
      <c r="CN144" s="94" t="s">
        <v>141</v>
      </c>
      <c r="CO144" s="95" t="s">
        <v>141</v>
      </c>
      <c r="CP144" s="96" t="s">
        <v>141</v>
      </c>
      <c r="CQ144" s="97" t="s">
        <v>141</v>
      </c>
      <c r="CR144" s="98" t="s">
        <v>141</v>
      </c>
      <c r="CS144" s="99" t="s">
        <v>141</v>
      </c>
      <c r="CT144" s="100" t="s">
        <v>141</v>
      </c>
      <c r="CU144" s="101" t="s">
        <v>141</v>
      </c>
      <c r="CV144" s="102" t="s">
        <v>141</v>
      </c>
      <c r="CW144" s="103" t="s">
        <v>141</v>
      </c>
      <c r="CX144" s="104">
        <v>100</v>
      </c>
      <c r="CY144" s="105" t="s">
        <v>640</v>
      </c>
      <c r="CZ144" s="106" t="s">
        <v>1136</v>
      </c>
      <c r="DA144" s="107" t="s">
        <v>642</v>
      </c>
      <c r="DB144" s="108" t="s">
        <v>643</v>
      </c>
      <c r="DC144" s="109" t="s">
        <v>1137</v>
      </c>
      <c r="DD144" s="110" t="s">
        <v>644</v>
      </c>
      <c r="DE144" s="111" t="s">
        <v>1238</v>
      </c>
      <c r="DF144" s="112" t="s">
        <v>641</v>
      </c>
      <c r="DG144" s="113">
        <v>2011</v>
      </c>
      <c r="DH144" s="114" t="s">
        <v>1239</v>
      </c>
      <c r="DI144" s="227" t="str">
        <f>HYPERLINK("https://my.pitchbook.com?c=30174-31T", "View company online")</f>
        <v>View company online</v>
      </c>
    </row>
    <row r="145" spans="1:113" x14ac:dyDescent="0.2">
      <c r="A145" s="115" t="s">
        <v>1886</v>
      </c>
      <c r="B145" s="116" t="s">
        <v>1220</v>
      </c>
      <c r="C145" s="117" t="s">
        <v>1221</v>
      </c>
      <c r="D145" s="118" t="s">
        <v>1222</v>
      </c>
      <c r="E145" s="119" t="s">
        <v>1223</v>
      </c>
      <c r="F145" s="120" t="s">
        <v>126</v>
      </c>
      <c r="G145" s="121" t="s">
        <v>127</v>
      </c>
      <c r="H145" s="122" t="s">
        <v>128</v>
      </c>
      <c r="I145" s="123" t="s">
        <v>1224</v>
      </c>
      <c r="J145" s="124" t="s">
        <v>1225</v>
      </c>
      <c r="K145" s="125" t="s">
        <v>1226</v>
      </c>
      <c r="L145" s="126" t="s">
        <v>132</v>
      </c>
      <c r="M145" s="127" t="s">
        <v>133</v>
      </c>
      <c r="N145" s="128" t="s">
        <v>170</v>
      </c>
      <c r="O145" s="129" t="s">
        <v>1227</v>
      </c>
      <c r="P145" s="130" t="s">
        <v>1228</v>
      </c>
      <c r="Q145" s="131" t="s">
        <v>1229</v>
      </c>
      <c r="R145" s="132" t="s">
        <v>1230</v>
      </c>
      <c r="S145" s="133" t="s">
        <v>1231</v>
      </c>
      <c r="T145" s="134" t="s">
        <v>1232</v>
      </c>
      <c r="U145" s="135">
        <v>5</v>
      </c>
      <c r="V145" s="136" t="s">
        <v>1886</v>
      </c>
      <c r="W145" s="137" t="s">
        <v>141</v>
      </c>
      <c r="X145" s="138">
        <v>41897</v>
      </c>
      <c r="Y145" s="139">
        <v>8.2200000000000006</v>
      </c>
      <c r="Z145" s="140" t="s">
        <v>177</v>
      </c>
      <c r="AA145" s="141">
        <v>11.66</v>
      </c>
      <c r="AB145" s="142">
        <v>19.88</v>
      </c>
      <c r="AC145" s="143" t="s">
        <v>177</v>
      </c>
      <c r="AD145" s="144">
        <v>41.34</v>
      </c>
      <c r="AE145" s="145">
        <v>12.13</v>
      </c>
      <c r="AF145" s="146" t="s">
        <v>1582</v>
      </c>
      <c r="AG145" s="147" t="s">
        <v>141</v>
      </c>
      <c r="AH145" s="148">
        <v>13.92</v>
      </c>
      <c r="AI145" s="149" t="s">
        <v>1517</v>
      </c>
      <c r="AJ145" s="150" t="s">
        <v>1518</v>
      </c>
      <c r="AK145" s="151" t="s">
        <v>1517</v>
      </c>
      <c r="AL145" s="152" t="s">
        <v>141</v>
      </c>
      <c r="AM145" s="153" t="s">
        <v>170</v>
      </c>
      <c r="AN145" s="154" t="s">
        <v>1887</v>
      </c>
      <c r="AO145" s="155">
        <v>8.2200000000000006</v>
      </c>
      <c r="AP145" s="156" t="s">
        <v>145</v>
      </c>
      <c r="AQ145" s="157" t="s">
        <v>141</v>
      </c>
      <c r="AR145" s="158" t="s">
        <v>141</v>
      </c>
      <c r="AS145" s="159" t="s">
        <v>141</v>
      </c>
      <c r="AT145" s="160" t="s">
        <v>141</v>
      </c>
      <c r="AU145" s="161" t="s">
        <v>141</v>
      </c>
      <c r="AV145" s="162" t="s">
        <v>141</v>
      </c>
      <c r="AW145" s="163" t="s">
        <v>141</v>
      </c>
      <c r="AX145" s="164" t="s">
        <v>141</v>
      </c>
      <c r="AY145" s="165" t="s">
        <v>141</v>
      </c>
      <c r="AZ145" s="166" t="s">
        <v>141</v>
      </c>
      <c r="BA145" s="167" t="s">
        <v>146</v>
      </c>
      <c r="BB145" s="168" t="s">
        <v>133</v>
      </c>
      <c r="BC145" s="169" t="s">
        <v>132</v>
      </c>
      <c r="BD145" s="170">
        <v>19</v>
      </c>
      <c r="BE145" s="171">
        <v>2</v>
      </c>
      <c r="BF145" s="172" t="s">
        <v>1888</v>
      </c>
      <c r="BG145" s="173">
        <v>1</v>
      </c>
      <c r="BH145" s="174" t="s">
        <v>1889</v>
      </c>
      <c r="BI145" s="175">
        <v>1</v>
      </c>
      <c r="BJ145" s="176" t="s">
        <v>141</v>
      </c>
      <c r="BK145" s="177" t="s">
        <v>1890</v>
      </c>
      <c r="BL145" s="178" t="s">
        <v>1891</v>
      </c>
      <c r="BM145" s="179" t="s">
        <v>1892</v>
      </c>
      <c r="BN145" s="180" t="s">
        <v>1893</v>
      </c>
      <c r="BO145" s="181" t="s">
        <v>141</v>
      </c>
      <c r="BP145" s="182" t="s">
        <v>141</v>
      </c>
      <c r="BQ145" s="183" t="s">
        <v>141</v>
      </c>
      <c r="BR145" s="184" t="s">
        <v>1885</v>
      </c>
      <c r="BS145" s="185" t="s">
        <v>141</v>
      </c>
      <c r="BT145" s="186" t="s">
        <v>141</v>
      </c>
      <c r="BU145" s="187" t="s">
        <v>1885</v>
      </c>
      <c r="BV145" s="188" t="s">
        <v>141</v>
      </c>
      <c r="BW145" s="189" t="s">
        <v>141</v>
      </c>
      <c r="BX145" s="190" t="s">
        <v>141</v>
      </c>
      <c r="BY145" s="191" t="s">
        <v>141</v>
      </c>
      <c r="BZ145" s="192" t="s">
        <v>141</v>
      </c>
      <c r="CA145" s="193" t="s">
        <v>141</v>
      </c>
      <c r="CB145" s="194" t="s">
        <v>141</v>
      </c>
      <c r="CC145" s="195" t="s">
        <v>141</v>
      </c>
      <c r="CD145" s="196">
        <v>0</v>
      </c>
      <c r="CE145" s="197">
        <v>2014</v>
      </c>
      <c r="CF145" s="198" t="s">
        <v>141</v>
      </c>
      <c r="CG145" s="199" t="s">
        <v>141</v>
      </c>
      <c r="CH145" s="200" t="s">
        <v>141</v>
      </c>
      <c r="CI145" s="201" t="s">
        <v>141</v>
      </c>
      <c r="CJ145" s="202" t="s">
        <v>141</v>
      </c>
      <c r="CK145" s="203" t="s">
        <v>141</v>
      </c>
      <c r="CL145" s="204" t="s">
        <v>141</v>
      </c>
      <c r="CM145" s="205" t="s">
        <v>141</v>
      </c>
      <c r="CN145" s="206" t="s">
        <v>141</v>
      </c>
      <c r="CO145" s="207" t="s">
        <v>141</v>
      </c>
      <c r="CP145" s="208" t="s">
        <v>141</v>
      </c>
      <c r="CQ145" s="209" t="s">
        <v>141</v>
      </c>
      <c r="CR145" s="210" t="s">
        <v>141</v>
      </c>
      <c r="CS145" s="211" t="s">
        <v>141</v>
      </c>
      <c r="CT145" s="212" t="s">
        <v>141</v>
      </c>
      <c r="CU145" s="213" t="s">
        <v>141</v>
      </c>
      <c r="CV145" s="214" t="s">
        <v>141</v>
      </c>
      <c r="CW145" s="215" t="s">
        <v>141</v>
      </c>
      <c r="CX145" s="216">
        <v>100</v>
      </c>
      <c r="CY145" s="217" t="s">
        <v>640</v>
      </c>
      <c r="CZ145" s="218" t="s">
        <v>1136</v>
      </c>
      <c r="DA145" s="219" t="s">
        <v>642</v>
      </c>
      <c r="DB145" s="220" t="s">
        <v>643</v>
      </c>
      <c r="DC145" s="221" t="s">
        <v>1137</v>
      </c>
      <c r="DD145" s="222" t="s">
        <v>644</v>
      </c>
      <c r="DE145" s="223" t="s">
        <v>1238</v>
      </c>
      <c r="DF145" s="224" t="s">
        <v>641</v>
      </c>
      <c r="DG145" s="225">
        <v>2011</v>
      </c>
      <c r="DH145" s="226" t="s">
        <v>1239</v>
      </c>
      <c r="DI145" s="228" t="str">
        <f>HYPERLINK("https://my.pitchbook.com?c=37627-93T", "View company online")</f>
        <v>View company online</v>
      </c>
    </row>
    <row r="146" spans="1:113" x14ac:dyDescent="0.2">
      <c r="A146" s="3" t="s">
        <v>1894</v>
      </c>
      <c r="B146" s="4" t="s">
        <v>1220</v>
      </c>
      <c r="C146" s="5" t="s">
        <v>1221</v>
      </c>
      <c r="D146" s="6" t="s">
        <v>1222</v>
      </c>
      <c r="E146" s="7" t="s">
        <v>1223</v>
      </c>
      <c r="F146" s="8" t="s">
        <v>126</v>
      </c>
      <c r="G146" s="9" t="s">
        <v>127</v>
      </c>
      <c r="H146" s="10" t="s">
        <v>128</v>
      </c>
      <c r="I146" s="11" t="s">
        <v>1224</v>
      </c>
      <c r="J146" s="12" t="s">
        <v>1225</v>
      </c>
      <c r="K146" s="13" t="s">
        <v>1226</v>
      </c>
      <c r="L146" s="14" t="s">
        <v>132</v>
      </c>
      <c r="M146" s="15" t="s">
        <v>133</v>
      </c>
      <c r="N146" s="16" t="s">
        <v>170</v>
      </c>
      <c r="O146" s="17" t="s">
        <v>1227</v>
      </c>
      <c r="P146" s="18" t="s">
        <v>1228</v>
      </c>
      <c r="Q146" s="19" t="s">
        <v>1229</v>
      </c>
      <c r="R146" s="20" t="s">
        <v>1230</v>
      </c>
      <c r="S146" s="21" t="s">
        <v>1231</v>
      </c>
      <c r="T146" s="22" t="s">
        <v>1232</v>
      </c>
      <c r="U146" s="23">
        <v>6</v>
      </c>
      <c r="V146" s="24" t="s">
        <v>1894</v>
      </c>
      <c r="W146" s="25">
        <v>42114</v>
      </c>
      <c r="X146" s="26">
        <v>42677</v>
      </c>
      <c r="Y146" s="27">
        <v>27.15</v>
      </c>
      <c r="Z146" s="28" t="s">
        <v>177</v>
      </c>
      <c r="AA146" s="29">
        <v>36.6</v>
      </c>
      <c r="AB146" s="30">
        <v>63.75</v>
      </c>
      <c r="AC146" s="31" t="s">
        <v>177</v>
      </c>
      <c r="AD146" s="32">
        <v>42.58</v>
      </c>
      <c r="AE146" s="33">
        <v>39.270000000000003</v>
      </c>
      <c r="AF146" s="34" t="s">
        <v>1516</v>
      </c>
      <c r="AG146" s="35" t="s">
        <v>1188</v>
      </c>
      <c r="AH146" s="36">
        <v>30.46</v>
      </c>
      <c r="AI146" s="37" t="s">
        <v>141</v>
      </c>
      <c r="AJ146" s="38" t="s">
        <v>1518</v>
      </c>
      <c r="AK146" s="39" t="s">
        <v>141</v>
      </c>
      <c r="AL146" s="40" t="s">
        <v>141</v>
      </c>
      <c r="AM146" s="41" t="s">
        <v>170</v>
      </c>
      <c r="AN146" s="42" t="s">
        <v>1895</v>
      </c>
      <c r="AO146" s="43">
        <v>27.15</v>
      </c>
      <c r="AP146" s="44" t="s">
        <v>145</v>
      </c>
      <c r="AQ146" s="45" t="s">
        <v>141</v>
      </c>
      <c r="AR146" s="46" t="s">
        <v>141</v>
      </c>
      <c r="AS146" s="47" t="s">
        <v>1896</v>
      </c>
      <c r="AT146" s="48" t="s">
        <v>141</v>
      </c>
      <c r="AU146" s="49" t="s">
        <v>141</v>
      </c>
      <c r="AV146" s="50" t="s">
        <v>141</v>
      </c>
      <c r="AW146" s="51" t="s">
        <v>141</v>
      </c>
      <c r="AX146" s="52" t="s">
        <v>141</v>
      </c>
      <c r="AY146" s="53" t="s">
        <v>141</v>
      </c>
      <c r="AZ146" s="54" t="s">
        <v>141</v>
      </c>
      <c r="BA146" s="55" t="s">
        <v>146</v>
      </c>
      <c r="BB146" s="56" t="s">
        <v>133</v>
      </c>
      <c r="BC146" s="57" t="s">
        <v>132</v>
      </c>
      <c r="BD146" s="58">
        <v>200</v>
      </c>
      <c r="BE146" s="59">
        <v>5</v>
      </c>
      <c r="BF146" s="60" t="s">
        <v>1897</v>
      </c>
      <c r="BG146" s="61">
        <v>2</v>
      </c>
      <c r="BH146" s="62" t="s">
        <v>1898</v>
      </c>
      <c r="BI146" s="63">
        <v>3</v>
      </c>
      <c r="BJ146" s="64" t="s">
        <v>141</v>
      </c>
      <c r="BK146" s="65" t="s">
        <v>1899</v>
      </c>
      <c r="BL146" s="66" t="s">
        <v>1900</v>
      </c>
      <c r="BM146" s="67" t="s">
        <v>141</v>
      </c>
      <c r="BN146" s="68" t="s">
        <v>1901</v>
      </c>
      <c r="BO146" s="69" t="s">
        <v>141</v>
      </c>
      <c r="BP146" s="70" t="s">
        <v>141</v>
      </c>
      <c r="BQ146" s="71" t="s">
        <v>141</v>
      </c>
      <c r="BR146" s="72" t="s">
        <v>1902</v>
      </c>
      <c r="BS146" s="73" t="s">
        <v>141</v>
      </c>
      <c r="BT146" s="74" t="s">
        <v>141</v>
      </c>
      <c r="BU146" s="75" t="s">
        <v>1902</v>
      </c>
      <c r="BV146" s="76" t="s">
        <v>141</v>
      </c>
      <c r="BW146" s="77" t="s">
        <v>141</v>
      </c>
      <c r="BX146" s="78">
        <v>17.23</v>
      </c>
      <c r="BY146" s="79" t="s">
        <v>141</v>
      </c>
      <c r="BZ146" s="80" t="s">
        <v>141</v>
      </c>
      <c r="CA146" s="81" t="s">
        <v>141</v>
      </c>
      <c r="CB146" s="82">
        <v>-8.48</v>
      </c>
      <c r="CC146" s="83">
        <v>-8.91</v>
      </c>
      <c r="CD146" s="84">
        <v>0</v>
      </c>
      <c r="CE146" s="85">
        <v>2016</v>
      </c>
      <c r="CF146" s="86">
        <v>-7.52</v>
      </c>
      <c r="CG146" s="87">
        <v>-7.15</v>
      </c>
      <c r="CH146" s="88" t="s">
        <v>141</v>
      </c>
      <c r="CI146" s="89">
        <v>3.7</v>
      </c>
      <c r="CJ146" s="90" t="s">
        <v>141</v>
      </c>
      <c r="CK146" s="91">
        <v>-3.2</v>
      </c>
      <c r="CL146" s="92">
        <v>-3.05</v>
      </c>
      <c r="CM146" s="93" t="s">
        <v>141</v>
      </c>
      <c r="CN146" s="94">
        <v>1.58</v>
      </c>
      <c r="CO146" s="95" t="s">
        <v>141</v>
      </c>
      <c r="CP146" s="96" t="s">
        <v>141</v>
      </c>
      <c r="CQ146" s="97" t="s">
        <v>141</v>
      </c>
      <c r="CR146" s="98" t="s">
        <v>141</v>
      </c>
      <c r="CS146" s="99" t="s">
        <v>141</v>
      </c>
      <c r="CT146" s="100" t="s">
        <v>141</v>
      </c>
      <c r="CU146" s="101" t="s">
        <v>141</v>
      </c>
      <c r="CV146" s="102" t="s">
        <v>141</v>
      </c>
      <c r="CW146" s="103">
        <v>-49.21</v>
      </c>
      <c r="CX146" s="104">
        <v>100</v>
      </c>
      <c r="CY146" s="105" t="s">
        <v>640</v>
      </c>
      <c r="CZ146" s="106" t="s">
        <v>1136</v>
      </c>
      <c r="DA146" s="107" t="s">
        <v>642</v>
      </c>
      <c r="DB146" s="108" t="s">
        <v>643</v>
      </c>
      <c r="DC146" s="109" t="s">
        <v>1137</v>
      </c>
      <c r="DD146" s="110" t="s">
        <v>644</v>
      </c>
      <c r="DE146" s="111" t="s">
        <v>1238</v>
      </c>
      <c r="DF146" s="112" t="s">
        <v>641</v>
      </c>
      <c r="DG146" s="113">
        <v>2011</v>
      </c>
      <c r="DH146" s="114" t="s">
        <v>1239</v>
      </c>
      <c r="DI146" s="227" t="str">
        <f>HYPERLINK("https://my.pitchbook.com?c=78015-88T", "View company online")</f>
        <v>View company online</v>
      </c>
    </row>
    <row r="147" spans="1:113" x14ac:dyDescent="0.2">
      <c r="A147" s="115" t="s">
        <v>1903</v>
      </c>
      <c r="B147" s="116" t="s">
        <v>490</v>
      </c>
      <c r="C147" s="117" t="s">
        <v>491</v>
      </c>
      <c r="D147" s="118" t="s">
        <v>492</v>
      </c>
      <c r="E147" s="119" t="s">
        <v>493</v>
      </c>
      <c r="F147" s="120" t="s">
        <v>126</v>
      </c>
      <c r="G147" s="121" t="s">
        <v>252</v>
      </c>
      <c r="H147" s="122" t="s">
        <v>253</v>
      </c>
      <c r="I147" s="123" t="s">
        <v>494</v>
      </c>
      <c r="J147" s="124" t="s">
        <v>495</v>
      </c>
      <c r="K147" s="125" t="s">
        <v>496</v>
      </c>
      <c r="L147" s="126" t="s">
        <v>345</v>
      </c>
      <c r="M147" s="127" t="s">
        <v>133</v>
      </c>
      <c r="N147" s="128" t="s">
        <v>170</v>
      </c>
      <c r="O147" s="129" t="s">
        <v>497</v>
      </c>
      <c r="P147" s="130" t="s">
        <v>498</v>
      </c>
      <c r="Q147" s="131" t="s">
        <v>141</v>
      </c>
      <c r="R147" s="132" t="s">
        <v>499</v>
      </c>
      <c r="S147" s="133" t="s">
        <v>500</v>
      </c>
      <c r="T147" s="134" t="s">
        <v>501</v>
      </c>
      <c r="U147" s="135">
        <v>4</v>
      </c>
      <c r="V147" s="136" t="s">
        <v>1903</v>
      </c>
      <c r="W147" s="137" t="s">
        <v>141</v>
      </c>
      <c r="X147" s="138">
        <v>41198</v>
      </c>
      <c r="Y147" s="139">
        <v>2.19</v>
      </c>
      <c r="Z147" s="140" t="s">
        <v>177</v>
      </c>
      <c r="AA147" s="141">
        <v>3.25</v>
      </c>
      <c r="AB147" s="142">
        <v>5.44</v>
      </c>
      <c r="AC147" s="143" t="s">
        <v>177</v>
      </c>
      <c r="AD147" s="144">
        <v>40.19</v>
      </c>
      <c r="AE147" s="145">
        <v>2.21</v>
      </c>
      <c r="AF147" s="146" t="s">
        <v>1582</v>
      </c>
      <c r="AG147" s="147" t="s">
        <v>1188</v>
      </c>
      <c r="AH147" s="148">
        <v>2.94</v>
      </c>
      <c r="AI147" s="149" t="s">
        <v>1517</v>
      </c>
      <c r="AJ147" s="150" t="s">
        <v>1518</v>
      </c>
      <c r="AK147" s="151" t="s">
        <v>1517</v>
      </c>
      <c r="AL147" s="152" t="s">
        <v>141</v>
      </c>
      <c r="AM147" s="153" t="s">
        <v>170</v>
      </c>
      <c r="AN147" s="154" t="s">
        <v>1904</v>
      </c>
      <c r="AO147" s="155">
        <v>2.19</v>
      </c>
      <c r="AP147" s="156" t="s">
        <v>145</v>
      </c>
      <c r="AQ147" s="157" t="s">
        <v>141</v>
      </c>
      <c r="AR147" s="158" t="s">
        <v>141</v>
      </c>
      <c r="AS147" s="159" t="s">
        <v>141</v>
      </c>
      <c r="AT147" s="160" t="s">
        <v>141</v>
      </c>
      <c r="AU147" s="161" t="s">
        <v>141</v>
      </c>
      <c r="AV147" s="162" t="s">
        <v>141</v>
      </c>
      <c r="AW147" s="163" t="s">
        <v>141</v>
      </c>
      <c r="AX147" s="164" t="s">
        <v>141</v>
      </c>
      <c r="AY147" s="165" t="s">
        <v>141</v>
      </c>
      <c r="AZ147" s="166" t="s">
        <v>141</v>
      </c>
      <c r="BA147" s="167" t="s">
        <v>146</v>
      </c>
      <c r="BB147" s="168" t="s">
        <v>263</v>
      </c>
      <c r="BC147" s="169" t="s">
        <v>132</v>
      </c>
      <c r="BD147" s="170" t="s">
        <v>141</v>
      </c>
      <c r="BE147" s="171">
        <v>2</v>
      </c>
      <c r="BF147" s="172" t="s">
        <v>1905</v>
      </c>
      <c r="BG147" s="173">
        <v>1</v>
      </c>
      <c r="BH147" s="174" t="s">
        <v>1906</v>
      </c>
      <c r="BI147" s="175">
        <v>1</v>
      </c>
      <c r="BJ147" s="176" t="s">
        <v>141</v>
      </c>
      <c r="BK147" s="177" t="s">
        <v>1907</v>
      </c>
      <c r="BL147" s="178" t="s">
        <v>1908</v>
      </c>
      <c r="BM147" s="179" t="s">
        <v>141</v>
      </c>
      <c r="BN147" s="180" t="s">
        <v>1909</v>
      </c>
      <c r="BO147" s="181" t="s">
        <v>141</v>
      </c>
      <c r="BP147" s="182" t="s">
        <v>141</v>
      </c>
      <c r="BQ147" s="183" t="s">
        <v>141</v>
      </c>
      <c r="BR147" s="184" t="s">
        <v>503</v>
      </c>
      <c r="BS147" s="185" t="s">
        <v>503</v>
      </c>
      <c r="BT147" s="186" t="s">
        <v>141</v>
      </c>
      <c r="BU147" s="187" t="s">
        <v>141</v>
      </c>
      <c r="BV147" s="188" t="s">
        <v>141</v>
      </c>
      <c r="BW147" s="189" t="s">
        <v>141</v>
      </c>
      <c r="BX147" s="190" t="s">
        <v>141</v>
      </c>
      <c r="BY147" s="191" t="s">
        <v>141</v>
      </c>
      <c r="BZ147" s="192" t="s">
        <v>141</v>
      </c>
      <c r="CA147" s="193" t="s">
        <v>141</v>
      </c>
      <c r="CB147" s="194" t="s">
        <v>141</v>
      </c>
      <c r="CC147" s="195" t="s">
        <v>141</v>
      </c>
      <c r="CD147" s="196" t="s">
        <v>141</v>
      </c>
      <c r="CE147" s="197" t="s">
        <v>141</v>
      </c>
      <c r="CF147" s="198" t="s">
        <v>141</v>
      </c>
      <c r="CG147" s="199" t="s">
        <v>141</v>
      </c>
      <c r="CH147" s="200" t="s">
        <v>141</v>
      </c>
      <c r="CI147" s="201" t="s">
        <v>141</v>
      </c>
      <c r="CJ147" s="202" t="s">
        <v>141</v>
      </c>
      <c r="CK147" s="203" t="s">
        <v>141</v>
      </c>
      <c r="CL147" s="204" t="s">
        <v>141</v>
      </c>
      <c r="CM147" s="205" t="s">
        <v>141</v>
      </c>
      <c r="CN147" s="206" t="s">
        <v>141</v>
      </c>
      <c r="CO147" s="207" t="s">
        <v>141</v>
      </c>
      <c r="CP147" s="208" t="s">
        <v>141</v>
      </c>
      <c r="CQ147" s="209" t="s">
        <v>141</v>
      </c>
      <c r="CR147" s="210" t="s">
        <v>141</v>
      </c>
      <c r="CS147" s="211" t="s">
        <v>141</v>
      </c>
      <c r="CT147" s="212" t="s">
        <v>141</v>
      </c>
      <c r="CU147" s="213" t="s">
        <v>141</v>
      </c>
      <c r="CV147" s="214" t="s">
        <v>141</v>
      </c>
      <c r="CW147" s="215" t="s">
        <v>141</v>
      </c>
      <c r="CX147" s="216">
        <v>200</v>
      </c>
      <c r="CY147" s="217" t="s">
        <v>150</v>
      </c>
      <c r="CZ147" s="218" t="s">
        <v>200</v>
      </c>
      <c r="DA147" s="219" t="s">
        <v>152</v>
      </c>
      <c r="DB147" s="220" t="s">
        <v>153</v>
      </c>
      <c r="DC147" s="221" t="s">
        <v>201</v>
      </c>
      <c r="DD147" s="222" t="s">
        <v>201</v>
      </c>
      <c r="DE147" s="223" t="s">
        <v>504</v>
      </c>
      <c r="DF147" s="224" t="s">
        <v>157</v>
      </c>
      <c r="DG147" s="225">
        <v>2012</v>
      </c>
      <c r="DH147" s="226" t="s">
        <v>505</v>
      </c>
      <c r="DI147" s="228" t="str">
        <f>HYPERLINK("https://my.pitchbook.com?c=22309-75T", "View company online")</f>
        <v>View company online</v>
      </c>
    </row>
    <row r="148" spans="1:113" x14ac:dyDescent="0.2">
      <c r="A148" s="3" t="s">
        <v>1910</v>
      </c>
      <c r="B148" s="4" t="s">
        <v>490</v>
      </c>
      <c r="C148" s="5" t="s">
        <v>491</v>
      </c>
      <c r="D148" s="6" t="s">
        <v>492</v>
      </c>
      <c r="E148" s="7" t="s">
        <v>493</v>
      </c>
      <c r="F148" s="8" t="s">
        <v>126</v>
      </c>
      <c r="G148" s="9" t="s">
        <v>252</v>
      </c>
      <c r="H148" s="10" t="s">
        <v>253</v>
      </c>
      <c r="I148" s="11" t="s">
        <v>494</v>
      </c>
      <c r="J148" s="12" t="s">
        <v>495</v>
      </c>
      <c r="K148" s="13" t="s">
        <v>496</v>
      </c>
      <c r="L148" s="14" t="s">
        <v>345</v>
      </c>
      <c r="M148" s="15" t="s">
        <v>133</v>
      </c>
      <c r="N148" s="16" t="s">
        <v>170</v>
      </c>
      <c r="O148" s="17" t="s">
        <v>497</v>
      </c>
      <c r="P148" s="18" t="s">
        <v>498</v>
      </c>
      <c r="Q148" s="19" t="s">
        <v>141</v>
      </c>
      <c r="R148" s="20" t="s">
        <v>499</v>
      </c>
      <c r="S148" s="21" t="s">
        <v>500</v>
      </c>
      <c r="T148" s="22" t="s">
        <v>501</v>
      </c>
      <c r="U148" s="23">
        <v>5</v>
      </c>
      <c r="V148" s="24" t="s">
        <v>1910</v>
      </c>
      <c r="W148" s="25" t="s">
        <v>141</v>
      </c>
      <c r="X148" s="26">
        <v>41569</v>
      </c>
      <c r="Y148" s="27">
        <v>10</v>
      </c>
      <c r="Z148" s="28" t="s">
        <v>177</v>
      </c>
      <c r="AA148" s="29">
        <v>38.01</v>
      </c>
      <c r="AB148" s="30">
        <v>48.01</v>
      </c>
      <c r="AC148" s="31" t="s">
        <v>177</v>
      </c>
      <c r="AD148" s="32">
        <v>20.83</v>
      </c>
      <c r="AE148" s="33">
        <v>12.21</v>
      </c>
      <c r="AF148" s="34" t="s">
        <v>1516</v>
      </c>
      <c r="AG148" s="35" t="s">
        <v>1188</v>
      </c>
      <c r="AH148" s="36">
        <v>1.86</v>
      </c>
      <c r="AI148" s="37" t="s">
        <v>1911</v>
      </c>
      <c r="AJ148" s="38" t="s">
        <v>1518</v>
      </c>
      <c r="AK148" s="39" t="s">
        <v>1911</v>
      </c>
      <c r="AL148" s="40" t="s">
        <v>141</v>
      </c>
      <c r="AM148" s="41" t="s">
        <v>170</v>
      </c>
      <c r="AN148" s="42" t="s">
        <v>1912</v>
      </c>
      <c r="AO148" s="43">
        <v>10</v>
      </c>
      <c r="AP148" s="44" t="s">
        <v>145</v>
      </c>
      <c r="AQ148" s="45" t="s">
        <v>141</v>
      </c>
      <c r="AR148" s="46" t="s">
        <v>141</v>
      </c>
      <c r="AS148" s="47" t="s">
        <v>141</v>
      </c>
      <c r="AT148" s="48" t="s">
        <v>141</v>
      </c>
      <c r="AU148" s="49" t="s">
        <v>141</v>
      </c>
      <c r="AV148" s="50" t="s">
        <v>141</v>
      </c>
      <c r="AW148" s="51" t="s">
        <v>141</v>
      </c>
      <c r="AX148" s="52" t="s">
        <v>141</v>
      </c>
      <c r="AY148" s="53" t="s">
        <v>141</v>
      </c>
      <c r="AZ148" s="54" t="s">
        <v>141</v>
      </c>
      <c r="BA148" s="55" t="s">
        <v>146</v>
      </c>
      <c r="BB148" s="56" t="s">
        <v>263</v>
      </c>
      <c r="BC148" s="57" t="s">
        <v>132</v>
      </c>
      <c r="BD148" s="58" t="s">
        <v>141</v>
      </c>
      <c r="BE148" s="59">
        <v>4</v>
      </c>
      <c r="BF148" s="60" t="s">
        <v>1913</v>
      </c>
      <c r="BG148" s="61">
        <v>2</v>
      </c>
      <c r="BH148" s="62" t="s">
        <v>1914</v>
      </c>
      <c r="BI148" s="63">
        <v>2</v>
      </c>
      <c r="BJ148" s="64" t="s">
        <v>141</v>
      </c>
      <c r="BK148" s="65" t="s">
        <v>1915</v>
      </c>
      <c r="BL148" s="66" t="s">
        <v>1916</v>
      </c>
      <c r="BM148" s="67" t="s">
        <v>1917</v>
      </c>
      <c r="BN148" s="68" t="s">
        <v>1918</v>
      </c>
      <c r="BO148" s="69" t="s">
        <v>141</v>
      </c>
      <c r="BP148" s="70" t="s">
        <v>141</v>
      </c>
      <c r="BQ148" s="71" t="s">
        <v>141</v>
      </c>
      <c r="BR148" s="72" t="s">
        <v>503</v>
      </c>
      <c r="BS148" s="73" t="s">
        <v>503</v>
      </c>
      <c r="BT148" s="74" t="s">
        <v>141</v>
      </c>
      <c r="BU148" s="75" t="s">
        <v>141</v>
      </c>
      <c r="BV148" s="76" t="s">
        <v>141</v>
      </c>
      <c r="BW148" s="77" t="s">
        <v>141</v>
      </c>
      <c r="BX148" s="78">
        <v>52</v>
      </c>
      <c r="BY148" s="79" t="s">
        <v>141</v>
      </c>
      <c r="BZ148" s="80" t="s">
        <v>141</v>
      </c>
      <c r="CA148" s="81" t="s">
        <v>141</v>
      </c>
      <c r="CB148" s="82" t="s">
        <v>141</v>
      </c>
      <c r="CC148" s="83" t="s">
        <v>141</v>
      </c>
      <c r="CD148" s="84" t="s">
        <v>141</v>
      </c>
      <c r="CE148" s="85">
        <v>2013</v>
      </c>
      <c r="CF148" s="86" t="s">
        <v>141</v>
      </c>
      <c r="CG148" s="87" t="s">
        <v>141</v>
      </c>
      <c r="CH148" s="88" t="s">
        <v>141</v>
      </c>
      <c r="CI148" s="89">
        <v>0.92</v>
      </c>
      <c r="CJ148" s="90" t="s">
        <v>141</v>
      </c>
      <c r="CK148" s="91" t="s">
        <v>141</v>
      </c>
      <c r="CL148" s="92" t="s">
        <v>141</v>
      </c>
      <c r="CM148" s="93" t="s">
        <v>141</v>
      </c>
      <c r="CN148" s="94">
        <v>0.19</v>
      </c>
      <c r="CO148" s="95" t="s">
        <v>141</v>
      </c>
      <c r="CP148" s="96" t="s">
        <v>141</v>
      </c>
      <c r="CQ148" s="97" t="s">
        <v>141</v>
      </c>
      <c r="CR148" s="98" t="s">
        <v>141</v>
      </c>
      <c r="CS148" s="99" t="s">
        <v>141</v>
      </c>
      <c r="CT148" s="100" t="s">
        <v>141</v>
      </c>
      <c r="CU148" s="101" t="s">
        <v>141</v>
      </c>
      <c r="CV148" s="102" t="s">
        <v>141</v>
      </c>
      <c r="CW148" s="103" t="s">
        <v>141</v>
      </c>
      <c r="CX148" s="104">
        <v>200</v>
      </c>
      <c r="CY148" s="105" t="s">
        <v>150</v>
      </c>
      <c r="CZ148" s="106" t="s">
        <v>200</v>
      </c>
      <c r="DA148" s="107" t="s">
        <v>152</v>
      </c>
      <c r="DB148" s="108" t="s">
        <v>153</v>
      </c>
      <c r="DC148" s="109" t="s">
        <v>201</v>
      </c>
      <c r="DD148" s="110" t="s">
        <v>201</v>
      </c>
      <c r="DE148" s="111" t="s">
        <v>504</v>
      </c>
      <c r="DF148" s="112" t="s">
        <v>157</v>
      </c>
      <c r="DG148" s="113">
        <v>2012</v>
      </c>
      <c r="DH148" s="114" t="s">
        <v>505</v>
      </c>
      <c r="DI148" s="227" t="str">
        <f>HYPERLINK("https://my.pitchbook.com?c=29294-29T", "View company online")</f>
        <v>View company online</v>
      </c>
    </row>
    <row r="149" spans="1:113" x14ac:dyDescent="0.2">
      <c r="A149" s="115" t="s">
        <v>1919</v>
      </c>
      <c r="B149" s="116" t="s">
        <v>490</v>
      </c>
      <c r="C149" s="117" t="s">
        <v>491</v>
      </c>
      <c r="D149" s="118" t="s">
        <v>492</v>
      </c>
      <c r="E149" s="119" t="s">
        <v>493</v>
      </c>
      <c r="F149" s="120" t="s">
        <v>126</v>
      </c>
      <c r="G149" s="121" t="s">
        <v>252</v>
      </c>
      <c r="H149" s="122" t="s">
        <v>253</v>
      </c>
      <c r="I149" s="123" t="s">
        <v>494</v>
      </c>
      <c r="J149" s="124" t="s">
        <v>495</v>
      </c>
      <c r="K149" s="125" t="s">
        <v>496</v>
      </c>
      <c r="L149" s="126" t="s">
        <v>345</v>
      </c>
      <c r="M149" s="127" t="s">
        <v>133</v>
      </c>
      <c r="N149" s="128" t="s">
        <v>170</v>
      </c>
      <c r="O149" s="129" t="s">
        <v>497</v>
      </c>
      <c r="P149" s="130" t="s">
        <v>498</v>
      </c>
      <c r="Q149" s="131" t="s">
        <v>141</v>
      </c>
      <c r="R149" s="132" t="s">
        <v>499</v>
      </c>
      <c r="S149" s="133" t="s">
        <v>500</v>
      </c>
      <c r="T149" s="134" t="s">
        <v>501</v>
      </c>
      <c r="U149" s="135">
        <v>6</v>
      </c>
      <c r="V149" s="136" t="s">
        <v>1919</v>
      </c>
      <c r="W149" s="137">
        <v>41667</v>
      </c>
      <c r="X149" s="138">
        <v>41674</v>
      </c>
      <c r="Y149" s="139">
        <v>3.73</v>
      </c>
      <c r="Z149" s="140" t="s">
        <v>177</v>
      </c>
      <c r="AA149" s="141">
        <v>49.11</v>
      </c>
      <c r="AB149" s="142">
        <v>52.84</v>
      </c>
      <c r="AC149" s="143" t="s">
        <v>177</v>
      </c>
      <c r="AD149" s="144">
        <v>7.06</v>
      </c>
      <c r="AE149" s="145">
        <v>15.94</v>
      </c>
      <c r="AF149" s="146" t="s">
        <v>1550</v>
      </c>
      <c r="AG149" s="147" t="s">
        <v>1188</v>
      </c>
      <c r="AH149" s="148">
        <v>1.77</v>
      </c>
      <c r="AI149" s="149" t="s">
        <v>1920</v>
      </c>
      <c r="AJ149" s="150" t="s">
        <v>1518</v>
      </c>
      <c r="AK149" s="151" t="s">
        <v>1920</v>
      </c>
      <c r="AL149" s="152" t="s">
        <v>141</v>
      </c>
      <c r="AM149" s="153" t="s">
        <v>170</v>
      </c>
      <c r="AN149" s="154" t="s">
        <v>1921</v>
      </c>
      <c r="AO149" s="155">
        <v>3.73</v>
      </c>
      <c r="AP149" s="156" t="s">
        <v>145</v>
      </c>
      <c r="AQ149" s="157" t="s">
        <v>141</v>
      </c>
      <c r="AR149" s="158" t="s">
        <v>141</v>
      </c>
      <c r="AS149" s="159" t="s">
        <v>141</v>
      </c>
      <c r="AT149" s="160" t="s">
        <v>141</v>
      </c>
      <c r="AU149" s="161" t="s">
        <v>141</v>
      </c>
      <c r="AV149" s="162" t="s">
        <v>141</v>
      </c>
      <c r="AW149" s="163" t="s">
        <v>141</v>
      </c>
      <c r="AX149" s="164" t="s">
        <v>141</v>
      </c>
      <c r="AY149" s="165" t="s">
        <v>141</v>
      </c>
      <c r="AZ149" s="166" t="s">
        <v>141</v>
      </c>
      <c r="BA149" s="167" t="s">
        <v>146</v>
      </c>
      <c r="BB149" s="168" t="s">
        <v>263</v>
      </c>
      <c r="BC149" s="169" t="s">
        <v>132</v>
      </c>
      <c r="BD149" s="170" t="s">
        <v>141</v>
      </c>
      <c r="BE149" s="171" t="s">
        <v>141</v>
      </c>
      <c r="BF149" s="172" t="s">
        <v>141</v>
      </c>
      <c r="BG149" s="173" t="s">
        <v>141</v>
      </c>
      <c r="BH149" s="174" t="s">
        <v>141</v>
      </c>
      <c r="BI149" s="175" t="s">
        <v>141</v>
      </c>
      <c r="BJ149" s="176" t="s">
        <v>141</v>
      </c>
      <c r="BK149" s="177" t="s">
        <v>141</v>
      </c>
      <c r="BL149" s="178" t="s">
        <v>141</v>
      </c>
      <c r="BM149" s="179" t="s">
        <v>141</v>
      </c>
      <c r="BN149" s="180" t="s">
        <v>141</v>
      </c>
      <c r="BO149" s="181" t="s">
        <v>141</v>
      </c>
      <c r="BP149" s="182" t="s">
        <v>141</v>
      </c>
      <c r="BQ149" s="183" t="s">
        <v>141</v>
      </c>
      <c r="BR149" s="184" t="s">
        <v>503</v>
      </c>
      <c r="BS149" s="185" t="s">
        <v>503</v>
      </c>
      <c r="BT149" s="186" t="s">
        <v>141</v>
      </c>
      <c r="BU149" s="187" t="s">
        <v>141</v>
      </c>
      <c r="BV149" s="188" t="s">
        <v>141</v>
      </c>
      <c r="BW149" s="189" t="s">
        <v>141</v>
      </c>
      <c r="BX149" s="190">
        <v>52</v>
      </c>
      <c r="BY149" s="191" t="s">
        <v>141</v>
      </c>
      <c r="BZ149" s="192" t="s">
        <v>141</v>
      </c>
      <c r="CA149" s="193" t="s">
        <v>141</v>
      </c>
      <c r="CB149" s="194" t="s">
        <v>141</v>
      </c>
      <c r="CC149" s="195" t="s">
        <v>141</v>
      </c>
      <c r="CD149" s="196" t="s">
        <v>141</v>
      </c>
      <c r="CE149" s="197">
        <v>2013</v>
      </c>
      <c r="CF149" s="198" t="s">
        <v>141</v>
      </c>
      <c r="CG149" s="199" t="s">
        <v>141</v>
      </c>
      <c r="CH149" s="200" t="s">
        <v>141</v>
      </c>
      <c r="CI149" s="201">
        <v>1.02</v>
      </c>
      <c r="CJ149" s="202" t="s">
        <v>141</v>
      </c>
      <c r="CK149" s="203" t="s">
        <v>141</v>
      </c>
      <c r="CL149" s="204" t="s">
        <v>141</v>
      </c>
      <c r="CM149" s="205" t="s">
        <v>141</v>
      </c>
      <c r="CN149" s="206">
        <v>7.0000000000000007E-2</v>
      </c>
      <c r="CO149" s="207" t="s">
        <v>141</v>
      </c>
      <c r="CP149" s="208" t="s">
        <v>141</v>
      </c>
      <c r="CQ149" s="209" t="s">
        <v>141</v>
      </c>
      <c r="CR149" s="210" t="s">
        <v>141</v>
      </c>
      <c r="CS149" s="211" t="s">
        <v>141</v>
      </c>
      <c r="CT149" s="212" t="s">
        <v>141</v>
      </c>
      <c r="CU149" s="213" t="s">
        <v>141</v>
      </c>
      <c r="CV149" s="214" t="s">
        <v>141</v>
      </c>
      <c r="CW149" s="215" t="s">
        <v>141</v>
      </c>
      <c r="CX149" s="216">
        <v>200</v>
      </c>
      <c r="CY149" s="217" t="s">
        <v>150</v>
      </c>
      <c r="CZ149" s="218" t="s">
        <v>200</v>
      </c>
      <c r="DA149" s="219" t="s">
        <v>152</v>
      </c>
      <c r="DB149" s="220" t="s">
        <v>153</v>
      </c>
      <c r="DC149" s="221" t="s">
        <v>201</v>
      </c>
      <c r="DD149" s="222" t="s">
        <v>201</v>
      </c>
      <c r="DE149" s="223" t="s">
        <v>504</v>
      </c>
      <c r="DF149" s="224" t="s">
        <v>157</v>
      </c>
      <c r="DG149" s="225">
        <v>2012</v>
      </c>
      <c r="DH149" s="226" t="s">
        <v>505</v>
      </c>
      <c r="DI149" s="228" t="str">
        <f>HYPERLINK("https://my.pitchbook.com?c=31260-07T", "View company online")</f>
        <v>View company online</v>
      </c>
    </row>
    <row r="150" spans="1:113" x14ac:dyDescent="0.2">
      <c r="A150" s="3" t="s">
        <v>1922</v>
      </c>
      <c r="B150" s="4" t="s">
        <v>490</v>
      </c>
      <c r="C150" s="5" t="s">
        <v>491</v>
      </c>
      <c r="D150" s="6" t="s">
        <v>492</v>
      </c>
      <c r="E150" s="7" t="s">
        <v>493</v>
      </c>
      <c r="F150" s="8" t="s">
        <v>126</v>
      </c>
      <c r="G150" s="9" t="s">
        <v>252</v>
      </c>
      <c r="H150" s="10" t="s">
        <v>253</v>
      </c>
      <c r="I150" s="11" t="s">
        <v>494</v>
      </c>
      <c r="J150" s="12" t="s">
        <v>495</v>
      </c>
      <c r="K150" s="13" t="s">
        <v>496</v>
      </c>
      <c r="L150" s="14" t="s">
        <v>345</v>
      </c>
      <c r="M150" s="15" t="s">
        <v>133</v>
      </c>
      <c r="N150" s="16" t="s">
        <v>170</v>
      </c>
      <c r="O150" s="17" t="s">
        <v>497</v>
      </c>
      <c r="P150" s="18" t="s">
        <v>498</v>
      </c>
      <c r="Q150" s="19" t="s">
        <v>141</v>
      </c>
      <c r="R150" s="20" t="s">
        <v>499</v>
      </c>
      <c r="S150" s="21" t="s">
        <v>500</v>
      </c>
      <c r="T150" s="22" t="s">
        <v>501</v>
      </c>
      <c r="U150" s="23">
        <v>7</v>
      </c>
      <c r="V150" s="24" t="s">
        <v>1922</v>
      </c>
      <c r="W150" s="25" t="s">
        <v>141</v>
      </c>
      <c r="X150" s="26">
        <v>41795</v>
      </c>
      <c r="Y150" s="27">
        <v>29.98</v>
      </c>
      <c r="Z150" s="28" t="s">
        <v>177</v>
      </c>
      <c r="AA150" s="29">
        <v>77.31</v>
      </c>
      <c r="AB150" s="30">
        <v>107.29</v>
      </c>
      <c r="AC150" s="31" t="s">
        <v>177</v>
      </c>
      <c r="AD150" s="32">
        <v>27.41</v>
      </c>
      <c r="AE150" s="33">
        <v>49</v>
      </c>
      <c r="AF150" s="34" t="s">
        <v>1714</v>
      </c>
      <c r="AG150" s="35" t="s">
        <v>1188</v>
      </c>
      <c r="AH150" s="36">
        <v>2.59</v>
      </c>
      <c r="AI150" s="37" t="s">
        <v>1551</v>
      </c>
      <c r="AJ150" s="38" t="s">
        <v>1518</v>
      </c>
      <c r="AK150" s="39" t="s">
        <v>1551</v>
      </c>
      <c r="AL150" s="40" t="s">
        <v>141</v>
      </c>
      <c r="AM150" s="41" t="s">
        <v>170</v>
      </c>
      <c r="AN150" s="42" t="s">
        <v>1923</v>
      </c>
      <c r="AO150" s="43">
        <v>29.98</v>
      </c>
      <c r="AP150" s="44" t="s">
        <v>145</v>
      </c>
      <c r="AQ150" s="45" t="s">
        <v>141</v>
      </c>
      <c r="AR150" s="46" t="s">
        <v>141</v>
      </c>
      <c r="AS150" s="47" t="s">
        <v>141</v>
      </c>
      <c r="AT150" s="48" t="s">
        <v>141</v>
      </c>
      <c r="AU150" s="49" t="s">
        <v>141</v>
      </c>
      <c r="AV150" s="50" t="s">
        <v>141</v>
      </c>
      <c r="AW150" s="51" t="s">
        <v>141</v>
      </c>
      <c r="AX150" s="52" t="s">
        <v>141</v>
      </c>
      <c r="AY150" s="53" t="s">
        <v>141</v>
      </c>
      <c r="AZ150" s="54" t="s">
        <v>141</v>
      </c>
      <c r="BA150" s="55" t="s">
        <v>146</v>
      </c>
      <c r="BB150" s="56" t="s">
        <v>263</v>
      </c>
      <c r="BC150" s="57" t="s">
        <v>132</v>
      </c>
      <c r="BD150" s="58">
        <v>200</v>
      </c>
      <c r="BE150" s="59">
        <v>6</v>
      </c>
      <c r="BF150" s="60" t="s">
        <v>1924</v>
      </c>
      <c r="BG150" s="61">
        <v>3</v>
      </c>
      <c r="BH150" s="62" t="s">
        <v>1925</v>
      </c>
      <c r="BI150" s="63">
        <v>3</v>
      </c>
      <c r="BJ150" s="64" t="s">
        <v>141</v>
      </c>
      <c r="BK150" s="65" t="s">
        <v>1926</v>
      </c>
      <c r="BL150" s="66" t="s">
        <v>1927</v>
      </c>
      <c r="BM150" s="67" t="s">
        <v>141</v>
      </c>
      <c r="BN150" s="68" t="s">
        <v>1928</v>
      </c>
      <c r="BO150" s="69" t="s">
        <v>141</v>
      </c>
      <c r="BP150" s="70" t="s">
        <v>141</v>
      </c>
      <c r="BQ150" s="71" t="s">
        <v>141</v>
      </c>
      <c r="BR150" s="72" t="s">
        <v>1929</v>
      </c>
      <c r="BS150" s="73" t="s">
        <v>1929</v>
      </c>
      <c r="BT150" s="74" t="s">
        <v>141</v>
      </c>
      <c r="BU150" s="75" t="s">
        <v>141</v>
      </c>
      <c r="BV150" s="76" t="s">
        <v>141</v>
      </c>
      <c r="BW150" s="77" t="s">
        <v>141</v>
      </c>
      <c r="BX150" s="78">
        <v>52</v>
      </c>
      <c r="BY150" s="79" t="s">
        <v>141</v>
      </c>
      <c r="BZ150" s="80" t="s">
        <v>141</v>
      </c>
      <c r="CA150" s="81" t="s">
        <v>141</v>
      </c>
      <c r="CB150" s="82" t="s">
        <v>141</v>
      </c>
      <c r="CC150" s="83" t="s">
        <v>141</v>
      </c>
      <c r="CD150" s="84" t="s">
        <v>141</v>
      </c>
      <c r="CE150" s="85">
        <v>2013</v>
      </c>
      <c r="CF150" s="86" t="s">
        <v>141</v>
      </c>
      <c r="CG150" s="87" t="s">
        <v>141</v>
      </c>
      <c r="CH150" s="88" t="s">
        <v>141</v>
      </c>
      <c r="CI150" s="89">
        <v>2.06</v>
      </c>
      <c r="CJ150" s="90" t="s">
        <v>141</v>
      </c>
      <c r="CK150" s="91" t="s">
        <v>141</v>
      </c>
      <c r="CL150" s="92" t="s">
        <v>141</v>
      </c>
      <c r="CM150" s="93" t="s">
        <v>141</v>
      </c>
      <c r="CN150" s="94">
        <v>0.57999999999999996</v>
      </c>
      <c r="CO150" s="95" t="s">
        <v>141</v>
      </c>
      <c r="CP150" s="96" t="s">
        <v>141</v>
      </c>
      <c r="CQ150" s="97" t="s">
        <v>141</v>
      </c>
      <c r="CR150" s="98" t="s">
        <v>141</v>
      </c>
      <c r="CS150" s="99" t="s">
        <v>141</v>
      </c>
      <c r="CT150" s="100" t="s">
        <v>141</v>
      </c>
      <c r="CU150" s="101" t="s">
        <v>141</v>
      </c>
      <c r="CV150" s="102" t="s">
        <v>141</v>
      </c>
      <c r="CW150" s="103" t="s">
        <v>141</v>
      </c>
      <c r="CX150" s="104">
        <v>200</v>
      </c>
      <c r="CY150" s="105" t="s">
        <v>150</v>
      </c>
      <c r="CZ150" s="106" t="s">
        <v>200</v>
      </c>
      <c r="DA150" s="107" t="s">
        <v>152</v>
      </c>
      <c r="DB150" s="108" t="s">
        <v>153</v>
      </c>
      <c r="DC150" s="109" t="s">
        <v>201</v>
      </c>
      <c r="DD150" s="110" t="s">
        <v>201</v>
      </c>
      <c r="DE150" s="111" t="s">
        <v>504</v>
      </c>
      <c r="DF150" s="112" t="s">
        <v>157</v>
      </c>
      <c r="DG150" s="113">
        <v>2012</v>
      </c>
      <c r="DH150" s="114" t="s">
        <v>505</v>
      </c>
      <c r="DI150" s="227" t="str">
        <f>HYPERLINK("https://my.pitchbook.com?c=34613-11T", "View company online")</f>
        <v>View company online</v>
      </c>
    </row>
    <row r="151" spans="1:113" x14ac:dyDescent="0.2">
      <c r="A151" s="115" t="s">
        <v>1930</v>
      </c>
      <c r="B151" s="116" t="s">
        <v>490</v>
      </c>
      <c r="C151" s="117" t="s">
        <v>491</v>
      </c>
      <c r="D151" s="118" t="s">
        <v>492</v>
      </c>
      <c r="E151" s="119" t="s">
        <v>493</v>
      </c>
      <c r="F151" s="120" t="s">
        <v>126</v>
      </c>
      <c r="G151" s="121" t="s">
        <v>252</v>
      </c>
      <c r="H151" s="122" t="s">
        <v>253</v>
      </c>
      <c r="I151" s="123" t="s">
        <v>494</v>
      </c>
      <c r="J151" s="124" t="s">
        <v>495</v>
      </c>
      <c r="K151" s="125" t="s">
        <v>496</v>
      </c>
      <c r="L151" s="126" t="s">
        <v>345</v>
      </c>
      <c r="M151" s="127" t="s">
        <v>133</v>
      </c>
      <c r="N151" s="128" t="s">
        <v>170</v>
      </c>
      <c r="O151" s="129" t="s">
        <v>1931</v>
      </c>
      <c r="P151" s="130" t="s">
        <v>1932</v>
      </c>
      <c r="Q151" s="131" t="s">
        <v>1933</v>
      </c>
      <c r="R151" s="132" t="s">
        <v>1934</v>
      </c>
      <c r="S151" s="133" t="s">
        <v>1935</v>
      </c>
      <c r="T151" s="134" t="s">
        <v>1936</v>
      </c>
      <c r="U151" s="135">
        <v>8</v>
      </c>
      <c r="V151" s="136" t="s">
        <v>1930</v>
      </c>
      <c r="W151" s="137" t="s">
        <v>141</v>
      </c>
      <c r="X151" s="138">
        <v>41905</v>
      </c>
      <c r="Y151" s="139">
        <v>1.75</v>
      </c>
      <c r="Z151" s="140" t="s">
        <v>177</v>
      </c>
      <c r="AA151" s="141">
        <v>109.37</v>
      </c>
      <c r="AB151" s="142">
        <v>111.12</v>
      </c>
      <c r="AC151" s="143" t="s">
        <v>177</v>
      </c>
      <c r="AD151" s="144">
        <v>1.56</v>
      </c>
      <c r="AE151" s="145">
        <v>50.75</v>
      </c>
      <c r="AF151" s="146" t="s">
        <v>1937</v>
      </c>
      <c r="AG151" s="147" t="s">
        <v>1846</v>
      </c>
      <c r="AH151" s="148">
        <v>2.59</v>
      </c>
      <c r="AI151" s="149" t="s">
        <v>1938</v>
      </c>
      <c r="AJ151" s="150" t="s">
        <v>1518</v>
      </c>
      <c r="AK151" s="151" t="s">
        <v>1938</v>
      </c>
      <c r="AL151" s="152" t="s">
        <v>141</v>
      </c>
      <c r="AM151" s="153" t="s">
        <v>170</v>
      </c>
      <c r="AN151" s="154" t="s">
        <v>1939</v>
      </c>
      <c r="AO151" s="155">
        <v>1.75</v>
      </c>
      <c r="AP151" s="156" t="s">
        <v>145</v>
      </c>
      <c r="AQ151" s="157" t="s">
        <v>141</v>
      </c>
      <c r="AR151" s="158" t="s">
        <v>141</v>
      </c>
      <c r="AS151" s="159" t="s">
        <v>141</v>
      </c>
      <c r="AT151" s="160" t="s">
        <v>141</v>
      </c>
      <c r="AU151" s="161" t="s">
        <v>141</v>
      </c>
      <c r="AV151" s="162" t="s">
        <v>141</v>
      </c>
      <c r="AW151" s="163" t="s">
        <v>141</v>
      </c>
      <c r="AX151" s="164" t="s">
        <v>141</v>
      </c>
      <c r="AY151" s="165" t="s">
        <v>141</v>
      </c>
      <c r="AZ151" s="166" t="s">
        <v>141</v>
      </c>
      <c r="BA151" s="167" t="s">
        <v>146</v>
      </c>
      <c r="BB151" s="168" t="s">
        <v>263</v>
      </c>
      <c r="BC151" s="169" t="s">
        <v>132</v>
      </c>
      <c r="BD151" s="170">
        <v>200</v>
      </c>
      <c r="BE151" s="171">
        <v>1</v>
      </c>
      <c r="BF151" s="172" t="s">
        <v>1940</v>
      </c>
      <c r="BG151" s="173">
        <v>1</v>
      </c>
      <c r="BH151" s="174" t="s">
        <v>141</v>
      </c>
      <c r="BI151" s="175" t="s">
        <v>141</v>
      </c>
      <c r="BJ151" s="176" t="s">
        <v>141</v>
      </c>
      <c r="BK151" s="177" t="s">
        <v>141</v>
      </c>
      <c r="BL151" s="178" t="s">
        <v>1941</v>
      </c>
      <c r="BM151" s="179" t="s">
        <v>1941</v>
      </c>
      <c r="BN151" s="180" t="s">
        <v>141</v>
      </c>
      <c r="BO151" s="181" t="s">
        <v>141</v>
      </c>
      <c r="BP151" s="182" t="s">
        <v>141</v>
      </c>
      <c r="BQ151" s="183" t="s">
        <v>141</v>
      </c>
      <c r="BR151" s="184" t="s">
        <v>1929</v>
      </c>
      <c r="BS151" s="185" t="s">
        <v>1929</v>
      </c>
      <c r="BT151" s="186" t="s">
        <v>141</v>
      </c>
      <c r="BU151" s="187" t="s">
        <v>141</v>
      </c>
      <c r="BV151" s="188" t="s">
        <v>141</v>
      </c>
      <c r="BW151" s="189" t="s">
        <v>141</v>
      </c>
      <c r="BX151" s="190" t="s">
        <v>141</v>
      </c>
      <c r="BY151" s="191" t="s">
        <v>141</v>
      </c>
      <c r="BZ151" s="192" t="s">
        <v>141</v>
      </c>
      <c r="CA151" s="193" t="s">
        <v>141</v>
      </c>
      <c r="CB151" s="194" t="s">
        <v>141</v>
      </c>
      <c r="CC151" s="195" t="s">
        <v>141</v>
      </c>
      <c r="CD151" s="196" t="s">
        <v>141</v>
      </c>
      <c r="CE151" s="197" t="s">
        <v>141</v>
      </c>
      <c r="CF151" s="198" t="s">
        <v>141</v>
      </c>
      <c r="CG151" s="199" t="s">
        <v>141</v>
      </c>
      <c r="CH151" s="200" t="s">
        <v>141</v>
      </c>
      <c r="CI151" s="201" t="s">
        <v>141</v>
      </c>
      <c r="CJ151" s="202" t="s">
        <v>141</v>
      </c>
      <c r="CK151" s="203" t="s">
        <v>141</v>
      </c>
      <c r="CL151" s="204" t="s">
        <v>141</v>
      </c>
      <c r="CM151" s="205" t="s">
        <v>141</v>
      </c>
      <c r="CN151" s="206" t="s">
        <v>141</v>
      </c>
      <c r="CO151" s="207" t="s">
        <v>141</v>
      </c>
      <c r="CP151" s="208" t="s">
        <v>141</v>
      </c>
      <c r="CQ151" s="209" t="s">
        <v>141</v>
      </c>
      <c r="CR151" s="210" t="s">
        <v>141</v>
      </c>
      <c r="CS151" s="211" t="s">
        <v>141</v>
      </c>
      <c r="CT151" s="212" t="s">
        <v>141</v>
      </c>
      <c r="CU151" s="213" t="s">
        <v>141</v>
      </c>
      <c r="CV151" s="214" t="s">
        <v>141</v>
      </c>
      <c r="CW151" s="215" t="s">
        <v>141</v>
      </c>
      <c r="CX151" s="216">
        <v>200</v>
      </c>
      <c r="CY151" s="217" t="s">
        <v>150</v>
      </c>
      <c r="CZ151" s="218" t="s">
        <v>200</v>
      </c>
      <c r="DA151" s="219" t="s">
        <v>152</v>
      </c>
      <c r="DB151" s="220" t="s">
        <v>153</v>
      </c>
      <c r="DC151" s="221" t="s">
        <v>201</v>
      </c>
      <c r="DD151" s="222" t="s">
        <v>201</v>
      </c>
      <c r="DE151" s="223" t="s">
        <v>504</v>
      </c>
      <c r="DF151" s="224" t="s">
        <v>157</v>
      </c>
      <c r="DG151" s="225">
        <v>2012</v>
      </c>
      <c r="DH151" s="226" t="s">
        <v>505</v>
      </c>
      <c r="DI151" s="228" t="str">
        <f>HYPERLINK("https://my.pitchbook.com?c=37860-49T", "View company online")</f>
        <v>View company online</v>
      </c>
    </row>
    <row r="152" spans="1:113" x14ac:dyDescent="0.2">
      <c r="A152" s="3" t="s">
        <v>1942</v>
      </c>
      <c r="B152" s="4" t="s">
        <v>490</v>
      </c>
      <c r="C152" s="5" t="s">
        <v>491</v>
      </c>
      <c r="D152" s="6" t="s">
        <v>492</v>
      </c>
      <c r="E152" s="7" t="s">
        <v>493</v>
      </c>
      <c r="F152" s="8" t="s">
        <v>126</v>
      </c>
      <c r="G152" s="9" t="s">
        <v>252</v>
      </c>
      <c r="H152" s="10" t="s">
        <v>253</v>
      </c>
      <c r="I152" s="11" t="s">
        <v>494</v>
      </c>
      <c r="J152" s="12" t="s">
        <v>495</v>
      </c>
      <c r="K152" s="13" t="s">
        <v>496</v>
      </c>
      <c r="L152" s="14" t="s">
        <v>345</v>
      </c>
      <c r="M152" s="15" t="s">
        <v>133</v>
      </c>
      <c r="N152" s="16" t="s">
        <v>170</v>
      </c>
      <c r="O152" s="17" t="s">
        <v>497</v>
      </c>
      <c r="P152" s="18" t="s">
        <v>498</v>
      </c>
      <c r="Q152" s="19" t="s">
        <v>141</v>
      </c>
      <c r="R152" s="20" t="s">
        <v>499</v>
      </c>
      <c r="S152" s="21" t="s">
        <v>500</v>
      </c>
      <c r="T152" s="22" t="s">
        <v>501</v>
      </c>
      <c r="U152" s="23">
        <v>9</v>
      </c>
      <c r="V152" s="24" t="s">
        <v>1942</v>
      </c>
      <c r="W152" s="25">
        <v>41990</v>
      </c>
      <c r="X152" s="26">
        <v>42129</v>
      </c>
      <c r="Y152" s="27">
        <v>15.19</v>
      </c>
      <c r="Z152" s="28" t="s">
        <v>177</v>
      </c>
      <c r="AA152" s="29">
        <v>154.31</v>
      </c>
      <c r="AB152" s="30">
        <v>169.5</v>
      </c>
      <c r="AC152" s="31" t="s">
        <v>177</v>
      </c>
      <c r="AD152" s="32">
        <v>8.9600000000000009</v>
      </c>
      <c r="AE152" s="33">
        <v>65.94</v>
      </c>
      <c r="AF152" s="34" t="s">
        <v>1943</v>
      </c>
      <c r="AG152" s="35" t="s">
        <v>1188</v>
      </c>
      <c r="AH152" s="36">
        <v>3.57</v>
      </c>
      <c r="AI152" s="37" t="s">
        <v>1944</v>
      </c>
      <c r="AJ152" s="38" t="s">
        <v>1518</v>
      </c>
      <c r="AK152" s="39" t="s">
        <v>1944</v>
      </c>
      <c r="AL152" s="40" t="s">
        <v>141</v>
      </c>
      <c r="AM152" s="41" t="s">
        <v>170</v>
      </c>
      <c r="AN152" s="42" t="s">
        <v>1945</v>
      </c>
      <c r="AO152" s="43">
        <v>15.19</v>
      </c>
      <c r="AP152" s="44" t="s">
        <v>145</v>
      </c>
      <c r="AQ152" s="45" t="s">
        <v>141</v>
      </c>
      <c r="AR152" s="46" t="s">
        <v>141</v>
      </c>
      <c r="AS152" s="47" t="s">
        <v>141</v>
      </c>
      <c r="AT152" s="48" t="s">
        <v>141</v>
      </c>
      <c r="AU152" s="49" t="s">
        <v>141</v>
      </c>
      <c r="AV152" s="50" t="s">
        <v>141</v>
      </c>
      <c r="AW152" s="51" t="s">
        <v>141</v>
      </c>
      <c r="AX152" s="52" t="s">
        <v>141</v>
      </c>
      <c r="AY152" s="53" t="s">
        <v>141</v>
      </c>
      <c r="AZ152" s="54" t="s">
        <v>141</v>
      </c>
      <c r="BA152" s="55" t="s">
        <v>146</v>
      </c>
      <c r="BB152" s="56" t="s">
        <v>263</v>
      </c>
      <c r="BC152" s="57" t="s">
        <v>132</v>
      </c>
      <c r="BD152" s="58">
        <v>248</v>
      </c>
      <c r="BE152" s="59">
        <v>6</v>
      </c>
      <c r="BF152" s="60" t="s">
        <v>1946</v>
      </c>
      <c r="BG152" s="61">
        <v>2</v>
      </c>
      <c r="BH152" s="62" t="s">
        <v>1947</v>
      </c>
      <c r="BI152" s="63">
        <v>4</v>
      </c>
      <c r="BJ152" s="64" t="s">
        <v>141</v>
      </c>
      <c r="BK152" s="65" t="s">
        <v>1948</v>
      </c>
      <c r="BL152" s="66" t="s">
        <v>1949</v>
      </c>
      <c r="BM152" s="67" t="s">
        <v>1950</v>
      </c>
      <c r="BN152" s="68" t="s">
        <v>1951</v>
      </c>
      <c r="BO152" s="69" t="s">
        <v>141</v>
      </c>
      <c r="BP152" s="70" t="s">
        <v>141</v>
      </c>
      <c r="BQ152" s="71" t="s">
        <v>141</v>
      </c>
      <c r="BR152" s="72" t="s">
        <v>1929</v>
      </c>
      <c r="BS152" s="73" t="s">
        <v>1929</v>
      </c>
      <c r="BT152" s="74" t="s">
        <v>141</v>
      </c>
      <c r="BU152" s="75" t="s">
        <v>141</v>
      </c>
      <c r="BV152" s="76" t="s">
        <v>141</v>
      </c>
      <c r="BW152" s="77" t="s">
        <v>141</v>
      </c>
      <c r="BX152" s="78" t="s">
        <v>141</v>
      </c>
      <c r="BY152" s="79" t="s">
        <v>141</v>
      </c>
      <c r="BZ152" s="80" t="s">
        <v>141</v>
      </c>
      <c r="CA152" s="81" t="s">
        <v>141</v>
      </c>
      <c r="CB152" s="82" t="s">
        <v>141</v>
      </c>
      <c r="CC152" s="83" t="s">
        <v>141</v>
      </c>
      <c r="CD152" s="84" t="s">
        <v>141</v>
      </c>
      <c r="CE152" s="85" t="s">
        <v>141</v>
      </c>
      <c r="CF152" s="86" t="s">
        <v>141</v>
      </c>
      <c r="CG152" s="87" t="s">
        <v>141</v>
      </c>
      <c r="CH152" s="88" t="s">
        <v>141</v>
      </c>
      <c r="CI152" s="89" t="s">
        <v>141</v>
      </c>
      <c r="CJ152" s="90" t="s">
        <v>141</v>
      </c>
      <c r="CK152" s="91" t="s">
        <v>141</v>
      </c>
      <c r="CL152" s="92" t="s">
        <v>141</v>
      </c>
      <c r="CM152" s="93" t="s">
        <v>141</v>
      </c>
      <c r="CN152" s="94" t="s">
        <v>141</v>
      </c>
      <c r="CO152" s="95" t="s">
        <v>141</v>
      </c>
      <c r="CP152" s="96" t="s">
        <v>141</v>
      </c>
      <c r="CQ152" s="97" t="s">
        <v>141</v>
      </c>
      <c r="CR152" s="98" t="s">
        <v>141</v>
      </c>
      <c r="CS152" s="99" t="s">
        <v>141</v>
      </c>
      <c r="CT152" s="100" t="s">
        <v>141</v>
      </c>
      <c r="CU152" s="101" t="s">
        <v>141</v>
      </c>
      <c r="CV152" s="102" t="s">
        <v>141</v>
      </c>
      <c r="CW152" s="103" t="s">
        <v>141</v>
      </c>
      <c r="CX152" s="104">
        <v>200</v>
      </c>
      <c r="CY152" s="105" t="s">
        <v>150</v>
      </c>
      <c r="CZ152" s="106" t="s">
        <v>200</v>
      </c>
      <c r="DA152" s="107" t="s">
        <v>152</v>
      </c>
      <c r="DB152" s="108" t="s">
        <v>153</v>
      </c>
      <c r="DC152" s="109" t="s">
        <v>201</v>
      </c>
      <c r="DD152" s="110" t="s">
        <v>201</v>
      </c>
      <c r="DE152" s="111" t="s">
        <v>504</v>
      </c>
      <c r="DF152" s="112" t="s">
        <v>157</v>
      </c>
      <c r="DG152" s="113">
        <v>2012</v>
      </c>
      <c r="DH152" s="114" t="s">
        <v>505</v>
      </c>
      <c r="DI152" s="227" t="str">
        <f>HYPERLINK("https://my.pitchbook.com?c=47596-51T", "View company online")</f>
        <v>View company online</v>
      </c>
    </row>
    <row r="153" spans="1:113" x14ac:dyDescent="0.2">
      <c r="A153" s="115" t="s">
        <v>1952</v>
      </c>
      <c r="B153" s="116" t="s">
        <v>1953</v>
      </c>
      <c r="C153" s="117" t="s">
        <v>1954</v>
      </c>
      <c r="D153" s="118" t="s">
        <v>1955</v>
      </c>
      <c r="E153" s="119" t="s">
        <v>1956</v>
      </c>
      <c r="F153" s="120" t="s">
        <v>126</v>
      </c>
      <c r="G153" s="121" t="s">
        <v>127</v>
      </c>
      <c r="H153" s="122" t="s">
        <v>128</v>
      </c>
      <c r="I153" s="123" t="s">
        <v>129</v>
      </c>
      <c r="J153" s="124" t="s">
        <v>141</v>
      </c>
      <c r="K153" s="125" t="s">
        <v>1957</v>
      </c>
      <c r="L153" s="126" t="s">
        <v>132</v>
      </c>
      <c r="M153" s="127" t="s">
        <v>133</v>
      </c>
      <c r="N153" s="128" t="s">
        <v>134</v>
      </c>
      <c r="O153" s="129" t="s">
        <v>1958</v>
      </c>
      <c r="P153" s="130" t="s">
        <v>1959</v>
      </c>
      <c r="Q153" s="131" t="s">
        <v>1960</v>
      </c>
      <c r="R153" s="132" t="s">
        <v>1961</v>
      </c>
      <c r="S153" s="133" t="s">
        <v>1962</v>
      </c>
      <c r="T153" s="134" t="s">
        <v>141</v>
      </c>
      <c r="U153" s="135">
        <v>2</v>
      </c>
      <c r="V153" s="136" t="s">
        <v>1952</v>
      </c>
      <c r="W153" s="137" t="s">
        <v>141</v>
      </c>
      <c r="X153" s="138">
        <v>43847</v>
      </c>
      <c r="Y153" s="139">
        <v>0.46</v>
      </c>
      <c r="Z153" s="140" t="s">
        <v>177</v>
      </c>
      <c r="AA153" s="141" t="s">
        <v>141</v>
      </c>
      <c r="AB153" s="142" t="s">
        <v>141</v>
      </c>
      <c r="AC153" s="143" t="s">
        <v>141</v>
      </c>
      <c r="AD153" s="144" t="s">
        <v>141</v>
      </c>
      <c r="AE153" s="145">
        <v>0.71</v>
      </c>
      <c r="AF153" s="146" t="s">
        <v>1582</v>
      </c>
      <c r="AG153" s="147" t="s">
        <v>141</v>
      </c>
      <c r="AH153" s="148" t="s">
        <v>141</v>
      </c>
      <c r="AI153" s="149" t="s">
        <v>141</v>
      </c>
      <c r="AJ153" s="150" t="s">
        <v>1518</v>
      </c>
      <c r="AK153" s="151" t="s">
        <v>141</v>
      </c>
      <c r="AL153" s="152" t="s">
        <v>141</v>
      </c>
      <c r="AM153" s="153" t="s">
        <v>170</v>
      </c>
      <c r="AN153" s="154" t="s">
        <v>1963</v>
      </c>
      <c r="AO153" s="155">
        <v>0.46</v>
      </c>
      <c r="AP153" s="156" t="s">
        <v>145</v>
      </c>
      <c r="AQ153" s="157" t="s">
        <v>141</v>
      </c>
      <c r="AR153" s="158" t="s">
        <v>141</v>
      </c>
      <c r="AS153" s="159" t="s">
        <v>141</v>
      </c>
      <c r="AT153" s="160" t="s">
        <v>141</v>
      </c>
      <c r="AU153" s="161" t="s">
        <v>141</v>
      </c>
      <c r="AV153" s="162" t="s">
        <v>141</v>
      </c>
      <c r="AW153" s="163" t="s">
        <v>141</v>
      </c>
      <c r="AX153" s="164" t="s">
        <v>141</v>
      </c>
      <c r="AY153" s="165" t="s">
        <v>141</v>
      </c>
      <c r="AZ153" s="166" t="s">
        <v>141</v>
      </c>
      <c r="BA153" s="167" t="s">
        <v>146</v>
      </c>
      <c r="BB153" s="168" t="s">
        <v>133</v>
      </c>
      <c r="BC153" s="169" t="s">
        <v>132</v>
      </c>
      <c r="BD153" s="170" t="s">
        <v>141</v>
      </c>
      <c r="BE153" s="171" t="s">
        <v>141</v>
      </c>
      <c r="BF153" s="172" t="s">
        <v>141</v>
      </c>
      <c r="BG153" s="173" t="s">
        <v>141</v>
      </c>
      <c r="BH153" s="174" t="s">
        <v>141</v>
      </c>
      <c r="BI153" s="175" t="s">
        <v>141</v>
      </c>
      <c r="BJ153" s="176" t="s">
        <v>141</v>
      </c>
      <c r="BK153" s="177" t="s">
        <v>141</v>
      </c>
      <c r="BL153" s="178" t="s">
        <v>141</v>
      </c>
      <c r="BM153" s="179" t="s">
        <v>141</v>
      </c>
      <c r="BN153" s="180" t="s">
        <v>141</v>
      </c>
      <c r="BO153" s="181" t="s">
        <v>141</v>
      </c>
      <c r="BP153" s="182" t="s">
        <v>141</v>
      </c>
      <c r="BQ153" s="183" t="s">
        <v>141</v>
      </c>
      <c r="BR153" s="184" t="s">
        <v>141</v>
      </c>
      <c r="BS153" s="185" t="s">
        <v>141</v>
      </c>
      <c r="BT153" s="186" t="s">
        <v>141</v>
      </c>
      <c r="BU153" s="187" t="s">
        <v>141</v>
      </c>
      <c r="BV153" s="188" t="s">
        <v>141</v>
      </c>
      <c r="BW153" s="189" t="s">
        <v>141</v>
      </c>
      <c r="BX153" s="190" t="s">
        <v>141</v>
      </c>
      <c r="BY153" s="191" t="s">
        <v>141</v>
      </c>
      <c r="BZ153" s="192" t="s">
        <v>141</v>
      </c>
      <c r="CA153" s="193" t="s">
        <v>141</v>
      </c>
      <c r="CB153" s="194" t="s">
        <v>141</v>
      </c>
      <c r="CC153" s="195" t="s">
        <v>141</v>
      </c>
      <c r="CD153" s="196" t="s">
        <v>141</v>
      </c>
      <c r="CE153" s="197" t="s">
        <v>141</v>
      </c>
      <c r="CF153" s="198" t="s">
        <v>141</v>
      </c>
      <c r="CG153" s="199" t="s">
        <v>141</v>
      </c>
      <c r="CH153" s="200" t="s">
        <v>141</v>
      </c>
      <c r="CI153" s="201" t="s">
        <v>141</v>
      </c>
      <c r="CJ153" s="202" t="s">
        <v>141</v>
      </c>
      <c r="CK153" s="203" t="s">
        <v>141</v>
      </c>
      <c r="CL153" s="204" t="s">
        <v>141</v>
      </c>
      <c r="CM153" s="205" t="s">
        <v>141</v>
      </c>
      <c r="CN153" s="206" t="s">
        <v>141</v>
      </c>
      <c r="CO153" s="207" t="s">
        <v>141</v>
      </c>
      <c r="CP153" s="208" t="s">
        <v>141</v>
      </c>
      <c r="CQ153" s="209" t="s">
        <v>141</v>
      </c>
      <c r="CR153" s="210" t="s">
        <v>141</v>
      </c>
      <c r="CS153" s="211" t="s">
        <v>141</v>
      </c>
      <c r="CT153" s="212" t="s">
        <v>141</v>
      </c>
      <c r="CU153" s="213" t="s">
        <v>141</v>
      </c>
      <c r="CV153" s="214" t="s">
        <v>141</v>
      </c>
      <c r="CW153" s="215" t="s">
        <v>141</v>
      </c>
      <c r="CX153" s="216" t="s">
        <v>141</v>
      </c>
      <c r="CY153" s="217" t="s">
        <v>150</v>
      </c>
      <c r="CZ153" s="218" t="s">
        <v>1964</v>
      </c>
      <c r="DA153" s="219" t="s">
        <v>152</v>
      </c>
      <c r="DB153" s="220" t="s">
        <v>153</v>
      </c>
      <c r="DC153" s="221" t="s">
        <v>1965</v>
      </c>
      <c r="DD153" s="222" t="s">
        <v>1966</v>
      </c>
      <c r="DE153" s="223" t="s">
        <v>141</v>
      </c>
      <c r="DF153" s="224" t="s">
        <v>157</v>
      </c>
      <c r="DG153" s="225">
        <v>2019</v>
      </c>
      <c r="DH153" s="226" t="s">
        <v>1967</v>
      </c>
      <c r="DI153" s="228" t="str">
        <f>HYPERLINK("https://my.pitchbook.com?c=136680-22T", "View company online")</f>
        <v>View company online</v>
      </c>
    </row>
    <row r="154" spans="1:113" x14ac:dyDescent="0.2">
      <c r="A154" s="3" t="s">
        <v>1968</v>
      </c>
      <c r="B154" s="4" t="s">
        <v>1953</v>
      </c>
      <c r="C154" s="5" t="s">
        <v>1954</v>
      </c>
      <c r="D154" s="6" t="s">
        <v>1955</v>
      </c>
      <c r="E154" s="7" t="s">
        <v>1956</v>
      </c>
      <c r="F154" s="8" t="s">
        <v>126</v>
      </c>
      <c r="G154" s="9" t="s">
        <v>127</v>
      </c>
      <c r="H154" s="10" t="s">
        <v>128</v>
      </c>
      <c r="I154" s="11" t="s">
        <v>129</v>
      </c>
      <c r="J154" s="12" t="s">
        <v>141</v>
      </c>
      <c r="K154" s="13" t="s">
        <v>1957</v>
      </c>
      <c r="L154" s="14" t="s">
        <v>132</v>
      </c>
      <c r="M154" s="15" t="s">
        <v>133</v>
      </c>
      <c r="N154" s="16" t="s">
        <v>134</v>
      </c>
      <c r="O154" s="17" t="s">
        <v>1958</v>
      </c>
      <c r="P154" s="18" t="s">
        <v>1959</v>
      </c>
      <c r="Q154" s="19" t="s">
        <v>1960</v>
      </c>
      <c r="R154" s="20" t="s">
        <v>1961</v>
      </c>
      <c r="S154" s="21" t="s">
        <v>1962</v>
      </c>
      <c r="T154" s="22" t="s">
        <v>141</v>
      </c>
      <c r="U154" s="23">
        <v>5</v>
      </c>
      <c r="V154" s="24" t="s">
        <v>1968</v>
      </c>
      <c r="W154" s="25" t="s">
        <v>141</v>
      </c>
      <c r="X154" s="26">
        <v>43969</v>
      </c>
      <c r="Y154" s="27" t="s">
        <v>141</v>
      </c>
      <c r="Z154" s="28" t="s">
        <v>141</v>
      </c>
      <c r="AA154" s="29" t="s">
        <v>141</v>
      </c>
      <c r="AB154" s="30" t="s">
        <v>141</v>
      </c>
      <c r="AC154" s="31" t="s">
        <v>141</v>
      </c>
      <c r="AD154" s="32" t="s">
        <v>141</v>
      </c>
      <c r="AE154" s="33">
        <v>1.73</v>
      </c>
      <c r="AF154" s="34" t="s">
        <v>1550</v>
      </c>
      <c r="AG154" s="35" t="s">
        <v>141</v>
      </c>
      <c r="AH154" s="36" t="s">
        <v>141</v>
      </c>
      <c r="AI154" s="37" t="s">
        <v>141</v>
      </c>
      <c r="AJ154" s="38" t="s">
        <v>1518</v>
      </c>
      <c r="AK154" s="39" t="s">
        <v>141</v>
      </c>
      <c r="AL154" s="40" t="s">
        <v>141</v>
      </c>
      <c r="AM154" s="41" t="s">
        <v>170</v>
      </c>
      <c r="AN154" s="42" t="s">
        <v>1956</v>
      </c>
      <c r="AO154" s="43" t="s">
        <v>141</v>
      </c>
      <c r="AP154" s="44" t="s">
        <v>145</v>
      </c>
      <c r="AQ154" s="45" t="s">
        <v>141</v>
      </c>
      <c r="AR154" s="46" t="s">
        <v>141</v>
      </c>
      <c r="AS154" s="47" t="s">
        <v>141</v>
      </c>
      <c r="AT154" s="48" t="s">
        <v>141</v>
      </c>
      <c r="AU154" s="49" t="s">
        <v>141</v>
      </c>
      <c r="AV154" s="50" t="s">
        <v>141</v>
      </c>
      <c r="AW154" s="51" t="s">
        <v>141</v>
      </c>
      <c r="AX154" s="52" t="s">
        <v>141</v>
      </c>
      <c r="AY154" s="53" t="s">
        <v>141</v>
      </c>
      <c r="AZ154" s="54" t="s">
        <v>141</v>
      </c>
      <c r="BA154" s="55" t="s">
        <v>146</v>
      </c>
      <c r="BB154" s="56" t="s">
        <v>133</v>
      </c>
      <c r="BC154" s="57" t="s">
        <v>132</v>
      </c>
      <c r="BD154" s="58" t="s">
        <v>141</v>
      </c>
      <c r="BE154" s="59">
        <v>1</v>
      </c>
      <c r="BF154" s="60" t="s">
        <v>141</v>
      </c>
      <c r="BG154" s="61" t="s">
        <v>141</v>
      </c>
      <c r="BH154" s="62" t="s">
        <v>1969</v>
      </c>
      <c r="BI154" s="63">
        <v>1</v>
      </c>
      <c r="BJ154" s="64" t="s">
        <v>141</v>
      </c>
      <c r="BK154" s="65" t="s">
        <v>1970</v>
      </c>
      <c r="BL154" s="66" t="s">
        <v>1971</v>
      </c>
      <c r="BM154" s="67" t="s">
        <v>1971</v>
      </c>
      <c r="BN154" s="68" t="s">
        <v>141</v>
      </c>
      <c r="BO154" s="69" t="s">
        <v>141</v>
      </c>
      <c r="BP154" s="70" t="s">
        <v>141</v>
      </c>
      <c r="BQ154" s="71" t="s">
        <v>141</v>
      </c>
      <c r="BR154" s="72" t="s">
        <v>141</v>
      </c>
      <c r="BS154" s="73" t="s">
        <v>141</v>
      </c>
      <c r="BT154" s="74" t="s">
        <v>141</v>
      </c>
      <c r="BU154" s="75" t="s">
        <v>141</v>
      </c>
      <c r="BV154" s="76" t="s">
        <v>141</v>
      </c>
      <c r="BW154" s="77" t="s">
        <v>141</v>
      </c>
      <c r="BX154" s="78" t="s">
        <v>141</v>
      </c>
      <c r="BY154" s="79" t="s">
        <v>141</v>
      </c>
      <c r="BZ154" s="80" t="s">
        <v>141</v>
      </c>
      <c r="CA154" s="81" t="s">
        <v>141</v>
      </c>
      <c r="CB154" s="82" t="s">
        <v>141</v>
      </c>
      <c r="CC154" s="83" t="s">
        <v>141</v>
      </c>
      <c r="CD154" s="84" t="s">
        <v>141</v>
      </c>
      <c r="CE154" s="85" t="s">
        <v>141</v>
      </c>
      <c r="CF154" s="86" t="s">
        <v>141</v>
      </c>
      <c r="CG154" s="87" t="s">
        <v>141</v>
      </c>
      <c r="CH154" s="88" t="s">
        <v>141</v>
      </c>
      <c r="CI154" s="89" t="s">
        <v>141</v>
      </c>
      <c r="CJ154" s="90" t="s">
        <v>141</v>
      </c>
      <c r="CK154" s="91" t="s">
        <v>141</v>
      </c>
      <c r="CL154" s="92" t="s">
        <v>141</v>
      </c>
      <c r="CM154" s="93" t="s">
        <v>141</v>
      </c>
      <c r="CN154" s="94" t="s">
        <v>141</v>
      </c>
      <c r="CO154" s="95" t="s">
        <v>141</v>
      </c>
      <c r="CP154" s="96" t="s">
        <v>141</v>
      </c>
      <c r="CQ154" s="97" t="s">
        <v>141</v>
      </c>
      <c r="CR154" s="98" t="s">
        <v>141</v>
      </c>
      <c r="CS154" s="99" t="s">
        <v>141</v>
      </c>
      <c r="CT154" s="100" t="s">
        <v>141</v>
      </c>
      <c r="CU154" s="101" t="s">
        <v>141</v>
      </c>
      <c r="CV154" s="102" t="s">
        <v>141</v>
      </c>
      <c r="CW154" s="103" t="s">
        <v>141</v>
      </c>
      <c r="CX154" s="104" t="s">
        <v>141</v>
      </c>
      <c r="CY154" s="105" t="s">
        <v>150</v>
      </c>
      <c r="CZ154" s="106" t="s">
        <v>1964</v>
      </c>
      <c r="DA154" s="107" t="s">
        <v>152</v>
      </c>
      <c r="DB154" s="108" t="s">
        <v>153</v>
      </c>
      <c r="DC154" s="109" t="s">
        <v>1965</v>
      </c>
      <c r="DD154" s="110" t="s">
        <v>1966</v>
      </c>
      <c r="DE154" s="111" t="s">
        <v>141</v>
      </c>
      <c r="DF154" s="112" t="s">
        <v>157</v>
      </c>
      <c r="DG154" s="113">
        <v>2019</v>
      </c>
      <c r="DH154" s="114" t="s">
        <v>1967</v>
      </c>
      <c r="DI154" s="227" t="str">
        <f>HYPERLINK("https://my.pitchbook.com?c=136680-31T", "View company online")</f>
        <v>View company online</v>
      </c>
    </row>
    <row r="155" spans="1:113" x14ac:dyDescent="0.2">
      <c r="A155" s="115" t="s">
        <v>1972</v>
      </c>
      <c r="B155" s="116" t="s">
        <v>1973</v>
      </c>
      <c r="C155" s="117" t="s">
        <v>1974</v>
      </c>
      <c r="D155" s="118" t="s">
        <v>1975</v>
      </c>
      <c r="E155" s="119" t="s">
        <v>1976</v>
      </c>
      <c r="F155" s="120" t="s">
        <v>126</v>
      </c>
      <c r="G155" s="121" t="s">
        <v>127</v>
      </c>
      <c r="H155" s="122" t="s">
        <v>128</v>
      </c>
      <c r="I155" s="123" t="s">
        <v>129</v>
      </c>
      <c r="J155" s="124" t="s">
        <v>838</v>
      </c>
      <c r="K155" s="125" t="s">
        <v>1977</v>
      </c>
      <c r="L155" s="126" t="s">
        <v>132</v>
      </c>
      <c r="M155" s="127" t="s">
        <v>133</v>
      </c>
      <c r="N155" s="128" t="s">
        <v>134</v>
      </c>
      <c r="O155" s="129" t="s">
        <v>1978</v>
      </c>
      <c r="P155" s="130" t="s">
        <v>1979</v>
      </c>
      <c r="Q155" s="131" t="s">
        <v>1980</v>
      </c>
      <c r="R155" s="132" t="s">
        <v>1981</v>
      </c>
      <c r="S155" s="133" t="s">
        <v>1982</v>
      </c>
      <c r="T155" s="134" t="s">
        <v>1983</v>
      </c>
      <c r="U155" s="135">
        <v>5</v>
      </c>
      <c r="V155" s="136" t="s">
        <v>1972</v>
      </c>
      <c r="W155" s="137" t="s">
        <v>141</v>
      </c>
      <c r="X155" s="138">
        <v>42062</v>
      </c>
      <c r="Y155" s="139">
        <v>10.5</v>
      </c>
      <c r="Z155" s="140" t="s">
        <v>177</v>
      </c>
      <c r="AA155" s="141">
        <v>23.11</v>
      </c>
      <c r="AB155" s="142">
        <v>33.21</v>
      </c>
      <c r="AC155" s="143" t="s">
        <v>177</v>
      </c>
      <c r="AD155" s="144">
        <v>30.41</v>
      </c>
      <c r="AE155" s="145">
        <v>12.51</v>
      </c>
      <c r="AF155" s="146" t="s">
        <v>1582</v>
      </c>
      <c r="AG155" s="147" t="s">
        <v>1188</v>
      </c>
      <c r="AH155" s="148">
        <v>1.1599999999999999</v>
      </c>
      <c r="AI155" s="149" t="s">
        <v>1517</v>
      </c>
      <c r="AJ155" s="150" t="s">
        <v>1518</v>
      </c>
      <c r="AK155" s="151" t="s">
        <v>1517</v>
      </c>
      <c r="AL155" s="152" t="s">
        <v>141</v>
      </c>
      <c r="AM155" s="153" t="s">
        <v>170</v>
      </c>
      <c r="AN155" s="154" t="s">
        <v>1984</v>
      </c>
      <c r="AO155" s="155">
        <v>10.1</v>
      </c>
      <c r="AP155" s="156" t="s">
        <v>145</v>
      </c>
      <c r="AQ155" s="157" t="s">
        <v>141</v>
      </c>
      <c r="AR155" s="158" t="s">
        <v>141</v>
      </c>
      <c r="AS155" s="159" t="s">
        <v>1896</v>
      </c>
      <c r="AT155" s="160" t="s">
        <v>141</v>
      </c>
      <c r="AU155" s="161" t="s">
        <v>141</v>
      </c>
      <c r="AV155" s="162">
        <v>0.4</v>
      </c>
      <c r="AW155" s="163" t="s">
        <v>141</v>
      </c>
      <c r="AX155" s="164" t="s">
        <v>141</v>
      </c>
      <c r="AY155" s="165">
        <v>0.4</v>
      </c>
      <c r="AZ155" s="166" t="s">
        <v>141</v>
      </c>
      <c r="BA155" s="167" t="s">
        <v>146</v>
      </c>
      <c r="BB155" s="168" t="s">
        <v>263</v>
      </c>
      <c r="BC155" s="169" t="s">
        <v>132</v>
      </c>
      <c r="BD155" s="170">
        <v>13</v>
      </c>
      <c r="BE155" s="171">
        <v>4</v>
      </c>
      <c r="BF155" s="172" t="s">
        <v>1985</v>
      </c>
      <c r="BG155" s="173">
        <v>1</v>
      </c>
      <c r="BH155" s="174" t="s">
        <v>1986</v>
      </c>
      <c r="BI155" s="175">
        <v>3</v>
      </c>
      <c r="BJ155" s="176" t="s">
        <v>141</v>
      </c>
      <c r="BK155" s="177" t="s">
        <v>1987</v>
      </c>
      <c r="BL155" s="178" t="s">
        <v>1988</v>
      </c>
      <c r="BM155" s="179" t="s">
        <v>1989</v>
      </c>
      <c r="BN155" s="180" t="s">
        <v>1990</v>
      </c>
      <c r="BO155" s="181" t="s">
        <v>141</v>
      </c>
      <c r="BP155" s="182" t="s">
        <v>141</v>
      </c>
      <c r="BQ155" s="183" t="s">
        <v>141</v>
      </c>
      <c r="BR155" s="184" t="s">
        <v>1991</v>
      </c>
      <c r="BS155" s="185" t="s">
        <v>1991</v>
      </c>
      <c r="BT155" s="186" t="s">
        <v>141</v>
      </c>
      <c r="BU155" s="187" t="s">
        <v>141</v>
      </c>
      <c r="BV155" s="188" t="s">
        <v>141</v>
      </c>
      <c r="BW155" s="189" t="s">
        <v>141</v>
      </c>
      <c r="BX155" s="190">
        <v>1.5</v>
      </c>
      <c r="BY155" s="191" t="s">
        <v>141</v>
      </c>
      <c r="BZ155" s="192" t="s">
        <v>141</v>
      </c>
      <c r="CA155" s="193" t="s">
        <v>141</v>
      </c>
      <c r="CB155" s="194" t="s">
        <v>141</v>
      </c>
      <c r="CC155" s="195" t="s">
        <v>141</v>
      </c>
      <c r="CD155" s="196" t="s">
        <v>141</v>
      </c>
      <c r="CE155" s="197">
        <v>2014</v>
      </c>
      <c r="CF155" s="198" t="s">
        <v>141</v>
      </c>
      <c r="CG155" s="199" t="s">
        <v>141</v>
      </c>
      <c r="CH155" s="200" t="s">
        <v>141</v>
      </c>
      <c r="CI155" s="201">
        <v>22.14</v>
      </c>
      <c r="CJ155" s="202" t="s">
        <v>141</v>
      </c>
      <c r="CK155" s="203" t="s">
        <v>141</v>
      </c>
      <c r="CL155" s="204" t="s">
        <v>141</v>
      </c>
      <c r="CM155" s="205" t="s">
        <v>141</v>
      </c>
      <c r="CN155" s="206">
        <v>7</v>
      </c>
      <c r="CO155" s="207" t="s">
        <v>141</v>
      </c>
      <c r="CP155" s="208" t="s">
        <v>141</v>
      </c>
      <c r="CQ155" s="209">
        <v>0.04</v>
      </c>
      <c r="CR155" s="210" t="s">
        <v>141</v>
      </c>
      <c r="CS155" s="211" t="s">
        <v>141</v>
      </c>
      <c r="CT155" s="212" t="s">
        <v>141</v>
      </c>
      <c r="CU155" s="213" t="s">
        <v>141</v>
      </c>
      <c r="CV155" s="214" t="s">
        <v>141</v>
      </c>
      <c r="CW155" s="215" t="s">
        <v>141</v>
      </c>
      <c r="CX155" s="216">
        <v>195</v>
      </c>
      <c r="CY155" s="217" t="s">
        <v>150</v>
      </c>
      <c r="CZ155" s="218" t="s">
        <v>200</v>
      </c>
      <c r="DA155" s="219" t="s">
        <v>152</v>
      </c>
      <c r="DB155" s="220" t="s">
        <v>153</v>
      </c>
      <c r="DC155" s="221" t="s">
        <v>201</v>
      </c>
      <c r="DD155" s="222" t="s">
        <v>201</v>
      </c>
      <c r="DE155" s="223" t="s">
        <v>1992</v>
      </c>
      <c r="DF155" s="224" t="s">
        <v>157</v>
      </c>
      <c r="DG155" s="225">
        <v>2013</v>
      </c>
      <c r="DH155" s="226" t="s">
        <v>1993</v>
      </c>
      <c r="DI155" s="228" t="str">
        <f>HYPERLINK("https://my.pitchbook.com?c=48353-14T", "View company online")</f>
        <v>View company online</v>
      </c>
    </row>
    <row r="156" spans="1:113" x14ac:dyDescent="0.2">
      <c r="A156" s="3" t="s">
        <v>1994</v>
      </c>
      <c r="B156" s="4" t="s">
        <v>1973</v>
      </c>
      <c r="C156" s="5" t="s">
        <v>1974</v>
      </c>
      <c r="D156" s="6" t="s">
        <v>1975</v>
      </c>
      <c r="E156" s="7" t="s">
        <v>1976</v>
      </c>
      <c r="F156" s="8" t="s">
        <v>126</v>
      </c>
      <c r="G156" s="9" t="s">
        <v>127</v>
      </c>
      <c r="H156" s="10" t="s">
        <v>128</v>
      </c>
      <c r="I156" s="11" t="s">
        <v>129</v>
      </c>
      <c r="J156" s="12" t="s">
        <v>838</v>
      </c>
      <c r="K156" s="13" t="s">
        <v>1977</v>
      </c>
      <c r="L156" s="14" t="s">
        <v>132</v>
      </c>
      <c r="M156" s="15" t="s">
        <v>133</v>
      </c>
      <c r="N156" s="16" t="s">
        <v>134</v>
      </c>
      <c r="O156" s="17" t="s">
        <v>1978</v>
      </c>
      <c r="P156" s="18" t="s">
        <v>1979</v>
      </c>
      <c r="Q156" s="19" t="s">
        <v>1980</v>
      </c>
      <c r="R156" s="20" t="s">
        <v>1981</v>
      </c>
      <c r="S156" s="21" t="s">
        <v>1982</v>
      </c>
      <c r="T156" s="22" t="s">
        <v>1983</v>
      </c>
      <c r="U156" s="23">
        <v>6</v>
      </c>
      <c r="V156" s="24" t="s">
        <v>1994</v>
      </c>
      <c r="W156" s="25" t="s">
        <v>141</v>
      </c>
      <c r="X156" s="26">
        <v>42901</v>
      </c>
      <c r="Y156" s="27">
        <v>11.08</v>
      </c>
      <c r="Z156" s="28" t="s">
        <v>887</v>
      </c>
      <c r="AA156" s="29">
        <v>54</v>
      </c>
      <c r="AB156" s="30">
        <v>65.08</v>
      </c>
      <c r="AC156" s="31" t="s">
        <v>177</v>
      </c>
      <c r="AD156" s="32">
        <v>17.02</v>
      </c>
      <c r="AE156" s="33">
        <v>23.58</v>
      </c>
      <c r="AF156" s="34" t="s">
        <v>1516</v>
      </c>
      <c r="AG156" s="35" t="s">
        <v>1188</v>
      </c>
      <c r="AH156" s="36">
        <v>1.77</v>
      </c>
      <c r="AI156" s="37" t="s">
        <v>1911</v>
      </c>
      <c r="AJ156" s="38" t="s">
        <v>1518</v>
      </c>
      <c r="AK156" s="39" t="s">
        <v>1911</v>
      </c>
      <c r="AL156" s="40" t="s">
        <v>141</v>
      </c>
      <c r="AM156" s="41" t="s">
        <v>170</v>
      </c>
      <c r="AN156" s="42" t="s">
        <v>1995</v>
      </c>
      <c r="AO156" s="43">
        <v>11.08</v>
      </c>
      <c r="AP156" s="44" t="s">
        <v>145</v>
      </c>
      <c r="AQ156" s="45" t="s">
        <v>141</v>
      </c>
      <c r="AR156" s="46" t="s">
        <v>141</v>
      </c>
      <c r="AS156" s="47" t="s">
        <v>141</v>
      </c>
      <c r="AT156" s="48" t="s">
        <v>141</v>
      </c>
      <c r="AU156" s="49" t="s">
        <v>141</v>
      </c>
      <c r="AV156" s="50" t="s">
        <v>141</v>
      </c>
      <c r="AW156" s="51" t="s">
        <v>141</v>
      </c>
      <c r="AX156" s="52" t="s">
        <v>141</v>
      </c>
      <c r="AY156" s="53" t="s">
        <v>141</v>
      </c>
      <c r="AZ156" s="54" t="s">
        <v>141</v>
      </c>
      <c r="BA156" s="55" t="s">
        <v>146</v>
      </c>
      <c r="BB156" s="56" t="s">
        <v>133</v>
      </c>
      <c r="BC156" s="57" t="s">
        <v>132</v>
      </c>
      <c r="BD156" s="58" t="s">
        <v>141</v>
      </c>
      <c r="BE156" s="59">
        <v>1</v>
      </c>
      <c r="BF156" s="60" t="s">
        <v>807</v>
      </c>
      <c r="BG156" s="61">
        <v>1</v>
      </c>
      <c r="BH156" s="62" t="s">
        <v>141</v>
      </c>
      <c r="BI156" s="63" t="s">
        <v>141</v>
      </c>
      <c r="BJ156" s="64" t="s">
        <v>141</v>
      </c>
      <c r="BK156" s="65" t="s">
        <v>808</v>
      </c>
      <c r="BL156" s="66" t="s">
        <v>809</v>
      </c>
      <c r="BM156" s="67" t="s">
        <v>809</v>
      </c>
      <c r="BN156" s="68" t="s">
        <v>1996</v>
      </c>
      <c r="BO156" s="69" t="s">
        <v>141</v>
      </c>
      <c r="BP156" s="70" t="s">
        <v>141</v>
      </c>
      <c r="BQ156" s="71" t="s">
        <v>141</v>
      </c>
      <c r="BR156" s="72" t="s">
        <v>1997</v>
      </c>
      <c r="BS156" s="73" t="s">
        <v>1997</v>
      </c>
      <c r="BT156" s="74" t="s">
        <v>141</v>
      </c>
      <c r="BU156" s="75" t="s">
        <v>141</v>
      </c>
      <c r="BV156" s="76" t="s">
        <v>141</v>
      </c>
      <c r="BW156" s="77" t="s">
        <v>141</v>
      </c>
      <c r="BX156" s="78" t="s">
        <v>141</v>
      </c>
      <c r="BY156" s="79" t="s">
        <v>141</v>
      </c>
      <c r="BZ156" s="80" t="s">
        <v>141</v>
      </c>
      <c r="CA156" s="81" t="s">
        <v>141</v>
      </c>
      <c r="CB156" s="82" t="s">
        <v>141</v>
      </c>
      <c r="CC156" s="83" t="s">
        <v>141</v>
      </c>
      <c r="CD156" s="84" t="s">
        <v>141</v>
      </c>
      <c r="CE156" s="85" t="s">
        <v>141</v>
      </c>
      <c r="CF156" s="86" t="s">
        <v>141</v>
      </c>
      <c r="CG156" s="87" t="s">
        <v>141</v>
      </c>
      <c r="CH156" s="88" t="s">
        <v>141</v>
      </c>
      <c r="CI156" s="89" t="s">
        <v>141</v>
      </c>
      <c r="CJ156" s="90" t="s">
        <v>141</v>
      </c>
      <c r="CK156" s="91" t="s">
        <v>141</v>
      </c>
      <c r="CL156" s="92" t="s">
        <v>141</v>
      </c>
      <c r="CM156" s="93" t="s">
        <v>141</v>
      </c>
      <c r="CN156" s="94" t="s">
        <v>141</v>
      </c>
      <c r="CO156" s="95" t="s">
        <v>141</v>
      </c>
      <c r="CP156" s="96" t="s">
        <v>141</v>
      </c>
      <c r="CQ156" s="97" t="s">
        <v>141</v>
      </c>
      <c r="CR156" s="98" t="s">
        <v>141</v>
      </c>
      <c r="CS156" s="99" t="s">
        <v>141</v>
      </c>
      <c r="CT156" s="100" t="s">
        <v>141</v>
      </c>
      <c r="CU156" s="101" t="s">
        <v>141</v>
      </c>
      <c r="CV156" s="102" t="s">
        <v>141</v>
      </c>
      <c r="CW156" s="103" t="s">
        <v>141</v>
      </c>
      <c r="CX156" s="104">
        <v>195</v>
      </c>
      <c r="CY156" s="105" t="s">
        <v>150</v>
      </c>
      <c r="CZ156" s="106" t="s">
        <v>200</v>
      </c>
      <c r="DA156" s="107" t="s">
        <v>152</v>
      </c>
      <c r="DB156" s="108" t="s">
        <v>153</v>
      </c>
      <c r="DC156" s="109" t="s">
        <v>201</v>
      </c>
      <c r="DD156" s="110" t="s">
        <v>201</v>
      </c>
      <c r="DE156" s="111" t="s">
        <v>1992</v>
      </c>
      <c r="DF156" s="112" t="s">
        <v>157</v>
      </c>
      <c r="DG156" s="113">
        <v>2013</v>
      </c>
      <c r="DH156" s="114" t="s">
        <v>1993</v>
      </c>
      <c r="DI156" s="227" t="str">
        <f>HYPERLINK("https://my.pitchbook.com?c=93513-25T", "View company online")</f>
        <v>View company online</v>
      </c>
    </row>
    <row r="157" spans="1:113" x14ac:dyDescent="0.2">
      <c r="A157" s="115" t="s">
        <v>1998</v>
      </c>
      <c r="B157" s="116" t="s">
        <v>1973</v>
      </c>
      <c r="C157" s="117" t="s">
        <v>1974</v>
      </c>
      <c r="D157" s="118" t="s">
        <v>1975</v>
      </c>
      <c r="E157" s="119" t="s">
        <v>1976</v>
      </c>
      <c r="F157" s="120" t="s">
        <v>126</v>
      </c>
      <c r="G157" s="121" t="s">
        <v>127</v>
      </c>
      <c r="H157" s="122" t="s">
        <v>128</v>
      </c>
      <c r="I157" s="123" t="s">
        <v>129</v>
      </c>
      <c r="J157" s="124" t="s">
        <v>838</v>
      </c>
      <c r="K157" s="125" t="s">
        <v>1977</v>
      </c>
      <c r="L157" s="126" t="s">
        <v>132</v>
      </c>
      <c r="M157" s="127" t="s">
        <v>133</v>
      </c>
      <c r="N157" s="128" t="s">
        <v>134</v>
      </c>
      <c r="O157" s="129" t="s">
        <v>1978</v>
      </c>
      <c r="P157" s="130" t="s">
        <v>1979</v>
      </c>
      <c r="Q157" s="131" t="s">
        <v>1980</v>
      </c>
      <c r="R157" s="132" t="s">
        <v>1981</v>
      </c>
      <c r="S157" s="133" t="s">
        <v>1982</v>
      </c>
      <c r="T157" s="134" t="s">
        <v>1983</v>
      </c>
      <c r="U157" s="135">
        <v>7</v>
      </c>
      <c r="V157" s="136" t="s">
        <v>1998</v>
      </c>
      <c r="W157" s="137" t="s">
        <v>141</v>
      </c>
      <c r="X157" s="138">
        <v>43251</v>
      </c>
      <c r="Y157" s="139">
        <v>40</v>
      </c>
      <c r="Z157" s="140" t="s">
        <v>177</v>
      </c>
      <c r="AA157" s="141">
        <v>100</v>
      </c>
      <c r="AB157" s="142">
        <v>140</v>
      </c>
      <c r="AC157" s="143" t="s">
        <v>177</v>
      </c>
      <c r="AD157" s="144" t="s">
        <v>141</v>
      </c>
      <c r="AE157" s="145">
        <v>63.58</v>
      </c>
      <c r="AF157" s="146" t="s">
        <v>1550</v>
      </c>
      <c r="AG157" s="147" t="s">
        <v>1188</v>
      </c>
      <c r="AH157" s="148">
        <v>2.35</v>
      </c>
      <c r="AI157" s="149" t="s">
        <v>1551</v>
      </c>
      <c r="AJ157" s="150" t="s">
        <v>1518</v>
      </c>
      <c r="AK157" s="151" t="s">
        <v>1551</v>
      </c>
      <c r="AL157" s="152" t="s">
        <v>141</v>
      </c>
      <c r="AM157" s="153" t="s">
        <v>170</v>
      </c>
      <c r="AN157" s="154" t="s">
        <v>1999</v>
      </c>
      <c r="AO157" s="155">
        <v>40</v>
      </c>
      <c r="AP157" s="156" t="s">
        <v>145</v>
      </c>
      <c r="AQ157" s="157" t="s">
        <v>141</v>
      </c>
      <c r="AR157" s="158" t="s">
        <v>141</v>
      </c>
      <c r="AS157" s="159" t="s">
        <v>141</v>
      </c>
      <c r="AT157" s="160" t="s">
        <v>141</v>
      </c>
      <c r="AU157" s="161" t="s">
        <v>141</v>
      </c>
      <c r="AV157" s="162" t="s">
        <v>141</v>
      </c>
      <c r="AW157" s="163" t="s">
        <v>141</v>
      </c>
      <c r="AX157" s="164" t="s">
        <v>141</v>
      </c>
      <c r="AY157" s="165" t="s">
        <v>141</v>
      </c>
      <c r="AZ157" s="166" t="s">
        <v>141</v>
      </c>
      <c r="BA157" s="167" t="s">
        <v>146</v>
      </c>
      <c r="BB157" s="168" t="s">
        <v>133</v>
      </c>
      <c r="BC157" s="169" t="s">
        <v>132</v>
      </c>
      <c r="BD157" s="170" t="s">
        <v>141</v>
      </c>
      <c r="BE157" s="171">
        <v>7</v>
      </c>
      <c r="BF157" s="172" t="s">
        <v>2000</v>
      </c>
      <c r="BG157" s="173">
        <v>5</v>
      </c>
      <c r="BH157" s="174" t="s">
        <v>2001</v>
      </c>
      <c r="BI157" s="175">
        <v>2</v>
      </c>
      <c r="BJ157" s="176" t="s">
        <v>141</v>
      </c>
      <c r="BK157" s="177" t="s">
        <v>2002</v>
      </c>
      <c r="BL157" s="178" t="s">
        <v>2003</v>
      </c>
      <c r="BM157" s="179" t="s">
        <v>2004</v>
      </c>
      <c r="BN157" s="180" t="s">
        <v>2005</v>
      </c>
      <c r="BO157" s="181" t="s">
        <v>141</v>
      </c>
      <c r="BP157" s="182" t="s">
        <v>141</v>
      </c>
      <c r="BQ157" s="183" t="s">
        <v>141</v>
      </c>
      <c r="BR157" s="184" t="s">
        <v>2006</v>
      </c>
      <c r="BS157" s="185" t="s">
        <v>1991</v>
      </c>
      <c r="BT157" s="186" t="s">
        <v>141</v>
      </c>
      <c r="BU157" s="187" t="s">
        <v>2007</v>
      </c>
      <c r="BV157" s="188" t="s">
        <v>141</v>
      </c>
      <c r="BW157" s="189" t="s">
        <v>141</v>
      </c>
      <c r="BX157" s="190" t="s">
        <v>141</v>
      </c>
      <c r="BY157" s="191" t="s">
        <v>141</v>
      </c>
      <c r="BZ157" s="192" t="s">
        <v>141</v>
      </c>
      <c r="CA157" s="193" t="s">
        <v>141</v>
      </c>
      <c r="CB157" s="194" t="s">
        <v>141</v>
      </c>
      <c r="CC157" s="195" t="s">
        <v>141</v>
      </c>
      <c r="CD157" s="196" t="s">
        <v>141</v>
      </c>
      <c r="CE157" s="197" t="s">
        <v>141</v>
      </c>
      <c r="CF157" s="198" t="s">
        <v>141</v>
      </c>
      <c r="CG157" s="199" t="s">
        <v>141</v>
      </c>
      <c r="CH157" s="200" t="s">
        <v>141</v>
      </c>
      <c r="CI157" s="201" t="s">
        <v>141</v>
      </c>
      <c r="CJ157" s="202" t="s">
        <v>141</v>
      </c>
      <c r="CK157" s="203" t="s">
        <v>141</v>
      </c>
      <c r="CL157" s="204" t="s">
        <v>141</v>
      </c>
      <c r="CM157" s="205" t="s">
        <v>141</v>
      </c>
      <c r="CN157" s="206" t="s">
        <v>141</v>
      </c>
      <c r="CO157" s="207" t="s">
        <v>141</v>
      </c>
      <c r="CP157" s="208" t="s">
        <v>141</v>
      </c>
      <c r="CQ157" s="209" t="s">
        <v>141</v>
      </c>
      <c r="CR157" s="210" t="s">
        <v>141</v>
      </c>
      <c r="CS157" s="211" t="s">
        <v>141</v>
      </c>
      <c r="CT157" s="212" t="s">
        <v>141</v>
      </c>
      <c r="CU157" s="213" t="s">
        <v>141</v>
      </c>
      <c r="CV157" s="214" t="s">
        <v>141</v>
      </c>
      <c r="CW157" s="215" t="s">
        <v>141</v>
      </c>
      <c r="CX157" s="216">
        <v>195</v>
      </c>
      <c r="CY157" s="217" t="s">
        <v>150</v>
      </c>
      <c r="CZ157" s="218" t="s">
        <v>200</v>
      </c>
      <c r="DA157" s="219" t="s">
        <v>152</v>
      </c>
      <c r="DB157" s="220" t="s">
        <v>153</v>
      </c>
      <c r="DC157" s="221" t="s">
        <v>201</v>
      </c>
      <c r="DD157" s="222" t="s">
        <v>201</v>
      </c>
      <c r="DE157" s="223" t="s">
        <v>1992</v>
      </c>
      <c r="DF157" s="224" t="s">
        <v>157</v>
      </c>
      <c r="DG157" s="225">
        <v>2013</v>
      </c>
      <c r="DH157" s="226" t="s">
        <v>1993</v>
      </c>
      <c r="DI157" s="228" t="str">
        <f>HYPERLINK("https://my.pitchbook.com?c=105783-31T", "View company online")</f>
        <v>View company online</v>
      </c>
    </row>
    <row r="158" spans="1:113" x14ac:dyDescent="0.2">
      <c r="A158" s="3" t="s">
        <v>2008</v>
      </c>
      <c r="B158" s="4" t="s">
        <v>2009</v>
      </c>
      <c r="C158" s="5" t="s">
        <v>2010</v>
      </c>
      <c r="D158" s="6" t="s">
        <v>2011</v>
      </c>
      <c r="E158" s="7" t="s">
        <v>2012</v>
      </c>
      <c r="F158" s="8" t="s">
        <v>164</v>
      </c>
      <c r="G158" s="9" t="s">
        <v>165</v>
      </c>
      <c r="H158" s="10" t="s">
        <v>190</v>
      </c>
      <c r="I158" s="11" t="s">
        <v>2013</v>
      </c>
      <c r="J158" s="12" t="s">
        <v>897</v>
      </c>
      <c r="K158" s="13" t="s">
        <v>2014</v>
      </c>
      <c r="L158" s="14" t="s">
        <v>345</v>
      </c>
      <c r="M158" s="15" t="s">
        <v>133</v>
      </c>
      <c r="N158" s="16" t="s">
        <v>134</v>
      </c>
      <c r="O158" s="17" t="s">
        <v>2015</v>
      </c>
      <c r="P158" s="18" t="s">
        <v>2016</v>
      </c>
      <c r="Q158" s="19" t="s">
        <v>2017</v>
      </c>
      <c r="R158" s="20" t="s">
        <v>141</v>
      </c>
      <c r="S158" s="21" t="s">
        <v>2018</v>
      </c>
      <c r="T158" s="22" t="s">
        <v>2019</v>
      </c>
      <c r="U158" s="23">
        <v>2</v>
      </c>
      <c r="V158" s="24" t="s">
        <v>2008</v>
      </c>
      <c r="W158" s="25" t="s">
        <v>141</v>
      </c>
      <c r="X158" s="26">
        <v>42489</v>
      </c>
      <c r="Y158" s="27">
        <v>10</v>
      </c>
      <c r="Z158" s="28" t="s">
        <v>177</v>
      </c>
      <c r="AA158" s="29" t="s">
        <v>141</v>
      </c>
      <c r="AB158" s="30" t="s">
        <v>141</v>
      </c>
      <c r="AC158" s="31" t="s">
        <v>141</v>
      </c>
      <c r="AD158" s="32" t="s">
        <v>141</v>
      </c>
      <c r="AE158" s="33">
        <v>12</v>
      </c>
      <c r="AF158" s="34" t="s">
        <v>1582</v>
      </c>
      <c r="AG158" s="35" t="s">
        <v>141</v>
      </c>
      <c r="AH158" s="36" t="s">
        <v>141</v>
      </c>
      <c r="AI158" s="37" t="s">
        <v>1517</v>
      </c>
      <c r="AJ158" s="38" t="s">
        <v>1518</v>
      </c>
      <c r="AK158" s="39" t="s">
        <v>1517</v>
      </c>
      <c r="AL158" s="40" t="s">
        <v>141</v>
      </c>
      <c r="AM158" s="41" t="s">
        <v>170</v>
      </c>
      <c r="AN158" s="42" t="s">
        <v>2020</v>
      </c>
      <c r="AO158" s="43">
        <v>10</v>
      </c>
      <c r="AP158" s="44" t="s">
        <v>145</v>
      </c>
      <c r="AQ158" s="45" t="s">
        <v>141</v>
      </c>
      <c r="AR158" s="46" t="s">
        <v>141</v>
      </c>
      <c r="AS158" s="47" t="s">
        <v>141</v>
      </c>
      <c r="AT158" s="48" t="s">
        <v>141</v>
      </c>
      <c r="AU158" s="49" t="s">
        <v>141</v>
      </c>
      <c r="AV158" s="50" t="s">
        <v>141</v>
      </c>
      <c r="AW158" s="51" t="s">
        <v>141</v>
      </c>
      <c r="AX158" s="52" t="s">
        <v>141</v>
      </c>
      <c r="AY158" s="53" t="s">
        <v>141</v>
      </c>
      <c r="AZ158" s="54" t="s">
        <v>141</v>
      </c>
      <c r="BA158" s="55" t="s">
        <v>146</v>
      </c>
      <c r="BB158" s="56" t="s">
        <v>263</v>
      </c>
      <c r="BC158" s="57" t="s">
        <v>132</v>
      </c>
      <c r="BD158" s="58">
        <v>400</v>
      </c>
      <c r="BE158" s="59">
        <v>4</v>
      </c>
      <c r="BF158" s="60" t="s">
        <v>2021</v>
      </c>
      <c r="BG158" s="61">
        <v>3</v>
      </c>
      <c r="BH158" s="62" t="s">
        <v>2022</v>
      </c>
      <c r="BI158" s="63">
        <v>1</v>
      </c>
      <c r="BJ158" s="64" t="s">
        <v>141</v>
      </c>
      <c r="BK158" s="65" t="s">
        <v>2023</v>
      </c>
      <c r="BL158" s="66" t="s">
        <v>2024</v>
      </c>
      <c r="BM158" s="67" t="s">
        <v>2025</v>
      </c>
      <c r="BN158" s="68" t="s">
        <v>141</v>
      </c>
      <c r="BO158" s="69" t="s">
        <v>141</v>
      </c>
      <c r="BP158" s="70" t="s">
        <v>141</v>
      </c>
      <c r="BQ158" s="71" t="s">
        <v>141</v>
      </c>
      <c r="BR158" s="72" t="s">
        <v>141</v>
      </c>
      <c r="BS158" s="73" t="s">
        <v>141</v>
      </c>
      <c r="BT158" s="74" t="s">
        <v>141</v>
      </c>
      <c r="BU158" s="75" t="s">
        <v>141</v>
      </c>
      <c r="BV158" s="76" t="s">
        <v>141</v>
      </c>
      <c r="BW158" s="77" t="s">
        <v>141</v>
      </c>
      <c r="BX158" s="78">
        <v>20</v>
      </c>
      <c r="BY158" s="79">
        <v>4625.82</v>
      </c>
      <c r="BZ158" s="80" t="s">
        <v>141</v>
      </c>
      <c r="CA158" s="81" t="s">
        <v>141</v>
      </c>
      <c r="CB158" s="82" t="s">
        <v>141</v>
      </c>
      <c r="CC158" s="83" t="s">
        <v>141</v>
      </c>
      <c r="CD158" s="84" t="s">
        <v>141</v>
      </c>
      <c r="CE158" s="85">
        <v>2015</v>
      </c>
      <c r="CF158" s="86" t="s">
        <v>141</v>
      </c>
      <c r="CG158" s="87" t="s">
        <v>141</v>
      </c>
      <c r="CH158" s="88" t="s">
        <v>141</v>
      </c>
      <c r="CI158" s="89" t="s">
        <v>141</v>
      </c>
      <c r="CJ158" s="90" t="s">
        <v>141</v>
      </c>
      <c r="CK158" s="91" t="s">
        <v>141</v>
      </c>
      <c r="CL158" s="92" t="s">
        <v>141</v>
      </c>
      <c r="CM158" s="93" t="s">
        <v>141</v>
      </c>
      <c r="CN158" s="94">
        <v>0.5</v>
      </c>
      <c r="CO158" s="95" t="s">
        <v>141</v>
      </c>
      <c r="CP158" s="96" t="s">
        <v>141</v>
      </c>
      <c r="CQ158" s="97" t="s">
        <v>141</v>
      </c>
      <c r="CR158" s="98" t="s">
        <v>141</v>
      </c>
      <c r="CS158" s="99" t="s">
        <v>141</v>
      </c>
      <c r="CT158" s="100" t="s">
        <v>141</v>
      </c>
      <c r="CU158" s="101" t="s">
        <v>141</v>
      </c>
      <c r="CV158" s="102" t="s">
        <v>141</v>
      </c>
      <c r="CW158" s="103" t="s">
        <v>141</v>
      </c>
      <c r="CX158" s="104">
        <v>1800</v>
      </c>
      <c r="CY158" s="105" t="s">
        <v>150</v>
      </c>
      <c r="CZ158" s="106" t="s">
        <v>327</v>
      </c>
      <c r="DA158" s="107" t="s">
        <v>152</v>
      </c>
      <c r="DB158" s="108" t="s">
        <v>153</v>
      </c>
      <c r="DC158" s="109" t="s">
        <v>328</v>
      </c>
      <c r="DD158" s="110" t="s">
        <v>329</v>
      </c>
      <c r="DE158" s="111" t="s">
        <v>1203</v>
      </c>
      <c r="DF158" s="112" t="s">
        <v>157</v>
      </c>
      <c r="DG158" s="113">
        <v>2013</v>
      </c>
      <c r="DH158" s="114" t="s">
        <v>2026</v>
      </c>
      <c r="DI158" s="227" t="str">
        <f>HYPERLINK("https://my.pitchbook.com?c=55364-59T", "View company online")</f>
        <v>View company online</v>
      </c>
    </row>
    <row r="159" spans="1:113" x14ac:dyDescent="0.2">
      <c r="A159" s="115" t="s">
        <v>2027</v>
      </c>
      <c r="B159" s="116" t="s">
        <v>2009</v>
      </c>
      <c r="C159" s="117" t="s">
        <v>2010</v>
      </c>
      <c r="D159" s="118" t="s">
        <v>2011</v>
      </c>
      <c r="E159" s="119" t="s">
        <v>2012</v>
      </c>
      <c r="F159" s="120" t="s">
        <v>164</v>
      </c>
      <c r="G159" s="121" t="s">
        <v>165</v>
      </c>
      <c r="H159" s="122" t="s">
        <v>190</v>
      </c>
      <c r="I159" s="123" t="s">
        <v>2013</v>
      </c>
      <c r="J159" s="124" t="s">
        <v>897</v>
      </c>
      <c r="K159" s="125" t="s">
        <v>2014</v>
      </c>
      <c r="L159" s="126" t="s">
        <v>345</v>
      </c>
      <c r="M159" s="127" t="s">
        <v>133</v>
      </c>
      <c r="N159" s="128" t="s">
        <v>134</v>
      </c>
      <c r="O159" s="129" t="s">
        <v>2015</v>
      </c>
      <c r="P159" s="130" t="s">
        <v>2016</v>
      </c>
      <c r="Q159" s="131" t="s">
        <v>2017</v>
      </c>
      <c r="R159" s="132" t="s">
        <v>141</v>
      </c>
      <c r="S159" s="133" t="s">
        <v>2018</v>
      </c>
      <c r="T159" s="134" t="s">
        <v>2019</v>
      </c>
      <c r="U159" s="135">
        <v>4</v>
      </c>
      <c r="V159" s="136" t="s">
        <v>2027</v>
      </c>
      <c r="W159" s="137" t="s">
        <v>141</v>
      </c>
      <c r="X159" s="138">
        <v>42597</v>
      </c>
      <c r="Y159" s="139">
        <v>40</v>
      </c>
      <c r="Z159" s="140" t="s">
        <v>177</v>
      </c>
      <c r="AA159" s="141" t="s">
        <v>141</v>
      </c>
      <c r="AB159" s="142" t="s">
        <v>141</v>
      </c>
      <c r="AC159" s="143" t="s">
        <v>141</v>
      </c>
      <c r="AD159" s="144" t="s">
        <v>141</v>
      </c>
      <c r="AE159" s="145">
        <v>52</v>
      </c>
      <c r="AF159" s="146" t="s">
        <v>1516</v>
      </c>
      <c r="AG159" s="147" t="s">
        <v>141</v>
      </c>
      <c r="AH159" s="148" t="s">
        <v>141</v>
      </c>
      <c r="AI159" s="149" t="s">
        <v>1551</v>
      </c>
      <c r="AJ159" s="150" t="s">
        <v>1518</v>
      </c>
      <c r="AK159" s="151" t="s">
        <v>1551</v>
      </c>
      <c r="AL159" s="152" t="s">
        <v>141</v>
      </c>
      <c r="AM159" s="153" t="s">
        <v>170</v>
      </c>
      <c r="AN159" s="154" t="s">
        <v>2028</v>
      </c>
      <c r="AO159" s="155">
        <v>40</v>
      </c>
      <c r="AP159" s="156" t="s">
        <v>145</v>
      </c>
      <c r="AQ159" s="157" t="s">
        <v>141</v>
      </c>
      <c r="AR159" s="158" t="s">
        <v>141</v>
      </c>
      <c r="AS159" s="159" t="s">
        <v>141</v>
      </c>
      <c r="AT159" s="160" t="s">
        <v>141</v>
      </c>
      <c r="AU159" s="161" t="s">
        <v>141</v>
      </c>
      <c r="AV159" s="162" t="s">
        <v>141</v>
      </c>
      <c r="AW159" s="163" t="s">
        <v>141</v>
      </c>
      <c r="AX159" s="164" t="s">
        <v>141</v>
      </c>
      <c r="AY159" s="165" t="s">
        <v>141</v>
      </c>
      <c r="AZ159" s="166" t="s">
        <v>141</v>
      </c>
      <c r="BA159" s="167" t="s">
        <v>146</v>
      </c>
      <c r="BB159" s="168" t="s">
        <v>133</v>
      </c>
      <c r="BC159" s="169" t="s">
        <v>132</v>
      </c>
      <c r="BD159" s="170">
        <v>600</v>
      </c>
      <c r="BE159" s="171">
        <v>1</v>
      </c>
      <c r="BF159" s="172" t="s">
        <v>2029</v>
      </c>
      <c r="BG159" s="173">
        <v>1</v>
      </c>
      <c r="BH159" s="174" t="s">
        <v>141</v>
      </c>
      <c r="BI159" s="175" t="s">
        <v>141</v>
      </c>
      <c r="BJ159" s="176" t="s">
        <v>141</v>
      </c>
      <c r="BK159" s="177" t="s">
        <v>2030</v>
      </c>
      <c r="BL159" s="178" t="s">
        <v>2031</v>
      </c>
      <c r="BM159" s="179" t="s">
        <v>2031</v>
      </c>
      <c r="BN159" s="180" t="s">
        <v>2032</v>
      </c>
      <c r="BO159" s="181" t="s">
        <v>141</v>
      </c>
      <c r="BP159" s="182" t="s">
        <v>141</v>
      </c>
      <c r="BQ159" s="183" t="s">
        <v>141</v>
      </c>
      <c r="BR159" s="184" t="s">
        <v>2033</v>
      </c>
      <c r="BS159" s="185" t="s">
        <v>2034</v>
      </c>
      <c r="BT159" s="186" t="s">
        <v>141</v>
      </c>
      <c r="BU159" s="187" t="s">
        <v>2035</v>
      </c>
      <c r="BV159" s="188" t="s">
        <v>141</v>
      </c>
      <c r="BW159" s="189" t="s">
        <v>141</v>
      </c>
      <c r="BX159" s="190">
        <v>200</v>
      </c>
      <c r="BY159" s="191">
        <v>900</v>
      </c>
      <c r="BZ159" s="192" t="s">
        <v>141</v>
      </c>
      <c r="CA159" s="193" t="s">
        <v>141</v>
      </c>
      <c r="CB159" s="194" t="s">
        <v>141</v>
      </c>
      <c r="CC159" s="195" t="s">
        <v>141</v>
      </c>
      <c r="CD159" s="196" t="s">
        <v>141</v>
      </c>
      <c r="CE159" s="197">
        <v>2016</v>
      </c>
      <c r="CF159" s="198" t="s">
        <v>141</v>
      </c>
      <c r="CG159" s="199" t="s">
        <v>141</v>
      </c>
      <c r="CH159" s="200" t="s">
        <v>141</v>
      </c>
      <c r="CI159" s="201" t="s">
        <v>141</v>
      </c>
      <c r="CJ159" s="202" t="s">
        <v>141</v>
      </c>
      <c r="CK159" s="203" t="s">
        <v>141</v>
      </c>
      <c r="CL159" s="204" t="s">
        <v>141</v>
      </c>
      <c r="CM159" s="205" t="s">
        <v>141</v>
      </c>
      <c r="CN159" s="206">
        <v>0.2</v>
      </c>
      <c r="CO159" s="207" t="s">
        <v>141</v>
      </c>
      <c r="CP159" s="208" t="s">
        <v>141</v>
      </c>
      <c r="CQ159" s="209" t="s">
        <v>141</v>
      </c>
      <c r="CR159" s="210" t="s">
        <v>141</v>
      </c>
      <c r="CS159" s="211" t="s">
        <v>141</v>
      </c>
      <c r="CT159" s="212" t="s">
        <v>141</v>
      </c>
      <c r="CU159" s="213" t="s">
        <v>141</v>
      </c>
      <c r="CV159" s="214" t="s">
        <v>141</v>
      </c>
      <c r="CW159" s="215" t="s">
        <v>141</v>
      </c>
      <c r="CX159" s="216">
        <v>1800</v>
      </c>
      <c r="CY159" s="217" t="s">
        <v>150</v>
      </c>
      <c r="CZ159" s="218" t="s">
        <v>327</v>
      </c>
      <c r="DA159" s="219" t="s">
        <v>152</v>
      </c>
      <c r="DB159" s="220" t="s">
        <v>153</v>
      </c>
      <c r="DC159" s="221" t="s">
        <v>328</v>
      </c>
      <c r="DD159" s="222" t="s">
        <v>329</v>
      </c>
      <c r="DE159" s="223" t="s">
        <v>1203</v>
      </c>
      <c r="DF159" s="224" t="s">
        <v>157</v>
      </c>
      <c r="DG159" s="225">
        <v>2013</v>
      </c>
      <c r="DH159" s="226" t="s">
        <v>2026</v>
      </c>
      <c r="DI159" s="228" t="str">
        <f>HYPERLINK("https://my.pitchbook.com?c=76420-36T", "View company online")</f>
        <v>View company online</v>
      </c>
    </row>
    <row r="160" spans="1:113" x14ac:dyDescent="0.2">
      <c r="A160" s="3" t="s">
        <v>2036</v>
      </c>
      <c r="B160" s="4" t="s">
        <v>560</v>
      </c>
      <c r="C160" s="5" t="s">
        <v>561</v>
      </c>
      <c r="D160" s="6" t="s">
        <v>562</v>
      </c>
      <c r="E160" s="7" t="s">
        <v>563</v>
      </c>
      <c r="F160" s="8" t="s">
        <v>126</v>
      </c>
      <c r="G160" s="9" t="s">
        <v>127</v>
      </c>
      <c r="H160" s="10" t="s">
        <v>128</v>
      </c>
      <c r="I160" s="11" t="s">
        <v>129</v>
      </c>
      <c r="J160" s="12" t="s">
        <v>130</v>
      </c>
      <c r="K160" s="13" t="s">
        <v>564</v>
      </c>
      <c r="L160" s="14" t="s">
        <v>132</v>
      </c>
      <c r="M160" s="15" t="s">
        <v>133</v>
      </c>
      <c r="N160" s="16" t="s">
        <v>134</v>
      </c>
      <c r="O160" s="17" t="s">
        <v>565</v>
      </c>
      <c r="P160" s="18" t="s">
        <v>566</v>
      </c>
      <c r="Q160" s="19" t="s">
        <v>567</v>
      </c>
      <c r="R160" s="20" t="s">
        <v>568</v>
      </c>
      <c r="S160" s="21" t="s">
        <v>569</v>
      </c>
      <c r="T160" s="22" t="s">
        <v>570</v>
      </c>
      <c r="U160" s="23">
        <v>3</v>
      </c>
      <c r="V160" s="24" t="s">
        <v>2036</v>
      </c>
      <c r="W160" s="25" t="s">
        <v>141</v>
      </c>
      <c r="X160" s="26">
        <v>43277</v>
      </c>
      <c r="Y160" s="27">
        <v>10.97</v>
      </c>
      <c r="Z160" s="28" t="s">
        <v>177</v>
      </c>
      <c r="AA160" s="29">
        <v>27</v>
      </c>
      <c r="AB160" s="30">
        <v>37.97</v>
      </c>
      <c r="AC160" s="31" t="s">
        <v>177</v>
      </c>
      <c r="AD160" s="32">
        <v>28.9</v>
      </c>
      <c r="AE160" s="33">
        <v>13.83</v>
      </c>
      <c r="AF160" s="34" t="s">
        <v>1582</v>
      </c>
      <c r="AG160" s="35" t="s">
        <v>1188</v>
      </c>
      <c r="AH160" s="36">
        <v>2.87</v>
      </c>
      <c r="AI160" s="37" t="s">
        <v>1517</v>
      </c>
      <c r="AJ160" s="38" t="s">
        <v>1518</v>
      </c>
      <c r="AK160" s="39" t="s">
        <v>1517</v>
      </c>
      <c r="AL160" s="40" t="s">
        <v>141</v>
      </c>
      <c r="AM160" s="41" t="s">
        <v>170</v>
      </c>
      <c r="AN160" s="42" t="s">
        <v>2037</v>
      </c>
      <c r="AO160" s="43">
        <v>10.97</v>
      </c>
      <c r="AP160" s="44" t="s">
        <v>145</v>
      </c>
      <c r="AQ160" s="45" t="s">
        <v>141</v>
      </c>
      <c r="AR160" s="46" t="s">
        <v>141</v>
      </c>
      <c r="AS160" s="47" t="s">
        <v>141</v>
      </c>
      <c r="AT160" s="48" t="s">
        <v>141</v>
      </c>
      <c r="AU160" s="49" t="s">
        <v>141</v>
      </c>
      <c r="AV160" s="50" t="s">
        <v>141</v>
      </c>
      <c r="AW160" s="51" t="s">
        <v>141</v>
      </c>
      <c r="AX160" s="52" t="s">
        <v>141</v>
      </c>
      <c r="AY160" s="53" t="s">
        <v>141</v>
      </c>
      <c r="AZ160" s="54" t="s">
        <v>141</v>
      </c>
      <c r="BA160" s="55" t="s">
        <v>146</v>
      </c>
      <c r="BB160" s="56" t="s">
        <v>133</v>
      </c>
      <c r="BC160" s="57" t="s">
        <v>132</v>
      </c>
      <c r="BD160" s="58">
        <v>59</v>
      </c>
      <c r="BE160" s="59">
        <v>7</v>
      </c>
      <c r="BF160" s="60" t="s">
        <v>2038</v>
      </c>
      <c r="BG160" s="61">
        <v>2</v>
      </c>
      <c r="BH160" s="62" t="s">
        <v>2039</v>
      </c>
      <c r="BI160" s="63">
        <v>5</v>
      </c>
      <c r="BJ160" s="64" t="s">
        <v>141</v>
      </c>
      <c r="BK160" s="65" t="s">
        <v>2040</v>
      </c>
      <c r="BL160" s="66" t="s">
        <v>2041</v>
      </c>
      <c r="BM160" s="67" t="s">
        <v>2042</v>
      </c>
      <c r="BN160" s="68" t="s">
        <v>2043</v>
      </c>
      <c r="BO160" s="69" t="s">
        <v>141</v>
      </c>
      <c r="BP160" s="70" t="s">
        <v>141</v>
      </c>
      <c r="BQ160" s="71" t="s">
        <v>141</v>
      </c>
      <c r="BR160" s="72" t="s">
        <v>2044</v>
      </c>
      <c r="BS160" s="73" t="s">
        <v>2045</v>
      </c>
      <c r="BT160" s="74" t="s">
        <v>141</v>
      </c>
      <c r="BU160" s="75" t="s">
        <v>2046</v>
      </c>
      <c r="BV160" s="76" t="s">
        <v>141</v>
      </c>
      <c r="BW160" s="77" t="s">
        <v>141</v>
      </c>
      <c r="BX160" s="78" t="s">
        <v>141</v>
      </c>
      <c r="BY160" s="79" t="s">
        <v>141</v>
      </c>
      <c r="BZ160" s="80" t="s">
        <v>141</v>
      </c>
      <c r="CA160" s="81" t="s">
        <v>141</v>
      </c>
      <c r="CB160" s="82" t="s">
        <v>141</v>
      </c>
      <c r="CC160" s="83" t="s">
        <v>141</v>
      </c>
      <c r="CD160" s="84" t="s">
        <v>141</v>
      </c>
      <c r="CE160" s="85" t="s">
        <v>141</v>
      </c>
      <c r="CF160" s="86" t="s">
        <v>141</v>
      </c>
      <c r="CG160" s="87" t="s">
        <v>141</v>
      </c>
      <c r="CH160" s="88" t="s">
        <v>141</v>
      </c>
      <c r="CI160" s="89" t="s">
        <v>141</v>
      </c>
      <c r="CJ160" s="90" t="s">
        <v>141</v>
      </c>
      <c r="CK160" s="91" t="s">
        <v>141</v>
      </c>
      <c r="CL160" s="92" t="s">
        <v>141</v>
      </c>
      <c r="CM160" s="93" t="s">
        <v>141</v>
      </c>
      <c r="CN160" s="94" t="s">
        <v>141</v>
      </c>
      <c r="CO160" s="95" t="s">
        <v>141</v>
      </c>
      <c r="CP160" s="96" t="s">
        <v>141</v>
      </c>
      <c r="CQ160" s="97" t="s">
        <v>141</v>
      </c>
      <c r="CR160" s="98" t="s">
        <v>141</v>
      </c>
      <c r="CS160" s="99" t="s">
        <v>141</v>
      </c>
      <c r="CT160" s="100" t="s">
        <v>141</v>
      </c>
      <c r="CU160" s="101" t="s">
        <v>141</v>
      </c>
      <c r="CV160" s="102" t="s">
        <v>141</v>
      </c>
      <c r="CW160" s="103" t="s">
        <v>141</v>
      </c>
      <c r="CX160" s="104">
        <v>81</v>
      </c>
      <c r="CY160" s="105" t="s">
        <v>150</v>
      </c>
      <c r="CZ160" s="106" t="s">
        <v>575</v>
      </c>
      <c r="DA160" s="107" t="s">
        <v>152</v>
      </c>
      <c r="DB160" s="108" t="s">
        <v>153</v>
      </c>
      <c r="DC160" s="109" t="s">
        <v>576</v>
      </c>
      <c r="DD160" s="110" t="s">
        <v>577</v>
      </c>
      <c r="DE160" s="111" t="s">
        <v>578</v>
      </c>
      <c r="DF160" s="112" t="s">
        <v>157</v>
      </c>
      <c r="DG160" s="113">
        <v>2017</v>
      </c>
      <c r="DH160" s="114" t="s">
        <v>579</v>
      </c>
      <c r="DI160" s="227" t="str">
        <f>HYPERLINK("https://my.pitchbook.com?c=107956-45T", "View company online")</f>
        <v>View company online</v>
      </c>
    </row>
    <row r="161" spans="1:113" x14ac:dyDescent="0.2">
      <c r="A161" s="115" t="s">
        <v>2047</v>
      </c>
      <c r="B161" s="116" t="s">
        <v>560</v>
      </c>
      <c r="C161" s="117" t="s">
        <v>561</v>
      </c>
      <c r="D161" s="118" t="s">
        <v>562</v>
      </c>
      <c r="E161" s="119" t="s">
        <v>563</v>
      </c>
      <c r="F161" s="120" t="s">
        <v>126</v>
      </c>
      <c r="G161" s="121" t="s">
        <v>127</v>
      </c>
      <c r="H161" s="122" t="s">
        <v>128</v>
      </c>
      <c r="I161" s="123" t="s">
        <v>129</v>
      </c>
      <c r="J161" s="124" t="s">
        <v>130</v>
      </c>
      <c r="K161" s="125" t="s">
        <v>564</v>
      </c>
      <c r="L161" s="126" t="s">
        <v>132</v>
      </c>
      <c r="M161" s="127" t="s">
        <v>133</v>
      </c>
      <c r="N161" s="128" t="s">
        <v>134</v>
      </c>
      <c r="O161" s="129" t="s">
        <v>565</v>
      </c>
      <c r="P161" s="130" t="s">
        <v>566</v>
      </c>
      <c r="Q161" s="131" t="s">
        <v>567</v>
      </c>
      <c r="R161" s="132" t="s">
        <v>568</v>
      </c>
      <c r="S161" s="133" t="s">
        <v>569</v>
      </c>
      <c r="T161" s="134" t="s">
        <v>570</v>
      </c>
      <c r="U161" s="135">
        <v>4</v>
      </c>
      <c r="V161" s="136" t="s">
        <v>2047</v>
      </c>
      <c r="W161" s="137">
        <v>43692</v>
      </c>
      <c r="X161" s="138">
        <v>43704</v>
      </c>
      <c r="Y161" s="139">
        <v>15</v>
      </c>
      <c r="Z161" s="140" t="s">
        <v>177</v>
      </c>
      <c r="AA161" s="141">
        <v>40</v>
      </c>
      <c r="AB161" s="142">
        <v>55</v>
      </c>
      <c r="AC161" s="143" t="s">
        <v>177</v>
      </c>
      <c r="AD161" s="144">
        <v>27.27</v>
      </c>
      <c r="AE161" s="145">
        <v>28.83</v>
      </c>
      <c r="AF161" s="146" t="s">
        <v>1516</v>
      </c>
      <c r="AG161" s="147" t="s">
        <v>1188</v>
      </c>
      <c r="AH161" s="148">
        <v>2.97</v>
      </c>
      <c r="AI161" s="149" t="s">
        <v>1551</v>
      </c>
      <c r="AJ161" s="150" t="s">
        <v>1518</v>
      </c>
      <c r="AK161" s="151" t="s">
        <v>1551</v>
      </c>
      <c r="AL161" s="152" t="s">
        <v>141</v>
      </c>
      <c r="AM161" s="153" t="s">
        <v>170</v>
      </c>
      <c r="AN161" s="154" t="s">
        <v>2048</v>
      </c>
      <c r="AO161" s="155">
        <v>15</v>
      </c>
      <c r="AP161" s="156" t="s">
        <v>145</v>
      </c>
      <c r="AQ161" s="157" t="s">
        <v>141</v>
      </c>
      <c r="AR161" s="158" t="s">
        <v>141</v>
      </c>
      <c r="AS161" s="159" t="s">
        <v>141</v>
      </c>
      <c r="AT161" s="160" t="s">
        <v>141</v>
      </c>
      <c r="AU161" s="161" t="s">
        <v>141</v>
      </c>
      <c r="AV161" s="162" t="s">
        <v>141</v>
      </c>
      <c r="AW161" s="163" t="s">
        <v>141</v>
      </c>
      <c r="AX161" s="164" t="s">
        <v>141</v>
      </c>
      <c r="AY161" s="165" t="s">
        <v>141</v>
      </c>
      <c r="AZ161" s="166" t="s">
        <v>141</v>
      </c>
      <c r="BA161" s="167" t="s">
        <v>146</v>
      </c>
      <c r="BB161" s="168" t="s">
        <v>133</v>
      </c>
      <c r="BC161" s="169" t="s">
        <v>132</v>
      </c>
      <c r="BD161" s="170" t="s">
        <v>141</v>
      </c>
      <c r="BE161" s="171">
        <v>9</v>
      </c>
      <c r="BF161" s="172" t="s">
        <v>2049</v>
      </c>
      <c r="BG161" s="173">
        <v>6</v>
      </c>
      <c r="BH161" s="174" t="s">
        <v>2050</v>
      </c>
      <c r="BI161" s="175">
        <v>3</v>
      </c>
      <c r="BJ161" s="176" t="s">
        <v>141</v>
      </c>
      <c r="BK161" s="177" t="s">
        <v>2051</v>
      </c>
      <c r="BL161" s="178" t="s">
        <v>2052</v>
      </c>
      <c r="BM161" s="179" t="s">
        <v>2053</v>
      </c>
      <c r="BN161" s="180" t="s">
        <v>2054</v>
      </c>
      <c r="BO161" s="181" t="s">
        <v>141</v>
      </c>
      <c r="BP161" s="182" t="s">
        <v>141</v>
      </c>
      <c r="BQ161" s="183" t="s">
        <v>141</v>
      </c>
      <c r="BR161" s="184" t="s">
        <v>2055</v>
      </c>
      <c r="BS161" s="185" t="s">
        <v>141</v>
      </c>
      <c r="BT161" s="186" t="s">
        <v>141</v>
      </c>
      <c r="BU161" s="187" t="s">
        <v>2055</v>
      </c>
      <c r="BV161" s="188" t="s">
        <v>141</v>
      </c>
      <c r="BW161" s="189" t="s">
        <v>141</v>
      </c>
      <c r="BX161" s="190" t="s">
        <v>141</v>
      </c>
      <c r="BY161" s="191" t="s">
        <v>141</v>
      </c>
      <c r="BZ161" s="192" t="s">
        <v>141</v>
      </c>
      <c r="CA161" s="193" t="s">
        <v>141</v>
      </c>
      <c r="CB161" s="194" t="s">
        <v>141</v>
      </c>
      <c r="CC161" s="195" t="s">
        <v>141</v>
      </c>
      <c r="CD161" s="196" t="s">
        <v>141</v>
      </c>
      <c r="CE161" s="197" t="s">
        <v>141</v>
      </c>
      <c r="CF161" s="198" t="s">
        <v>141</v>
      </c>
      <c r="CG161" s="199" t="s">
        <v>141</v>
      </c>
      <c r="CH161" s="200" t="s">
        <v>141</v>
      </c>
      <c r="CI161" s="201" t="s">
        <v>141</v>
      </c>
      <c r="CJ161" s="202" t="s">
        <v>141</v>
      </c>
      <c r="CK161" s="203" t="s">
        <v>141</v>
      </c>
      <c r="CL161" s="204" t="s">
        <v>141</v>
      </c>
      <c r="CM161" s="205" t="s">
        <v>141</v>
      </c>
      <c r="CN161" s="206" t="s">
        <v>141</v>
      </c>
      <c r="CO161" s="207" t="s">
        <v>141</v>
      </c>
      <c r="CP161" s="208" t="s">
        <v>141</v>
      </c>
      <c r="CQ161" s="209" t="s">
        <v>141</v>
      </c>
      <c r="CR161" s="210" t="s">
        <v>141</v>
      </c>
      <c r="CS161" s="211" t="s">
        <v>141</v>
      </c>
      <c r="CT161" s="212" t="s">
        <v>141</v>
      </c>
      <c r="CU161" s="213" t="s">
        <v>141</v>
      </c>
      <c r="CV161" s="214" t="s">
        <v>141</v>
      </c>
      <c r="CW161" s="215" t="s">
        <v>141</v>
      </c>
      <c r="CX161" s="216">
        <v>81</v>
      </c>
      <c r="CY161" s="217" t="s">
        <v>150</v>
      </c>
      <c r="CZ161" s="218" t="s">
        <v>575</v>
      </c>
      <c r="DA161" s="219" t="s">
        <v>152</v>
      </c>
      <c r="DB161" s="220" t="s">
        <v>153</v>
      </c>
      <c r="DC161" s="221" t="s">
        <v>576</v>
      </c>
      <c r="DD161" s="222" t="s">
        <v>577</v>
      </c>
      <c r="DE161" s="223" t="s">
        <v>578</v>
      </c>
      <c r="DF161" s="224" t="s">
        <v>157</v>
      </c>
      <c r="DG161" s="225">
        <v>2017</v>
      </c>
      <c r="DH161" s="226" t="s">
        <v>579</v>
      </c>
      <c r="DI161" s="228" t="str">
        <f>HYPERLINK("https://my.pitchbook.com?c=122611-96T", "View company online")</f>
        <v>View company online</v>
      </c>
    </row>
    <row r="162" spans="1:113" x14ac:dyDescent="0.2">
      <c r="A162" s="3" t="s">
        <v>2056</v>
      </c>
      <c r="B162" s="4" t="s">
        <v>560</v>
      </c>
      <c r="C162" s="5" t="s">
        <v>561</v>
      </c>
      <c r="D162" s="6" t="s">
        <v>562</v>
      </c>
      <c r="E162" s="7" t="s">
        <v>563</v>
      </c>
      <c r="F162" s="8" t="s">
        <v>126</v>
      </c>
      <c r="G162" s="9" t="s">
        <v>127</v>
      </c>
      <c r="H162" s="10" t="s">
        <v>128</v>
      </c>
      <c r="I162" s="11" t="s">
        <v>129</v>
      </c>
      <c r="J162" s="12" t="s">
        <v>130</v>
      </c>
      <c r="K162" s="13" t="s">
        <v>564</v>
      </c>
      <c r="L162" s="14" t="s">
        <v>132</v>
      </c>
      <c r="M162" s="15" t="s">
        <v>133</v>
      </c>
      <c r="N162" s="16" t="s">
        <v>134</v>
      </c>
      <c r="O162" s="17" t="s">
        <v>565</v>
      </c>
      <c r="P162" s="18" t="s">
        <v>566</v>
      </c>
      <c r="Q162" s="19" t="s">
        <v>567</v>
      </c>
      <c r="R162" s="20" t="s">
        <v>568</v>
      </c>
      <c r="S162" s="21" t="s">
        <v>569</v>
      </c>
      <c r="T162" s="22" t="s">
        <v>570</v>
      </c>
      <c r="U162" s="23">
        <v>6</v>
      </c>
      <c r="V162" s="24" t="s">
        <v>2056</v>
      </c>
      <c r="W162" s="25" t="s">
        <v>141</v>
      </c>
      <c r="X162" s="26">
        <v>44027</v>
      </c>
      <c r="Y162" s="27">
        <v>4.58</v>
      </c>
      <c r="Z162" s="28" t="s">
        <v>177</v>
      </c>
      <c r="AA162" s="29">
        <v>60</v>
      </c>
      <c r="AB162" s="30">
        <v>63.89</v>
      </c>
      <c r="AC162" s="31" t="s">
        <v>177</v>
      </c>
      <c r="AD162" s="32">
        <v>6.1</v>
      </c>
      <c r="AE162" s="33">
        <v>33.409999999999997</v>
      </c>
      <c r="AF162" s="34" t="s">
        <v>1550</v>
      </c>
      <c r="AG162" s="35" t="s">
        <v>1846</v>
      </c>
      <c r="AH162" s="36">
        <v>2.97</v>
      </c>
      <c r="AI162" s="37" t="s">
        <v>141</v>
      </c>
      <c r="AJ162" s="38" t="s">
        <v>1518</v>
      </c>
      <c r="AK162" s="39" t="s">
        <v>141</v>
      </c>
      <c r="AL162" s="40" t="s">
        <v>141</v>
      </c>
      <c r="AM162" s="41" t="s">
        <v>170</v>
      </c>
      <c r="AN162" s="42" t="s">
        <v>563</v>
      </c>
      <c r="AO162" s="43">
        <v>3.89</v>
      </c>
      <c r="AP162" s="44" t="s">
        <v>145</v>
      </c>
      <c r="AQ162" s="45" t="s">
        <v>141</v>
      </c>
      <c r="AR162" s="46" t="s">
        <v>141</v>
      </c>
      <c r="AS162" s="47" t="s">
        <v>143</v>
      </c>
      <c r="AT162" s="48" t="s">
        <v>141</v>
      </c>
      <c r="AU162" s="49" t="s">
        <v>141</v>
      </c>
      <c r="AV162" s="50">
        <v>0.69</v>
      </c>
      <c r="AW162" s="51" t="s">
        <v>141</v>
      </c>
      <c r="AX162" s="52" t="s">
        <v>141</v>
      </c>
      <c r="AY162" s="53">
        <v>0.69</v>
      </c>
      <c r="AZ162" s="54" t="s">
        <v>141</v>
      </c>
      <c r="BA162" s="55" t="s">
        <v>146</v>
      </c>
      <c r="BB162" s="56" t="s">
        <v>133</v>
      </c>
      <c r="BC162" s="57" t="s">
        <v>132</v>
      </c>
      <c r="BD162" s="58" t="s">
        <v>141</v>
      </c>
      <c r="BE162" s="59" t="s">
        <v>141</v>
      </c>
      <c r="BF162" s="60" t="s">
        <v>141</v>
      </c>
      <c r="BG162" s="61" t="s">
        <v>141</v>
      </c>
      <c r="BH162" s="62" t="s">
        <v>141</v>
      </c>
      <c r="BI162" s="63" t="s">
        <v>141</v>
      </c>
      <c r="BJ162" s="64" t="s">
        <v>141</v>
      </c>
      <c r="BK162" s="65" t="s">
        <v>141</v>
      </c>
      <c r="BL162" s="66" t="s">
        <v>141</v>
      </c>
      <c r="BM162" s="67" t="s">
        <v>141</v>
      </c>
      <c r="BN162" s="68" t="s">
        <v>141</v>
      </c>
      <c r="BO162" s="69" t="s">
        <v>141</v>
      </c>
      <c r="BP162" s="70" t="s">
        <v>141</v>
      </c>
      <c r="BQ162" s="71" t="s">
        <v>141</v>
      </c>
      <c r="BR162" s="72" t="s">
        <v>141</v>
      </c>
      <c r="BS162" s="73" t="s">
        <v>141</v>
      </c>
      <c r="BT162" s="74" t="s">
        <v>141</v>
      </c>
      <c r="BU162" s="75" t="s">
        <v>141</v>
      </c>
      <c r="BV162" s="76" t="s">
        <v>141</v>
      </c>
      <c r="BW162" s="77" t="s">
        <v>141</v>
      </c>
      <c r="BX162" s="78" t="s">
        <v>141</v>
      </c>
      <c r="BY162" s="79" t="s">
        <v>141</v>
      </c>
      <c r="BZ162" s="80" t="s">
        <v>141</v>
      </c>
      <c r="CA162" s="81" t="s">
        <v>141</v>
      </c>
      <c r="CB162" s="82" t="s">
        <v>141</v>
      </c>
      <c r="CC162" s="83" t="s">
        <v>141</v>
      </c>
      <c r="CD162" s="84" t="s">
        <v>141</v>
      </c>
      <c r="CE162" s="85" t="s">
        <v>141</v>
      </c>
      <c r="CF162" s="86" t="s">
        <v>141</v>
      </c>
      <c r="CG162" s="87" t="s">
        <v>141</v>
      </c>
      <c r="CH162" s="88" t="s">
        <v>141</v>
      </c>
      <c r="CI162" s="89" t="s">
        <v>141</v>
      </c>
      <c r="CJ162" s="90" t="s">
        <v>141</v>
      </c>
      <c r="CK162" s="91" t="s">
        <v>141</v>
      </c>
      <c r="CL162" s="92" t="s">
        <v>141</v>
      </c>
      <c r="CM162" s="93" t="s">
        <v>141</v>
      </c>
      <c r="CN162" s="94" t="s">
        <v>141</v>
      </c>
      <c r="CO162" s="95" t="s">
        <v>141</v>
      </c>
      <c r="CP162" s="96" t="s">
        <v>141</v>
      </c>
      <c r="CQ162" s="97">
        <v>0.18</v>
      </c>
      <c r="CR162" s="98" t="s">
        <v>141</v>
      </c>
      <c r="CS162" s="99" t="s">
        <v>141</v>
      </c>
      <c r="CT162" s="100" t="s">
        <v>141</v>
      </c>
      <c r="CU162" s="101" t="s">
        <v>141</v>
      </c>
      <c r="CV162" s="102" t="s">
        <v>141</v>
      </c>
      <c r="CW162" s="103" t="s">
        <v>141</v>
      </c>
      <c r="CX162" s="104">
        <v>81</v>
      </c>
      <c r="CY162" s="105" t="s">
        <v>150</v>
      </c>
      <c r="CZ162" s="106" t="s">
        <v>575</v>
      </c>
      <c r="DA162" s="107" t="s">
        <v>152</v>
      </c>
      <c r="DB162" s="108" t="s">
        <v>153</v>
      </c>
      <c r="DC162" s="109" t="s">
        <v>576</v>
      </c>
      <c r="DD162" s="110" t="s">
        <v>577</v>
      </c>
      <c r="DE162" s="111" t="s">
        <v>578</v>
      </c>
      <c r="DF162" s="112" t="s">
        <v>157</v>
      </c>
      <c r="DG162" s="113">
        <v>2017</v>
      </c>
      <c r="DH162" s="114" t="s">
        <v>579</v>
      </c>
      <c r="DI162" s="227" t="str">
        <f>HYPERLINK("https://my.pitchbook.com?c=139762-45T", "View company online")</f>
        <v>View company online</v>
      </c>
    </row>
    <row r="163" spans="1:113" x14ac:dyDescent="0.2">
      <c r="A163" s="115" t="s">
        <v>2057</v>
      </c>
      <c r="B163" s="116" t="s">
        <v>581</v>
      </c>
      <c r="C163" s="117" t="s">
        <v>582</v>
      </c>
      <c r="D163" s="118" t="s">
        <v>583</v>
      </c>
      <c r="E163" s="119" t="s">
        <v>584</v>
      </c>
      <c r="F163" s="120" t="s">
        <v>585</v>
      </c>
      <c r="G163" s="121" t="s">
        <v>586</v>
      </c>
      <c r="H163" s="122" t="s">
        <v>587</v>
      </c>
      <c r="I163" s="123" t="s">
        <v>588</v>
      </c>
      <c r="J163" s="124" t="s">
        <v>589</v>
      </c>
      <c r="K163" s="125" t="s">
        <v>590</v>
      </c>
      <c r="L163" s="126" t="s">
        <v>132</v>
      </c>
      <c r="M163" s="127" t="s">
        <v>591</v>
      </c>
      <c r="N163" s="128" t="s">
        <v>170</v>
      </c>
      <c r="O163" s="129" t="s">
        <v>592</v>
      </c>
      <c r="P163" s="130" t="s">
        <v>593</v>
      </c>
      <c r="Q163" s="131" t="s">
        <v>594</v>
      </c>
      <c r="R163" s="132" t="s">
        <v>595</v>
      </c>
      <c r="S163" s="133" t="s">
        <v>596</v>
      </c>
      <c r="T163" s="134" t="s">
        <v>597</v>
      </c>
      <c r="U163" s="135">
        <v>2</v>
      </c>
      <c r="V163" s="136" t="s">
        <v>2057</v>
      </c>
      <c r="W163" s="137">
        <v>41207</v>
      </c>
      <c r="X163" s="138">
        <v>41368</v>
      </c>
      <c r="Y163" s="139">
        <v>10.8</v>
      </c>
      <c r="Z163" s="140" t="s">
        <v>177</v>
      </c>
      <c r="AA163" s="141">
        <v>14.61</v>
      </c>
      <c r="AB163" s="142">
        <v>25.41</v>
      </c>
      <c r="AC163" s="143" t="s">
        <v>177</v>
      </c>
      <c r="AD163" s="144">
        <v>42.5</v>
      </c>
      <c r="AE163" s="145">
        <v>10.8</v>
      </c>
      <c r="AF163" s="146" t="s">
        <v>1571</v>
      </c>
      <c r="AG163" s="147" t="s">
        <v>141</v>
      </c>
      <c r="AH163" s="148">
        <v>1.19</v>
      </c>
      <c r="AI163" s="149" t="s">
        <v>1517</v>
      </c>
      <c r="AJ163" s="150" t="s">
        <v>1518</v>
      </c>
      <c r="AK163" s="151" t="s">
        <v>1517</v>
      </c>
      <c r="AL163" s="152" t="s">
        <v>141</v>
      </c>
      <c r="AM163" s="153" t="s">
        <v>170</v>
      </c>
      <c r="AN163" s="154" t="s">
        <v>2058</v>
      </c>
      <c r="AO163" s="155">
        <v>10.8</v>
      </c>
      <c r="AP163" s="156" t="s">
        <v>145</v>
      </c>
      <c r="AQ163" s="157" t="s">
        <v>141</v>
      </c>
      <c r="AR163" s="158" t="s">
        <v>141</v>
      </c>
      <c r="AS163" s="159" t="s">
        <v>141</v>
      </c>
      <c r="AT163" s="160" t="s">
        <v>141</v>
      </c>
      <c r="AU163" s="161" t="s">
        <v>141</v>
      </c>
      <c r="AV163" s="162" t="s">
        <v>141</v>
      </c>
      <c r="AW163" s="163" t="s">
        <v>141</v>
      </c>
      <c r="AX163" s="164" t="s">
        <v>141</v>
      </c>
      <c r="AY163" s="165" t="s">
        <v>141</v>
      </c>
      <c r="AZ163" s="166" t="s">
        <v>141</v>
      </c>
      <c r="BA163" s="167" t="s">
        <v>146</v>
      </c>
      <c r="BB163" s="168" t="s">
        <v>263</v>
      </c>
      <c r="BC163" s="169" t="s">
        <v>132</v>
      </c>
      <c r="BD163" s="170" t="s">
        <v>141</v>
      </c>
      <c r="BE163" s="171">
        <v>16</v>
      </c>
      <c r="BF163" s="172" t="s">
        <v>2059</v>
      </c>
      <c r="BG163" s="173">
        <v>16</v>
      </c>
      <c r="BH163" s="174" t="s">
        <v>141</v>
      </c>
      <c r="BI163" s="175" t="s">
        <v>141</v>
      </c>
      <c r="BJ163" s="176" t="s">
        <v>141</v>
      </c>
      <c r="BK163" s="177" t="s">
        <v>2060</v>
      </c>
      <c r="BL163" s="178" t="s">
        <v>2061</v>
      </c>
      <c r="BM163" s="179" t="s">
        <v>2062</v>
      </c>
      <c r="BN163" s="180" t="s">
        <v>2063</v>
      </c>
      <c r="BO163" s="181" t="s">
        <v>141</v>
      </c>
      <c r="BP163" s="182" t="s">
        <v>141</v>
      </c>
      <c r="BQ163" s="183" t="s">
        <v>141</v>
      </c>
      <c r="BR163" s="184" t="s">
        <v>141</v>
      </c>
      <c r="BS163" s="185" t="s">
        <v>141</v>
      </c>
      <c r="BT163" s="186" t="s">
        <v>141</v>
      </c>
      <c r="BU163" s="187" t="s">
        <v>141</v>
      </c>
      <c r="BV163" s="188" t="s">
        <v>141</v>
      </c>
      <c r="BW163" s="189" t="s">
        <v>141</v>
      </c>
      <c r="BX163" s="190">
        <v>1</v>
      </c>
      <c r="BY163" s="191" t="s">
        <v>141</v>
      </c>
      <c r="BZ163" s="192" t="s">
        <v>141</v>
      </c>
      <c r="CA163" s="193" t="s">
        <v>141</v>
      </c>
      <c r="CB163" s="194" t="s">
        <v>141</v>
      </c>
      <c r="CC163" s="195" t="s">
        <v>141</v>
      </c>
      <c r="CD163" s="196" t="s">
        <v>141</v>
      </c>
      <c r="CE163" s="197">
        <v>2012</v>
      </c>
      <c r="CF163" s="198" t="s">
        <v>141</v>
      </c>
      <c r="CG163" s="199" t="s">
        <v>141</v>
      </c>
      <c r="CH163" s="200" t="s">
        <v>141</v>
      </c>
      <c r="CI163" s="201">
        <v>25.41</v>
      </c>
      <c r="CJ163" s="202" t="s">
        <v>141</v>
      </c>
      <c r="CK163" s="203" t="s">
        <v>141</v>
      </c>
      <c r="CL163" s="204" t="s">
        <v>141</v>
      </c>
      <c r="CM163" s="205" t="s">
        <v>141</v>
      </c>
      <c r="CN163" s="206">
        <v>10.8</v>
      </c>
      <c r="CO163" s="207" t="s">
        <v>141</v>
      </c>
      <c r="CP163" s="208" t="s">
        <v>141</v>
      </c>
      <c r="CQ163" s="209" t="s">
        <v>141</v>
      </c>
      <c r="CR163" s="210" t="s">
        <v>141</v>
      </c>
      <c r="CS163" s="211" t="s">
        <v>141</v>
      </c>
      <c r="CT163" s="212" t="s">
        <v>141</v>
      </c>
      <c r="CU163" s="213" t="s">
        <v>141</v>
      </c>
      <c r="CV163" s="214" t="s">
        <v>141</v>
      </c>
      <c r="CW163" s="215" t="s">
        <v>141</v>
      </c>
      <c r="CX163" s="216">
        <v>300000</v>
      </c>
      <c r="CY163" s="217" t="s">
        <v>150</v>
      </c>
      <c r="CZ163" s="218" t="s">
        <v>180</v>
      </c>
      <c r="DA163" s="219" t="s">
        <v>152</v>
      </c>
      <c r="DB163" s="220" t="s">
        <v>153</v>
      </c>
      <c r="DC163" s="221" t="s">
        <v>181</v>
      </c>
      <c r="DD163" s="222" t="s">
        <v>182</v>
      </c>
      <c r="DE163" s="223" t="s">
        <v>183</v>
      </c>
      <c r="DF163" s="224" t="s">
        <v>157</v>
      </c>
      <c r="DG163" s="225">
        <v>2012</v>
      </c>
      <c r="DH163" s="226" t="s">
        <v>599</v>
      </c>
      <c r="DI163" s="228" t="str">
        <f>HYPERLINK("https://my.pitchbook.com?c=27114-31T", "View company online")</f>
        <v>View company online</v>
      </c>
    </row>
    <row r="164" spans="1:113" x14ac:dyDescent="0.2">
      <c r="A164" s="3" t="s">
        <v>2064</v>
      </c>
      <c r="B164" s="4" t="s">
        <v>581</v>
      </c>
      <c r="C164" s="5" t="s">
        <v>582</v>
      </c>
      <c r="D164" s="6" t="s">
        <v>583</v>
      </c>
      <c r="E164" s="7" t="s">
        <v>584</v>
      </c>
      <c r="F164" s="8" t="s">
        <v>585</v>
      </c>
      <c r="G164" s="9" t="s">
        <v>586</v>
      </c>
      <c r="H164" s="10" t="s">
        <v>587</v>
      </c>
      <c r="I164" s="11" t="s">
        <v>588</v>
      </c>
      <c r="J164" s="12" t="s">
        <v>589</v>
      </c>
      <c r="K164" s="13" t="s">
        <v>590</v>
      </c>
      <c r="L164" s="14" t="s">
        <v>132</v>
      </c>
      <c r="M164" s="15" t="s">
        <v>591</v>
      </c>
      <c r="N164" s="16" t="s">
        <v>170</v>
      </c>
      <c r="O164" s="17" t="s">
        <v>592</v>
      </c>
      <c r="P164" s="18" t="s">
        <v>593</v>
      </c>
      <c r="Q164" s="19" t="s">
        <v>594</v>
      </c>
      <c r="R164" s="20" t="s">
        <v>595</v>
      </c>
      <c r="S164" s="21" t="s">
        <v>596</v>
      </c>
      <c r="T164" s="22" t="s">
        <v>597</v>
      </c>
      <c r="U164" s="23">
        <v>3</v>
      </c>
      <c r="V164" s="24" t="s">
        <v>2064</v>
      </c>
      <c r="W164" s="25" t="s">
        <v>141</v>
      </c>
      <c r="X164" s="26">
        <v>41806</v>
      </c>
      <c r="Y164" s="27">
        <v>44</v>
      </c>
      <c r="Z164" s="28" t="s">
        <v>177</v>
      </c>
      <c r="AA164" s="29">
        <v>336</v>
      </c>
      <c r="AB164" s="30">
        <v>380</v>
      </c>
      <c r="AC164" s="31" t="s">
        <v>177</v>
      </c>
      <c r="AD164" s="32">
        <v>11.58</v>
      </c>
      <c r="AE164" s="33">
        <v>54.8</v>
      </c>
      <c r="AF164" s="34" t="s">
        <v>1582</v>
      </c>
      <c r="AG164" s="35" t="s">
        <v>1188</v>
      </c>
      <c r="AH164" s="36">
        <v>14.9</v>
      </c>
      <c r="AI164" s="37" t="s">
        <v>1551</v>
      </c>
      <c r="AJ164" s="38" t="s">
        <v>1518</v>
      </c>
      <c r="AK164" s="39" t="s">
        <v>1551</v>
      </c>
      <c r="AL164" s="40" t="s">
        <v>141</v>
      </c>
      <c r="AM164" s="41" t="s">
        <v>170</v>
      </c>
      <c r="AN164" s="42" t="s">
        <v>2065</v>
      </c>
      <c r="AO164" s="43">
        <v>44</v>
      </c>
      <c r="AP164" s="44" t="s">
        <v>145</v>
      </c>
      <c r="AQ164" s="45" t="s">
        <v>141</v>
      </c>
      <c r="AR164" s="46" t="s">
        <v>141</v>
      </c>
      <c r="AS164" s="47" t="s">
        <v>141</v>
      </c>
      <c r="AT164" s="48" t="s">
        <v>141</v>
      </c>
      <c r="AU164" s="49" t="s">
        <v>141</v>
      </c>
      <c r="AV164" s="50" t="s">
        <v>141</v>
      </c>
      <c r="AW164" s="51" t="s">
        <v>141</v>
      </c>
      <c r="AX164" s="52" t="s">
        <v>141</v>
      </c>
      <c r="AY164" s="53" t="s">
        <v>141</v>
      </c>
      <c r="AZ164" s="54" t="s">
        <v>141</v>
      </c>
      <c r="BA164" s="55" t="s">
        <v>146</v>
      </c>
      <c r="BB164" s="56" t="s">
        <v>263</v>
      </c>
      <c r="BC164" s="57" t="s">
        <v>132</v>
      </c>
      <c r="BD164" s="58">
        <v>92</v>
      </c>
      <c r="BE164" s="59">
        <v>8</v>
      </c>
      <c r="BF164" s="60" t="s">
        <v>2066</v>
      </c>
      <c r="BG164" s="61">
        <v>3</v>
      </c>
      <c r="BH164" s="62" t="s">
        <v>2067</v>
      </c>
      <c r="BI164" s="63">
        <v>5</v>
      </c>
      <c r="BJ164" s="64" t="s">
        <v>141</v>
      </c>
      <c r="BK164" s="65" t="s">
        <v>2068</v>
      </c>
      <c r="BL164" s="66" t="s">
        <v>2069</v>
      </c>
      <c r="BM164" s="67" t="s">
        <v>2070</v>
      </c>
      <c r="BN164" s="68" t="s">
        <v>2071</v>
      </c>
      <c r="BO164" s="69" t="s">
        <v>141</v>
      </c>
      <c r="BP164" s="70" t="s">
        <v>141</v>
      </c>
      <c r="BQ164" s="71" t="s">
        <v>141</v>
      </c>
      <c r="BR164" s="72" t="s">
        <v>141</v>
      </c>
      <c r="BS164" s="73" t="s">
        <v>141</v>
      </c>
      <c r="BT164" s="74" t="s">
        <v>141</v>
      </c>
      <c r="BU164" s="75" t="s">
        <v>141</v>
      </c>
      <c r="BV164" s="76" t="s">
        <v>141</v>
      </c>
      <c r="BW164" s="77" t="s">
        <v>141</v>
      </c>
      <c r="BX164" s="78">
        <v>10</v>
      </c>
      <c r="BY164" s="79">
        <v>900</v>
      </c>
      <c r="BZ164" s="80" t="s">
        <v>141</v>
      </c>
      <c r="CA164" s="81" t="s">
        <v>141</v>
      </c>
      <c r="CB164" s="82" t="s">
        <v>141</v>
      </c>
      <c r="CC164" s="83" t="s">
        <v>141</v>
      </c>
      <c r="CD164" s="84" t="s">
        <v>141</v>
      </c>
      <c r="CE164" s="85">
        <v>2013</v>
      </c>
      <c r="CF164" s="86" t="s">
        <v>141</v>
      </c>
      <c r="CG164" s="87" t="s">
        <v>141</v>
      </c>
      <c r="CH164" s="88" t="s">
        <v>141</v>
      </c>
      <c r="CI164" s="89">
        <v>38</v>
      </c>
      <c r="CJ164" s="90" t="s">
        <v>141</v>
      </c>
      <c r="CK164" s="91" t="s">
        <v>141</v>
      </c>
      <c r="CL164" s="92" t="s">
        <v>141</v>
      </c>
      <c r="CM164" s="93" t="s">
        <v>141</v>
      </c>
      <c r="CN164" s="94">
        <v>4.4000000000000004</v>
      </c>
      <c r="CO164" s="95" t="s">
        <v>141</v>
      </c>
      <c r="CP164" s="96" t="s">
        <v>141</v>
      </c>
      <c r="CQ164" s="97" t="s">
        <v>141</v>
      </c>
      <c r="CR164" s="98" t="s">
        <v>141</v>
      </c>
      <c r="CS164" s="99" t="s">
        <v>141</v>
      </c>
      <c r="CT164" s="100" t="s">
        <v>141</v>
      </c>
      <c r="CU164" s="101" t="s">
        <v>141</v>
      </c>
      <c r="CV164" s="102" t="s">
        <v>141</v>
      </c>
      <c r="CW164" s="103" t="s">
        <v>141</v>
      </c>
      <c r="CX164" s="104">
        <v>300000</v>
      </c>
      <c r="CY164" s="105" t="s">
        <v>150</v>
      </c>
      <c r="CZ164" s="106" t="s">
        <v>180</v>
      </c>
      <c r="DA164" s="107" t="s">
        <v>152</v>
      </c>
      <c r="DB164" s="108" t="s">
        <v>153</v>
      </c>
      <c r="DC164" s="109" t="s">
        <v>181</v>
      </c>
      <c r="DD164" s="110" t="s">
        <v>182</v>
      </c>
      <c r="DE164" s="111" t="s">
        <v>183</v>
      </c>
      <c r="DF164" s="112" t="s">
        <v>157</v>
      </c>
      <c r="DG164" s="113">
        <v>2012</v>
      </c>
      <c r="DH164" s="114" t="s">
        <v>599</v>
      </c>
      <c r="DI164" s="227" t="str">
        <f>HYPERLINK("https://my.pitchbook.com?c=34727-59T", "View company online")</f>
        <v>View company online</v>
      </c>
    </row>
    <row r="165" spans="1:113" x14ac:dyDescent="0.2">
      <c r="A165" s="115" t="s">
        <v>2072</v>
      </c>
      <c r="B165" s="116" t="s">
        <v>2073</v>
      </c>
      <c r="C165" s="117" t="s">
        <v>2074</v>
      </c>
      <c r="D165" s="118" t="s">
        <v>2075</v>
      </c>
      <c r="E165" s="119" t="s">
        <v>2076</v>
      </c>
      <c r="F165" s="120" t="s">
        <v>126</v>
      </c>
      <c r="G165" s="121" t="s">
        <v>127</v>
      </c>
      <c r="H165" s="122" t="s">
        <v>128</v>
      </c>
      <c r="I165" s="123" t="s">
        <v>129</v>
      </c>
      <c r="J165" s="124" t="s">
        <v>141</v>
      </c>
      <c r="K165" s="125" t="s">
        <v>2077</v>
      </c>
      <c r="L165" s="126" t="s">
        <v>132</v>
      </c>
      <c r="M165" s="127" t="s">
        <v>133</v>
      </c>
      <c r="N165" s="128" t="s">
        <v>2078</v>
      </c>
      <c r="O165" s="129" t="s">
        <v>2079</v>
      </c>
      <c r="P165" s="130" t="s">
        <v>2080</v>
      </c>
      <c r="Q165" s="131" t="s">
        <v>2081</v>
      </c>
      <c r="R165" s="132" t="s">
        <v>2082</v>
      </c>
      <c r="S165" s="133" t="s">
        <v>2083</v>
      </c>
      <c r="T165" s="134" t="s">
        <v>141</v>
      </c>
      <c r="U165" s="135">
        <v>1</v>
      </c>
      <c r="V165" s="136" t="s">
        <v>2072</v>
      </c>
      <c r="W165" s="137" t="s">
        <v>141</v>
      </c>
      <c r="X165" s="138" t="s">
        <v>141</v>
      </c>
      <c r="Y165" s="139">
        <v>0.02</v>
      </c>
      <c r="Z165" s="140" t="s">
        <v>177</v>
      </c>
      <c r="AA165" s="141" t="s">
        <v>141</v>
      </c>
      <c r="AB165" s="142" t="s">
        <v>141</v>
      </c>
      <c r="AC165" s="143" t="s">
        <v>141</v>
      </c>
      <c r="AD165" s="144" t="s">
        <v>141</v>
      </c>
      <c r="AE165" s="145">
        <v>0.02</v>
      </c>
      <c r="AF165" s="146" t="s">
        <v>1571</v>
      </c>
      <c r="AG165" s="147" t="s">
        <v>141</v>
      </c>
      <c r="AH165" s="148" t="s">
        <v>141</v>
      </c>
      <c r="AI165" s="149" t="s">
        <v>141</v>
      </c>
      <c r="AJ165" s="150" t="s">
        <v>1518</v>
      </c>
      <c r="AK165" s="151" t="s">
        <v>141</v>
      </c>
      <c r="AL165" s="152" t="s">
        <v>141</v>
      </c>
      <c r="AM165" s="153" t="s">
        <v>170</v>
      </c>
      <c r="AN165" s="154" t="s">
        <v>2076</v>
      </c>
      <c r="AO165" s="155">
        <v>0.02</v>
      </c>
      <c r="AP165" s="156" t="s">
        <v>145</v>
      </c>
      <c r="AQ165" s="157" t="s">
        <v>141</v>
      </c>
      <c r="AR165" s="158" t="s">
        <v>141</v>
      </c>
      <c r="AS165" s="159" t="s">
        <v>141</v>
      </c>
      <c r="AT165" s="160" t="s">
        <v>141</v>
      </c>
      <c r="AU165" s="161" t="s">
        <v>141</v>
      </c>
      <c r="AV165" s="162" t="s">
        <v>141</v>
      </c>
      <c r="AW165" s="163" t="s">
        <v>141</v>
      </c>
      <c r="AX165" s="164" t="s">
        <v>141</v>
      </c>
      <c r="AY165" s="165" t="s">
        <v>141</v>
      </c>
      <c r="AZ165" s="166" t="s">
        <v>141</v>
      </c>
      <c r="BA165" s="167" t="s">
        <v>146</v>
      </c>
      <c r="BB165" s="168" t="s">
        <v>263</v>
      </c>
      <c r="BC165" s="169" t="s">
        <v>132</v>
      </c>
      <c r="BD165" s="170" t="s">
        <v>141</v>
      </c>
      <c r="BE165" s="171">
        <v>1</v>
      </c>
      <c r="BF165" s="172" t="s">
        <v>2084</v>
      </c>
      <c r="BG165" s="173">
        <v>1</v>
      </c>
      <c r="BH165" s="174" t="s">
        <v>141</v>
      </c>
      <c r="BI165" s="175" t="s">
        <v>141</v>
      </c>
      <c r="BJ165" s="176" t="s">
        <v>141</v>
      </c>
      <c r="BK165" s="177" t="s">
        <v>2085</v>
      </c>
      <c r="BL165" s="178" t="s">
        <v>2084</v>
      </c>
      <c r="BM165" s="179" t="s">
        <v>2084</v>
      </c>
      <c r="BN165" s="180" t="s">
        <v>141</v>
      </c>
      <c r="BO165" s="181" t="s">
        <v>141</v>
      </c>
      <c r="BP165" s="182" t="s">
        <v>141</v>
      </c>
      <c r="BQ165" s="183" t="s">
        <v>141</v>
      </c>
      <c r="BR165" s="184" t="s">
        <v>2086</v>
      </c>
      <c r="BS165" s="185" t="s">
        <v>2086</v>
      </c>
      <c r="BT165" s="186" t="s">
        <v>141</v>
      </c>
      <c r="BU165" s="187" t="s">
        <v>141</v>
      </c>
      <c r="BV165" s="188" t="s">
        <v>141</v>
      </c>
      <c r="BW165" s="189" t="s">
        <v>141</v>
      </c>
      <c r="BX165" s="190" t="s">
        <v>141</v>
      </c>
      <c r="BY165" s="191" t="s">
        <v>141</v>
      </c>
      <c r="BZ165" s="192" t="s">
        <v>141</v>
      </c>
      <c r="CA165" s="193" t="s">
        <v>141</v>
      </c>
      <c r="CB165" s="194" t="s">
        <v>141</v>
      </c>
      <c r="CC165" s="195" t="s">
        <v>141</v>
      </c>
      <c r="CD165" s="196" t="s">
        <v>141</v>
      </c>
      <c r="CE165" s="197" t="s">
        <v>141</v>
      </c>
      <c r="CF165" s="198" t="s">
        <v>141</v>
      </c>
      <c r="CG165" s="199" t="s">
        <v>141</v>
      </c>
      <c r="CH165" s="200" t="s">
        <v>141</v>
      </c>
      <c r="CI165" s="201" t="s">
        <v>141</v>
      </c>
      <c r="CJ165" s="202" t="s">
        <v>141</v>
      </c>
      <c r="CK165" s="203" t="s">
        <v>141</v>
      </c>
      <c r="CL165" s="204" t="s">
        <v>141</v>
      </c>
      <c r="CM165" s="205" t="s">
        <v>141</v>
      </c>
      <c r="CN165" s="206" t="s">
        <v>141</v>
      </c>
      <c r="CO165" s="207" t="s">
        <v>141</v>
      </c>
      <c r="CP165" s="208" t="s">
        <v>141</v>
      </c>
      <c r="CQ165" s="209" t="s">
        <v>141</v>
      </c>
      <c r="CR165" s="210" t="s">
        <v>141</v>
      </c>
      <c r="CS165" s="211" t="s">
        <v>141</v>
      </c>
      <c r="CT165" s="212" t="s">
        <v>141</v>
      </c>
      <c r="CU165" s="213" t="s">
        <v>141</v>
      </c>
      <c r="CV165" s="214" t="s">
        <v>141</v>
      </c>
      <c r="CW165" s="215" t="s">
        <v>141</v>
      </c>
      <c r="CX165" s="216">
        <v>2927</v>
      </c>
      <c r="CY165" s="217" t="s">
        <v>150</v>
      </c>
      <c r="CZ165" s="218" t="s">
        <v>2087</v>
      </c>
      <c r="DA165" s="219" t="s">
        <v>2088</v>
      </c>
      <c r="DB165" s="220" t="s">
        <v>2088</v>
      </c>
      <c r="DC165" s="221" t="s">
        <v>2089</v>
      </c>
      <c r="DD165" s="222" t="s">
        <v>2090</v>
      </c>
      <c r="DE165" s="223" t="s">
        <v>141</v>
      </c>
      <c r="DF165" s="224" t="s">
        <v>2091</v>
      </c>
      <c r="DG165" s="225">
        <v>2015</v>
      </c>
      <c r="DH165" s="226" t="s">
        <v>2092</v>
      </c>
      <c r="DI165" s="228" t="str">
        <f>HYPERLINK("https://my.pitchbook.com?c=111199-15T", "View company online")</f>
        <v>View company online</v>
      </c>
    </row>
    <row r="166" spans="1:113" x14ac:dyDescent="0.2">
      <c r="A166" s="3" t="s">
        <v>2093</v>
      </c>
      <c r="B166" s="4" t="s">
        <v>626</v>
      </c>
      <c r="C166" s="5" t="s">
        <v>627</v>
      </c>
      <c r="D166" s="6" t="s">
        <v>628</v>
      </c>
      <c r="E166" s="7" t="s">
        <v>629</v>
      </c>
      <c r="F166" s="8" t="s">
        <v>126</v>
      </c>
      <c r="G166" s="9" t="s">
        <v>127</v>
      </c>
      <c r="H166" s="10" t="s">
        <v>128</v>
      </c>
      <c r="I166" s="11" t="s">
        <v>129</v>
      </c>
      <c r="J166" s="12" t="s">
        <v>130</v>
      </c>
      <c r="K166" s="13" t="s">
        <v>630</v>
      </c>
      <c r="L166" s="14" t="s">
        <v>345</v>
      </c>
      <c r="M166" s="15" t="s">
        <v>631</v>
      </c>
      <c r="N166" s="16" t="s">
        <v>170</v>
      </c>
      <c r="O166" s="17" t="s">
        <v>1285</v>
      </c>
      <c r="P166" s="18" t="s">
        <v>1286</v>
      </c>
      <c r="Q166" s="19" t="s">
        <v>141</v>
      </c>
      <c r="R166" s="20" t="s">
        <v>141</v>
      </c>
      <c r="S166" s="21" t="s">
        <v>1287</v>
      </c>
      <c r="T166" s="22" t="s">
        <v>1288</v>
      </c>
      <c r="U166" s="23">
        <v>3</v>
      </c>
      <c r="V166" s="24" t="s">
        <v>2093</v>
      </c>
      <c r="W166" s="25" t="s">
        <v>141</v>
      </c>
      <c r="X166" s="26">
        <v>42917</v>
      </c>
      <c r="Y166" s="27">
        <v>7.24</v>
      </c>
      <c r="Z166" s="28" t="s">
        <v>177</v>
      </c>
      <c r="AA166" s="29">
        <v>42.55</v>
      </c>
      <c r="AB166" s="30">
        <v>49.79</v>
      </c>
      <c r="AC166" s="31" t="s">
        <v>177</v>
      </c>
      <c r="AD166" s="32">
        <v>14.54</v>
      </c>
      <c r="AE166" s="33">
        <v>19.8</v>
      </c>
      <c r="AF166" s="34" t="s">
        <v>1571</v>
      </c>
      <c r="AG166" s="35" t="s">
        <v>1188</v>
      </c>
      <c r="AH166" s="36">
        <v>72.95</v>
      </c>
      <c r="AI166" s="37" t="s">
        <v>141</v>
      </c>
      <c r="AJ166" s="38" t="s">
        <v>1518</v>
      </c>
      <c r="AK166" s="39" t="s">
        <v>141</v>
      </c>
      <c r="AL166" s="40" t="s">
        <v>141</v>
      </c>
      <c r="AM166" s="41" t="s">
        <v>170</v>
      </c>
      <c r="AN166" s="42" t="s">
        <v>2094</v>
      </c>
      <c r="AO166" s="43">
        <v>7.24</v>
      </c>
      <c r="AP166" s="44" t="s">
        <v>145</v>
      </c>
      <c r="AQ166" s="45" t="s">
        <v>141</v>
      </c>
      <c r="AR166" s="46" t="s">
        <v>141</v>
      </c>
      <c r="AS166" s="47" t="s">
        <v>141</v>
      </c>
      <c r="AT166" s="48" t="s">
        <v>141</v>
      </c>
      <c r="AU166" s="49" t="s">
        <v>141</v>
      </c>
      <c r="AV166" s="50" t="s">
        <v>141</v>
      </c>
      <c r="AW166" s="51" t="s">
        <v>141</v>
      </c>
      <c r="AX166" s="52" t="s">
        <v>141</v>
      </c>
      <c r="AY166" s="53" t="s">
        <v>141</v>
      </c>
      <c r="AZ166" s="54" t="s">
        <v>141</v>
      </c>
      <c r="BA166" s="55" t="s">
        <v>146</v>
      </c>
      <c r="BB166" s="56" t="s">
        <v>133</v>
      </c>
      <c r="BC166" s="57" t="s">
        <v>132</v>
      </c>
      <c r="BD166" s="58" t="s">
        <v>141</v>
      </c>
      <c r="BE166" s="59">
        <v>1</v>
      </c>
      <c r="BF166" s="60" t="s">
        <v>2095</v>
      </c>
      <c r="BG166" s="61">
        <v>1</v>
      </c>
      <c r="BH166" s="62" t="s">
        <v>141</v>
      </c>
      <c r="BI166" s="63" t="s">
        <v>141</v>
      </c>
      <c r="BJ166" s="64" t="s">
        <v>141</v>
      </c>
      <c r="BK166" s="65" t="s">
        <v>2096</v>
      </c>
      <c r="BL166" s="66" t="s">
        <v>2095</v>
      </c>
      <c r="BM166" s="67" t="s">
        <v>2095</v>
      </c>
      <c r="BN166" s="68" t="s">
        <v>141</v>
      </c>
      <c r="BO166" s="69" t="s">
        <v>141</v>
      </c>
      <c r="BP166" s="70" t="s">
        <v>141</v>
      </c>
      <c r="BQ166" s="71" t="s">
        <v>141</v>
      </c>
      <c r="BR166" s="72" t="s">
        <v>2097</v>
      </c>
      <c r="BS166" s="73" t="s">
        <v>141</v>
      </c>
      <c r="BT166" s="74" t="s">
        <v>141</v>
      </c>
      <c r="BU166" s="75" t="s">
        <v>2097</v>
      </c>
      <c r="BV166" s="76" t="s">
        <v>141</v>
      </c>
      <c r="BW166" s="77" t="s">
        <v>141</v>
      </c>
      <c r="BX166" s="78" t="s">
        <v>141</v>
      </c>
      <c r="BY166" s="79" t="s">
        <v>141</v>
      </c>
      <c r="BZ166" s="80" t="s">
        <v>141</v>
      </c>
      <c r="CA166" s="81" t="s">
        <v>141</v>
      </c>
      <c r="CB166" s="82" t="s">
        <v>141</v>
      </c>
      <c r="CC166" s="83" t="s">
        <v>141</v>
      </c>
      <c r="CD166" s="84" t="s">
        <v>141</v>
      </c>
      <c r="CE166" s="85">
        <v>2017</v>
      </c>
      <c r="CF166" s="86" t="s">
        <v>141</v>
      </c>
      <c r="CG166" s="87" t="s">
        <v>141</v>
      </c>
      <c r="CH166" s="88" t="s">
        <v>141</v>
      </c>
      <c r="CI166" s="89" t="s">
        <v>141</v>
      </c>
      <c r="CJ166" s="90" t="s">
        <v>141</v>
      </c>
      <c r="CK166" s="91" t="s">
        <v>141</v>
      </c>
      <c r="CL166" s="92" t="s">
        <v>141</v>
      </c>
      <c r="CM166" s="93" t="s">
        <v>141</v>
      </c>
      <c r="CN166" s="94" t="s">
        <v>141</v>
      </c>
      <c r="CO166" s="95" t="s">
        <v>141</v>
      </c>
      <c r="CP166" s="96" t="s">
        <v>141</v>
      </c>
      <c r="CQ166" s="97" t="s">
        <v>141</v>
      </c>
      <c r="CR166" s="98" t="s">
        <v>141</v>
      </c>
      <c r="CS166" s="99" t="s">
        <v>141</v>
      </c>
      <c r="CT166" s="100" t="s">
        <v>141</v>
      </c>
      <c r="CU166" s="101" t="s">
        <v>141</v>
      </c>
      <c r="CV166" s="102" t="s">
        <v>141</v>
      </c>
      <c r="CW166" s="103" t="s">
        <v>141</v>
      </c>
      <c r="CX166" s="104">
        <v>37</v>
      </c>
      <c r="CY166" s="105" t="s">
        <v>640</v>
      </c>
      <c r="CZ166" s="106" t="s">
        <v>641</v>
      </c>
      <c r="DA166" s="107" t="s">
        <v>642</v>
      </c>
      <c r="DB166" s="108" t="s">
        <v>643</v>
      </c>
      <c r="DC166" s="109" t="s">
        <v>141</v>
      </c>
      <c r="DD166" s="110" t="s">
        <v>644</v>
      </c>
      <c r="DE166" s="111" t="s">
        <v>645</v>
      </c>
      <c r="DF166" s="112" t="s">
        <v>641</v>
      </c>
      <c r="DG166" s="113">
        <v>2014</v>
      </c>
      <c r="DH166" s="114" t="s">
        <v>646</v>
      </c>
      <c r="DI166" s="227" t="str">
        <f>HYPERLINK("https://my.pitchbook.com?c=103601-44T", "View company online")</f>
        <v>View company online</v>
      </c>
    </row>
    <row r="167" spans="1:113" x14ac:dyDescent="0.2">
      <c r="A167" s="115" t="s">
        <v>2098</v>
      </c>
      <c r="B167" s="116" t="s">
        <v>664</v>
      </c>
      <c r="C167" s="117" t="s">
        <v>665</v>
      </c>
      <c r="D167" s="118" t="s">
        <v>666</v>
      </c>
      <c r="E167" s="119" t="s">
        <v>667</v>
      </c>
      <c r="F167" s="120" t="s">
        <v>126</v>
      </c>
      <c r="G167" s="121" t="s">
        <v>127</v>
      </c>
      <c r="H167" s="122" t="s">
        <v>128</v>
      </c>
      <c r="I167" s="123" t="s">
        <v>668</v>
      </c>
      <c r="J167" s="124" t="s">
        <v>141</v>
      </c>
      <c r="K167" s="125" t="s">
        <v>669</v>
      </c>
      <c r="L167" s="126" t="s">
        <v>132</v>
      </c>
      <c r="M167" s="127" t="s">
        <v>133</v>
      </c>
      <c r="N167" s="128" t="s">
        <v>134</v>
      </c>
      <c r="O167" s="129" t="s">
        <v>670</v>
      </c>
      <c r="P167" s="130" t="s">
        <v>671</v>
      </c>
      <c r="Q167" s="131" t="s">
        <v>672</v>
      </c>
      <c r="R167" s="132" t="s">
        <v>673</v>
      </c>
      <c r="S167" s="133" t="s">
        <v>674</v>
      </c>
      <c r="T167" s="134" t="s">
        <v>141</v>
      </c>
      <c r="U167" s="135">
        <v>3</v>
      </c>
      <c r="V167" s="136" t="s">
        <v>2098</v>
      </c>
      <c r="W167" s="137" t="s">
        <v>141</v>
      </c>
      <c r="X167" s="138">
        <v>43006</v>
      </c>
      <c r="Y167" s="139" t="s">
        <v>141</v>
      </c>
      <c r="Z167" s="140" t="s">
        <v>141</v>
      </c>
      <c r="AA167" s="141" t="s">
        <v>141</v>
      </c>
      <c r="AB167" s="142" t="s">
        <v>141</v>
      </c>
      <c r="AC167" s="143" t="s">
        <v>141</v>
      </c>
      <c r="AD167" s="144" t="s">
        <v>141</v>
      </c>
      <c r="AE167" s="145">
        <v>2.02</v>
      </c>
      <c r="AF167" s="146" t="s">
        <v>1582</v>
      </c>
      <c r="AG167" s="147" t="s">
        <v>141</v>
      </c>
      <c r="AH167" s="148" t="s">
        <v>141</v>
      </c>
      <c r="AI167" s="149" t="s">
        <v>141</v>
      </c>
      <c r="AJ167" s="150" t="s">
        <v>1518</v>
      </c>
      <c r="AK167" s="151" t="s">
        <v>141</v>
      </c>
      <c r="AL167" s="152" t="s">
        <v>141</v>
      </c>
      <c r="AM167" s="153" t="s">
        <v>170</v>
      </c>
      <c r="AN167" s="154" t="s">
        <v>2099</v>
      </c>
      <c r="AO167" s="155" t="s">
        <v>141</v>
      </c>
      <c r="AP167" s="156" t="s">
        <v>145</v>
      </c>
      <c r="AQ167" s="157" t="s">
        <v>141</v>
      </c>
      <c r="AR167" s="158" t="s">
        <v>141</v>
      </c>
      <c r="AS167" s="159" t="s">
        <v>141</v>
      </c>
      <c r="AT167" s="160" t="s">
        <v>141</v>
      </c>
      <c r="AU167" s="161" t="s">
        <v>141</v>
      </c>
      <c r="AV167" s="162" t="s">
        <v>141</v>
      </c>
      <c r="AW167" s="163" t="s">
        <v>141</v>
      </c>
      <c r="AX167" s="164" t="s">
        <v>141</v>
      </c>
      <c r="AY167" s="165" t="s">
        <v>141</v>
      </c>
      <c r="AZ167" s="166" t="s">
        <v>141</v>
      </c>
      <c r="BA167" s="167" t="s">
        <v>146</v>
      </c>
      <c r="BB167" s="168" t="s">
        <v>133</v>
      </c>
      <c r="BC167" s="169" t="s">
        <v>132</v>
      </c>
      <c r="BD167" s="170" t="s">
        <v>141</v>
      </c>
      <c r="BE167" s="171">
        <v>6</v>
      </c>
      <c r="BF167" s="172" t="s">
        <v>2100</v>
      </c>
      <c r="BG167" s="173">
        <v>5</v>
      </c>
      <c r="BH167" s="174" t="s">
        <v>2101</v>
      </c>
      <c r="BI167" s="175">
        <v>1</v>
      </c>
      <c r="BJ167" s="176" t="s">
        <v>141</v>
      </c>
      <c r="BK167" s="177" t="s">
        <v>2102</v>
      </c>
      <c r="BL167" s="178" t="s">
        <v>2103</v>
      </c>
      <c r="BM167" s="179" t="s">
        <v>141</v>
      </c>
      <c r="BN167" s="180" t="s">
        <v>2104</v>
      </c>
      <c r="BO167" s="181" t="s">
        <v>141</v>
      </c>
      <c r="BP167" s="182" t="s">
        <v>141</v>
      </c>
      <c r="BQ167" s="183" t="s">
        <v>141</v>
      </c>
      <c r="BR167" s="184" t="s">
        <v>141</v>
      </c>
      <c r="BS167" s="185" t="s">
        <v>141</v>
      </c>
      <c r="BT167" s="186" t="s">
        <v>141</v>
      </c>
      <c r="BU167" s="187" t="s">
        <v>141</v>
      </c>
      <c r="BV167" s="188" t="s">
        <v>141</v>
      </c>
      <c r="BW167" s="189" t="s">
        <v>141</v>
      </c>
      <c r="BX167" s="190" t="s">
        <v>141</v>
      </c>
      <c r="BY167" s="191" t="s">
        <v>141</v>
      </c>
      <c r="BZ167" s="192" t="s">
        <v>141</v>
      </c>
      <c r="CA167" s="193" t="s">
        <v>141</v>
      </c>
      <c r="CB167" s="194" t="s">
        <v>141</v>
      </c>
      <c r="CC167" s="195" t="s">
        <v>141</v>
      </c>
      <c r="CD167" s="196" t="s">
        <v>141</v>
      </c>
      <c r="CE167" s="197" t="s">
        <v>141</v>
      </c>
      <c r="CF167" s="198" t="s">
        <v>141</v>
      </c>
      <c r="CG167" s="199" t="s">
        <v>141</v>
      </c>
      <c r="CH167" s="200" t="s">
        <v>141</v>
      </c>
      <c r="CI167" s="201" t="s">
        <v>141</v>
      </c>
      <c r="CJ167" s="202" t="s">
        <v>141</v>
      </c>
      <c r="CK167" s="203" t="s">
        <v>141</v>
      </c>
      <c r="CL167" s="204" t="s">
        <v>141</v>
      </c>
      <c r="CM167" s="205" t="s">
        <v>141</v>
      </c>
      <c r="CN167" s="206" t="s">
        <v>141</v>
      </c>
      <c r="CO167" s="207" t="s">
        <v>141</v>
      </c>
      <c r="CP167" s="208" t="s">
        <v>141</v>
      </c>
      <c r="CQ167" s="209" t="s">
        <v>141</v>
      </c>
      <c r="CR167" s="210" t="s">
        <v>141</v>
      </c>
      <c r="CS167" s="211" t="s">
        <v>141</v>
      </c>
      <c r="CT167" s="212" t="s">
        <v>141</v>
      </c>
      <c r="CU167" s="213" t="s">
        <v>141</v>
      </c>
      <c r="CV167" s="214" t="s">
        <v>141</v>
      </c>
      <c r="CW167" s="215" t="s">
        <v>141</v>
      </c>
      <c r="CX167" s="216">
        <v>91</v>
      </c>
      <c r="CY167" s="217" t="s">
        <v>150</v>
      </c>
      <c r="CZ167" s="218" t="s">
        <v>676</v>
      </c>
      <c r="DA167" s="219" t="s">
        <v>152</v>
      </c>
      <c r="DB167" s="220" t="s">
        <v>153</v>
      </c>
      <c r="DC167" s="221" t="s">
        <v>677</v>
      </c>
      <c r="DD167" s="222" t="s">
        <v>182</v>
      </c>
      <c r="DE167" s="223" t="s">
        <v>678</v>
      </c>
      <c r="DF167" s="224" t="s">
        <v>157</v>
      </c>
      <c r="DG167" s="225">
        <v>2014</v>
      </c>
      <c r="DH167" s="226" t="s">
        <v>679</v>
      </c>
      <c r="DI167" s="228" t="str">
        <f>HYPERLINK("https://my.pitchbook.com?c=81113-05T", "View company online")</f>
        <v>View company online</v>
      </c>
    </row>
    <row r="168" spans="1:113" x14ac:dyDescent="0.2">
      <c r="A168" s="3" t="s">
        <v>2105</v>
      </c>
      <c r="B168" s="4" t="s">
        <v>681</v>
      </c>
      <c r="C168" s="5" t="s">
        <v>682</v>
      </c>
      <c r="D168" s="6" t="s">
        <v>683</v>
      </c>
      <c r="E168" s="7" t="s">
        <v>684</v>
      </c>
      <c r="F168" s="8" t="s">
        <v>126</v>
      </c>
      <c r="G168" s="9" t="s">
        <v>456</v>
      </c>
      <c r="H168" s="10" t="s">
        <v>457</v>
      </c>
      <c r="I168" s="11" t="s">
        <v>458</v>
      </c>
      <c r="J168" s="12" t="s">
        <v>685</v>
      </c>
      <c r="K168" s="13" t="s">
        <v>686</v>
      </c>
      <c r="L168" s="14" t="s">
        <v>132</v>
      </c>
      <c r="M168" s="15" t="s">
        <v>133</v>
      </c>
      <c r="N168" s="16" t="s">
        <v>170</v>
      </c>
      <c r="O168" s="17" t="s">
        <v>687</v>
      </c>
      <c r="P168" s="18" t="s">
        <v>688</v>
      </c>
      <c r="Q168" s="19" t="s">
        <v>141</v>
      </c>
      <c r="R168" s="20" t="s">
        <v>689</v>
      </c>
      <c r="S168" s="21" t="s">
        <v>690</v>
      </c>
      <c r="T168" s="22" t="s">
        <v>691</v>
      </c>
      <c r="U168" s="23">
        <v>4</v>
      </c>
      <c r="V168" s="24" t="s">
        <v>2105</v>
      </c>
      <c r="W168" s="25">
        <v>43199</v>
      </c>
      <c r="X168" s="26">
        <v>43258</v>
      </c>
      <c r="Y168" s="27">
        <v>1.1499999999999999</v>
      </c>
      <c r="Z168" s="28" t="s">
        <v>177</v>
      </c>
      <c r="AA168" s="29" t="s">
        <v>141</v>
      </c>
      <c r="AB168" s="30" t="s">
        <v>141</v>
      </c>
      <c r="AC168" s="31" t="s">
        <v>141</v>
      </c>
      <c r="AD168" s="32" t="s">
        <v>141</v>
      </c>
      <c r="AE168" s="33">
        <v>2.5499999999999998</v>
      </c>
      <c r="AF168" s="34" t="s">
        <v>1582</v>
      </c>
      <c r="AG168" s="35" t="s">
        <v>141</v>
      </c>
      <c r="AH168" s="36" t="s">
        <v>141</v>
      </c>
      <c r="AI168" s="37" t="s">
        <v>141</v>
      </c>
      <c r="AJ168" s="38" t="s">
        <v>1518</v>
      </c>
      <c r="AK168" s="39" t="s">
        <v>141</v>
      </c>
      <c r="AL168" s="40" t="s">
        <v>141</v>
      </c>
      <c r="AM168" s="41" t="s">
        <v>170</v>
      </c>
      <c r="AN168" s="42" t="s">
        <v>684</v>
      </c>
      <c r="AO168" s="43">
        <v>1.1499999999999999</v>
      </c>
      <c r="AP168" s="44" t="s">
        <v>145</v>
      </c>
      <c r="AQ168" s="45" t="s">
        <v>141</v>
      </c>
      <c r="AR168" s="46" t="s">
        <v>141</v>
      </c>
      <c r="AS168" s="47" t="s">
        <v>141</v>
      </c>
      <c r="AT168" s="48" t="s">
        <v>141</v>
      </c>
      <c r="AU168" s="49" t="s">
        <v>141</v>
      </c>
      <c r="AV168" s="50" t="s">
        <v>141</v>
      </c>
      <c r="AW168" s="51" t="s">
        <v>141</v>
      </c>
      <c r="AX168" s="52" t="s">
        <v>141</v>
      </c>
      <c r="AY168" s="53" t="s">
        <v>141</v>
      </c>
      <c r="AZ168" s="54" t="s">
        <v>141</v>
      </c>
      <c r="BA168" s="55" t="s">
        <v>146</v>
      </c>
      <c r="BB168" s="56" t="s">
        <v>133</v>
      </c>
      <c r="BC168" s="57" t="s">
        <v>132</v>
      </c>
      <c r="BD168" s="58" t="s">
        <v>141</v>
      </c>
      <c r="BE168" s="59" t="s">
        <v>141</v>
      </c>
      <c r="BF168" s="60" t="s">
        <v>141</v>
      </c>
      <c r="BG168" s="61" t="s">
        <v>141</v>
      </c>
      <c r="BH168" s="62" t="s">
        <v>141</v>
      </c>
      <c r="BI168" s="63" t="s">
        <v>141</v>
      </c>
      <c r="BJ168" s="64" t="s">
        <v>141</v>
      </c>
      <c r="BK168" s="65" t="s">
        <v>141</v>
      </c>
      <c r="BL168" s="66" t="s">
        <v>141</v>
      </c>
      <c r="BM168" s="67" t="s">
        <v>141</v>
      </c>
      <c r="BN168" s="68" t="s">
        <v>141</v>
      </c>
      <c r="BO168" s="69" t="s">
        <v>141</v>
      </c>
      <c r="BP168" s="70" t="s">
        <v>141</v>
      </c>
      <c r="BQ168" s="71" t="s">
        <v>141</v>
      </c>
      <c r="BR168" s="72" t="s">
        <v>141</v>
      </c>
      <c r="BS168" s="73" t="s">
        <v>141</v>
      </c>
      <c r="BT168" s="74" t="s">
        <v>141</v>
      </c>
      <c r="BU168" s="75" t="s">
        <v>141</v>
      </c>
      <c r="BV168" s="76" t="s">
        <v>141</v>
      </c>
      <c r="BW168" s="77" t="s">
        <v>141</v>
      </c>
      <c r="BX168" s="78">
        <v>0.9</v>
      </c>
      <c r="BY168" s="79" t="s">
        <v>141</v>
      </c>
      <c r="BZ168" s="80" t="s">
        <v>141</v>
      </c>
      <c r="CA168" s="81" t="s">
        <v>141</v>
      </c>
      <c r="CB168" s="82" t="s">
        <v>141</v>
      </c>
      <c r="CC168" s="83" t="s">
        <v>141</v>
      </c>
      <c r="CD168" s="84" t="s">
        <v>141</v>
      </c>
      <c r="CE168" s="85">
        <v>2017</v>
      </c>
      <c r="CF168" s="86" t="s">
        <v>141</v>
      </c>
      <c r="CG168" s="87" t="s">
        <v>141</v>
      </c>
      <c r="CH168" s="88" t="s">
        <v>141</v>
      </c>
      <c r="CI168" s="89" t="s">
        <v>141</v>
      </c>
      <c r="CJ168" s="90" t="s">
        <v>141</v>
      </c>
      <c r="CK168" s="91" t="s">
        <v>141</v>
      </c>
      <c r="CL168" s="92" t="s">
        <v>141</v>
      </c>
      <c r="CM168" s="93" t="s">
        <v>141</v>
      </c>
      <c r="CN168" s="94">
        <v>1.28</v>
      </c>
      <c r="CO168" s="95" t="s">
        <v>141</v>
      </c>
      <c r="CP168" s="96" t="s">
        <v>141</v>
      </c>
      <c r="CQ168" s="97" t="s">
        <v>141</v>
      </c>
      <c r="CR168" s="98" t="s">
        <v>141</v>
      </c>
      <c r="CS168" s="99" t="s">
        <v>141</v>
      </c>
      <c r="CT168" s="100" t="s">
        <v>141</v>
      </c>
      <c r="CU168" s="101" t="s">
        <v>141</v>
      </c>
      <c r="CV168" s="102" t="s">
        <v>141</v>
      </c>
      <c r="CW168" s="103" t="s">
        <v>141</v>
      </c>
      <c r="CX168" s="104">
        <v>6</v>
      </c>
      <c r="CY168" s="105" t="s">
        <v>150</v>
      </c>
      <c r="CZ168" s="106" t="s">
        <v>697</v>
      </c>
      <c r="DA168" s="107" t="s">
        <v>152</v>
      </c>
      <c r="DB168" s="108" t="s">
        <v>153</v>
      </c>
      <c r="DC168" s="109" t="s">
        <v>698</v>
      </c>
      <c r="DD168" s="110" t="s">
        <v>699</v>
      </c>
      <c r="DE168" s="111" t="s">
        <v>700</v>
      </c>
      <c r="DF168" s="112" t="s">
        <v>157</v>
      </c>
      <c r="DG168" s="113">
        <v>2015</v>
      </c>
      <c r="DH168" s="114" t="s">
        <v>701</v>
      </c>
      <c r="DI168" s="227" t="str">
        <f>HYPERLINK("https://my.pitchbook.com?c=137112-76T", "View company online")</f>
        <v>View company online</v>
      </c>
    </row>
    <row r="169" spans="1:113" x14ac:dyDescent="0.2">
      <c r="A169" s="115" t="s">
        <v>2106</v>
      </c>
      <c r="B169" s="116" t="s">
        <v>2107</v>
      </c>
      <c r="C169" s="117" t="s">
        <v>2108</v>
      </c>
      <c r="D169" s="118" t="s">
        <v>2109</v>
      </c>
      <c r="E169" s="119" t="s">
        <v>2110</v>
      </c>
      <c r="F169" s="120" t="s">
        <v>126</v>
      </c>
      <c r="G169" s="121" t="s">
        <v>208</v>
      </c>
      <c r="H169" s="122" t="s">
        <v>209</v>
      </c>
      <c r="I169" s="123" t="s">
        <v>2111</v>
      </c>
      <c r="J169" s="124" t="s">
        <v>708</v>
      </c>
      <c r="K169" s="125" t="s">
        <v>2112</v>
      </c>
      <c r="L169" s="126" t="s">
        <v>132</v>
      </c>
      <c r="M169" s="127" t="s">
        <v>133</v>
      </c>
      <c r="N169" s="128" t="s">
        <v>134</v>
      </c>
      <c r="O169" s="129" t="s">
        <v>2113</v>
      </c>
      <c r="P169" s="130" t="s">
        <v>2114</v>
      </c>
      <c r="Q169" s="131" t="s">
        <v>141</v>
      </c>
      <c r="R169" s="132" t="s">
        <v>2115</v>
      </c>
      <c r="S169" s="133" t="s">
        <v>2116</v>
      </c>
      <c r="T169" s="134" t="s">
        <v>2117</v>
      </c>
      <c r="U169" s="135">
        <v>1</v>
      </c>
      <c r="V169" s="136" t="s">
        <v>2106</v>
      </c>
      <c r="W169" s="137" t="s">
        <v>141</v>
      </c>
      <c r="X169" s="138">
        <v>42370</v>
      </c>
      <c r="Y169" s="139" t="s">
        <v>141</v>
      </c>
      <c r="Z169" s="140" t="s">
        <v>141</v>
      </c>
      <c r="AA169" s="141" t="s">
        <v>141</v>
      </c>
      <c r="AB169" s="142" t="s">
        <v>141</v>
      </c>
      <c r="AC169" s="143" t="s">
        <v>141</v>
      </c>
      <c r="AD169" s="144" t="s">
        <v>141</v>
      </c>
      <c r="AE169" s="145" t="s">
        <v>141</v>
      </c>
      <c r="AF169" s="146" t="s">
        <v>1571</v>
      </c>
      <c r="AG169" s="147" t="s">
        <v>141</v>
      </c>
      <c r="AH169" s="148" t="s">
        <v>141</v>
      </c>
      <c r="AI169" s="149" t="s">
        <v>141</v>
      </c>
      <c r="AJ169" s="150" t="s">
        <v>1518</v>
      </c>
      <c r="AK169" s="151" t="s">
        <v>141</v>
      </c>
      <c r="AL169" s="152" t="s">
        <v>141</v>
      </c>
      <c r="AM169" s="153" t="s">
        <v>170</v>
      </c>
      <c r="AN169" s="154" t="s">
        <v>2118</v>
      </c>
      <c r="AO169" s="155" t="s">
        <v>141</v>
      </c>
      <c r="AP169" s="156" t="s">
        <v>145</v>
      </c>
      <c r="AQ169" s="157" t="s">
        <v>141</v>
      </c>
      <c r="AR169" s="158" t="s">
        <v>141</v>
      </c>
      <c r="AS169" s="159" t="s">
        <v>141</v>
      </c>
      <c r="AT169" s="160" t="s">
        <v>141</v>
      </c>
      <c r="AU169" s="161" t="s">
        <v>141</v>
      </c>
      <c r="AV169" s="162" t="s">
        <v>141</v>
      </c>
      <c r="AW169" s="163" t="s">
        <v>141</v>
      </c>
      <c r="AX169" s="164" t="s">
        <v>141</v>
      </c>
      <c r="AY169" s="165" t="s">
        <v>141</v>
      </c>
      <c r="AZ169" s="166" t="s">
        <v>141</v>
      </c>
      <c r="BA169" s="167" t="s">
        <v>146</v>
      </c>
      <c r="BB169" s="168" t="s">
        <v>263</v>
      </c>
      <c r="BC169" s="169" t="s">
        <v>132</v>
      </c>
      <c r="BD169" s="170">
        <v>10</v>
      </c>
      <c r="BE169" s="171">
        <v>1</v>
      </c>
      <c r="BF169" s="172" t="s">
        <v>2119</v>
      </c>
      <c r="BG169" s="173">
        <v>1</v>
      </c>
      <c r="BH169" s="174" t="s">
        <v>141</v>
      </c>
      <c r="BI169" s="175" t="s">
        <v>141</v>
      </c>
      <c r="BJ169" s="176" t="s">
        <v>141</v>
      </c>
      <c r="BK169" s="177" t="s">
        <v>2120</v>
      </c>
      <c r="BL169" s="178" t="s">
        <v>2119</v>
      </c>
      <c r="BM169" s="179" t="s">
        <v>2119</v>
      </c>
      <c r="BN169" s="180" t="s">
        <v>141</v>
      </c>
      <c r="BO169" s="181" t="s">
        <v>141</v>
      </c>
      <c r="BP169" s="182" t="s">
        <v>141</v>
      </c>
      <c r="BQ169" s="183" t="s">
        <v>141</v>
      </c>
      <c r="BR169" s="184" t="s">
        <v>141</v>
      </c>
      <c r="BS169" s="185" t="s">
        <v>141</v>
      </c>
      <c r="BT169" s="186" t="s">
        <v>141</v>
      </c>
      <c r="BU169" s="187" t="s">
        <v>141</v>
      </c>
      <c r="BV169" s="188" t="s">
        <v>141</v>
      </c>
      <c r="BW169" s="189" t="s">
        <v>141</v>
      </c>
      <c r="BX169" s="190" t="s">
        <v>141</v>
      </c>
      <c r="BY169" s="191" t="s">
        <v>141</v>
      </c>
      <c r="BZ169" s="192" t="s">
        <v>141</v>
      </c>
      <c r="CA169" s="193" t="s">
        <v>141</v>
      </c>
      <c r="CB169" s="194" t="s">
        <v>141</v>
      </c>
      <c r="CC169" s="195" t="s">
        <v>141</v>
      </c>
      <c r="CD169" s="196" t="s">
        <v>141</v>
      </c>
      <c r="CE169" s="197" t="s">
        <v>141</v>
      </c>
      <c r="CF169" s="198" t="s">
        <v>141</v>
      </c>
      <c r="CG169" s="199" t="s">
        <v>141</v>
      </c>
      <c r="CH169" s="200" t="s">
        <v>141</v>
      </c>
      <c r="CI169" s="201" t="s">
        <v>141</v>
      </c>
      <c r="CJ169" s="202" t="s">
        <v>141</v>
      </c>
      <c r="CK169" s="203" t="s">
        <v>141</v>
      </c>
      <c r="CL169" s="204" t="s">
        <v>141</v>
      </c>
      <c r="CM169" s="205" t="s">
        <v>141</v>
      </c>
      <c r="CN169" s="206" t="s">
        <v>141</v>
      </c>
      <c r="CO169" s="207" t="s">
        <v>141</v>
      </c>
      <c r="CP169" s="208" t="s">
        <v>141</v>
      </c>
      <c r="CQ169" s="209" t="s">
        <v>141</v>
      </c>
      <c r="CR169" s="210" t="s">
        <v>141</v>
      </c>
      <c r="CS169" s="211" t="s">
        <v>141</v>
      </c>
      <c r="CT169" s="212" t="s">
        <v>141</v>
      </c>
      <c r="CU169" s="213" t="s">
        <v>141</v>
      </c>
      <c r="CV169" s="214" t="s">
        <v>141</v>
      </c>
      <c r="CW169" s="215" t="s">
        <v>141</v>
      </c>
      <c r="CX169" s="216">
        <v>56</v>
      </c>
      <c r="CY169" s="217" t="s">
        <v>150</v>
      </c>
      <c r="CZ169" s="218" t="s">
        <v>200</v>
      </c>
      <c r="DA169" s="219" t="s">
        <v>152</v>
      </c>
      <c r="DB169" s="220" t="s">
        <v>153</v>
      </c>
      <c r="DC169" s="221" t="s">
        <v>201</v>
      </c>
      <c r="DD169" s="222" t="s">
        <v>201</v>
      </c>
      <c r="DE169" s="223" t="s">
        <v>1085</v>
      </c>
      <c r="DF169" s="224" t="s">
        <v>157</v>
      </c>
      <c r="DG169" s="225">
        <v>2016</v>
      </c>
      <c r="DH169" s="226" t="s">
        <v>2121</v>
      </c>
      <c r="DI169" s="228" t="str">
        <f>HYPERLINK("https://my.pitchbook.com?c=68467-87T", "View company online")</f>
        <v>View company online</v>
      </c>
    </row>
    <row r="170" spans="1:113" x14ac:dyDescent="0.2">
      <c r="A170" s="3" t="s">
        <v>2122</v>
      </c>
      <c r="B170" s="4" t="s">
        <v>2107</v>
      </c>
      <c r="C170" s="5" t="s">
        <v>2108</v>
      </c>
      <c r="D170" s="6" t="s">
        <v>2109</v>
      </c>
      <c r="E170" s="7" t="s">
        <v>2110</v>
      </c>
      <c r="F170" s="8" t="s">
        <v>126</v>
      </c>
      <c r="G170" s="9" t="s">
        <v>208</v>
      </c>
      <c r="H170" s="10" t="s">
        <v>209</v>
      </c>
      <c r="I170" s="11" t="s">
        <v>2111</v>
      </c>
      <c r="J170" s="12" t="s">
        <v>708</v>
      </c>
      <c r="K170" s="13" t="s">
        <v>2112</v>
      </c>
      <c r="L170" s="14" t="s">
        <v>132</v>
      </c>
      <c r="M170" s="15" t="s">
        <v>133</v>
      </c>
      <c r="N170" s="16" t="s">
        <v>134</v>
      </c>
      <c r="O170" s="17" t="s">
        <v>2113</v>
      </c>
      <c r="P170" s="18" t="s">
        <v>2114</v>
      </c>
      <c r="Q170" s="19" t="s">
        <v>141</v>
      </c>
      <c r="R170" s="20" t="s">
        <v>2115</v>
      </c>
      <c r="S170" s="21" t="s">
        <v>2116</v>
      </c>
      <c r="T170" s="22" t="s">
        <v>2117</v>
      </c>
      <c r="U170" s="23">
        <v>2</v>
      </c>
      <c r="V170" s="24" t="s">
        <v>2122</v>
      </c>
      <c r="W170" s="25">
        <v>42640</v>
      </c>
      <c r="X170" s="26">
        <v>42781</v>
      </c>
      <c r="Y170" s="27">
        <v>15</v>
      </c>
      <c r="Z170" s="28" t="s">
        <v>177</v>
      </c>
      <c r="AA170" s="29" t="s">
        <v>141</v>
      </c>
      <c r="AB170" s="30" t="s">
        <v>141</v>
      </c>
      <c r="AC170" s="31" t="s">
        <v>141</v>
      </c>
      <c r="AD170" s="32" t="s">
        <v>141</v>
      </c>
      <c r="AE170" s="33">
        <v>15</v>
      </c>
      <c r="AF170" s="34" t="s">
        <v>1582</v>
      </c>
      <c r="AG170" s="35" t="s">
        <v>141</v>
      </c>
      <c r="AH170" s="36" t="s">
        <v>141</v>
      </c>
      <c r="AI170" s="37" t="s">
        <v>1517</v>
      </c>
      <c r="AJ170" s="38" t="s">
        <v>1518</v>
      </c>
      <c r="AK170" s="39" t="s">
        <v>1517</v>
      </c>
      <c r="AL170" s="40" t="s">
        <v>141</v>
      </c>
      <c r="AM170" s="41" t="s">
        <v>170</v>
      </c>
      <c r="AN170" s="42" t="s">
        <v>2123</v>
      </c>
      <c r="AO170" s="43">
        <v>15</v>
      </c>
      <c r="AP170" s="44" t="s">
        <v>145</v>
      </c>
      <c r="AQ170" s="45" t="s">
        <v>141</v>
      </c>
      <c r="AR170" s="46" t="s">
        <v>141</v>
      </c>
      <c r="AS170" s="47" t="s">
        <v>141</v>
      </c>
      <c r="AT170" s="48" t="s">
        <v>141</v>
      </c>
      <c r="AU170" s="49" t="s">
        <v>141</v>
      </c>
      <c r="AV170" s="50" t="s">
        <v>141</v>
      </c>
      <c r="AW170" s="51" t="s">
        <v>141</v>
      </c>
      <c r="AX170" s="52" t="s">
        <v>141</v>
      </c>
      <c r="AY170" s="53" t="s">
        <v>141</v>
      </c>
      <c r="AZ170" s="54" t="s">
        <v>141</v>
      </c>
      <c r="BA170" s="55" t="s">
        <v>146</v>
      </c>
      <c r="BB170" s="56" t="s">
        <v>133</v>
      </c>
      <c r="BC170" s="57" t="s">
        <v>132</v>
      </c>
      <c r="BD170" s="58">
        <v>55</v>
      </c>
      <c r="BE170" s="59">
        <v>4</v>
      </c>
      <c r="BF170" s="60" t="s">
        <v>2124</v>
      </c>
      <c r="BG170" s="61">
        <v>4</v>
      </c>
      <c r="BH170" s="62" t="s">
        <v>141</v>
      </c>
      <c r="BI170" s="63" t="s">
        <v>141</v>
      </c>
      <c r="BJ170" s="64" t="s">
        <v>141</v>
      </c>
      <c r="BK170" s="65" t="s">
        <v>2125</v>
      </c>
      <c r="BL170" s="66" t="s">
        <v>2126</v>
      </c>
      <c r="BM170" s="67" t="s">
        <v>2127</v>
      </c>
      <c r="BN170" s="68" t="s">
        <v>2128</v>
      </c>
      <c r="BO170" s="69" t="s">
        <v>141</v>
      </c>
      <c r="BP170" s="70" t="s">
        <v>141</v>
      </c>
      <c r="BQ170" s="71" t="s">
        <v>141</v>
      </c>
      <c r="BR170" s="72" t="s">
        <v>372</v>
      </c>
      <c r="BS170" s="73" t="s">
        <v>372</v>
      </c>
      <c r="BT170" s="74" t="s">
        <v>141</v>
      </c>
      <c r="BU170" s="75" t="s">
        <v>141</v>
      </c>
      <c r="BV170" s="76" t="s">
        <v>141</v>
      </c>
      <c r="BW170" s="77" t="s">
        <v>141</v>
      </c>
      <c r="BX170" s="78" t="s">
        <v>141</v>
      </c>
      <c r="BY170" s="79" t="s">
        <v>141</v>
      </c>
      <c r="BZ170" s="80" t="s">
        <v>141</v>
      </c>
      <c r="CA170" s="81" t="s">
        <v>141</v>
      </c>
      <c r="CB170" s="82" t="s">
        <v>141</v>
      </c>
      <c r="CC170" s="83" t="s">
        <v>141</v>
      </c>
      <c r="CD170" s="84" t="s">
        <v>141</v>
      </c>
      <c r="CE170" s="85" t="s">
        <v>141</v>
      </c>
      <c r="CF170" s="86" t="s">
        <v>141</v>
      </c>
      <c r="CG170" s="87" t="s">
        <v>141</v>
      </c>
      <c r="CH170" s="88" t="s">
        <v>141</v>
      </c>
      <c r="CI170" s="89" t="s">
        <v>141</v>
      </c>
      <c r="CJ170" s="90" t="s">
        <v>141</v>
      </c>
      <c r="CK170" s="91" t="s">
        <v>141</v>
      </c>
      <c r="CL170" s="92" t="s">
        <v>141</v>
      </c>
      <c r="CM170" s="93" t="s">
        <v>141</v>
      </c>
      <c r="CN170" s="94" t="s">
        <v>141</v>
      </c>
      <c r="CO170" s="95" t="s">
        <v>141</v>
      </c>
      <c r="CP170" s="96" t="s">
        <v>141</v>
      </c>
      <c r="CQ170" s="97" t="s">
        <v>141</v>
      </c>
      <c r="CR170" s="98" t="s">
        <v>141</v>
      </c>
      <c r="CS170" s="99" t="s">
        <v>141</v>
      </c>
      <c r="CT170" s="100" t="s">
        <v>141</v>
      </c>
      <c r="CU170" s="101" t="s">
        <v>141</v>
      </c>
      <c r="CV170" s="102" t="s">
        <v>141</v>
      </c>
      <c r="CW170" s="103" t="s">
        <v>141</v>
      </c>
      <c r="CX170" s="104">
        <v>56</v>
      </c>
      <c r="CY170" s="105" t="s">
        <v>150</v>
      </c>
      <c r="CZ170" s="106" t="s">
        <v>200</v>
      </c>
      <c r="DA170" s="107" t="s">
        <v>152</v>
      </c>
      <c r="DB170" s="108" t="s">
        <v>153</v>
      </c>
      <c r="DC170" s="109" t="s">
        <v>201</v>
      </c>
      <c r="DD170" s="110" t="s">
        <v>201</v>
      </c>
      <c r="DE170" s="111" t="s">
        <v>1085</v>
      </c>
      <c r="DF170" s="112" t="s">
        <v>157</v>
      </c>
      <c r="DG170" s="113">
        <v>2016</v>
      </c>
      <c r="DH170" s="114" t="s">
        <v>2121</v>
      </c>
      <c r="DI170" s="227" t="str">
        <f>HYPERLINK("https://my.pitchbook.com?c=82432-72T", "View company online")</f>
        <v>View company online</v>
      </c>
    </row>
    <row r="171" spans="1:113" x14ac:dyDescent="0.2">
      <c r="A171" s="115" t="s">
        <v>2129</v>
      </c>
      <c r="B171" s="116" t="s">
        <v>2107</v>
      </c>
      <c r="C171" s="117" t="s">
        <v>2108</v>
      </c>
      <c r="D171" s="118" t="s">
        <v>2109</v>
      </c>
      <c r="E171" s="119" t="s">
        <v>2110</v>
      </c>
      <c r="F171" s="120" t="s">
        <v>126</v>
      </c>
      <c r="G171" s="121" t="s">
        <v>208</v>
      </c>
      <c r="H171" s="122" t="s">
        <v>209</v>
      </c>
      <c r="I171" s="123" t="s">
        <v>2111</v>
      </c>
      <c r="J171" s="124" t="s">
        <v>708</v>
      </c>
      <c r="K171" s="125" t="s">
        <v>2112</v>
      </c>
      <c r="L171" s="126" t="s">
        <v>132</v>
      </c>
      <c r="M171" s="127" t="s">
        <v>133</v>
      </c>
      <c r="N171" s="128" t="s">
        <v>134</v>
      </c>
      <c r="O171" s="129" t="s">
        <v>2113</v>
      </c>
      <c r="P171" s="130" t="s">
        <v>2114</v>
      </c>
      <c r="Q171" s="131" t="s">
        <v>141</v>
      </c>
      <c r="R171" s="132" t="s">
        <v>2115</v>
      </c>
      <c r="S171" s="133" t="s">
        <v>2116</v>
      </c>
      <c r="T171" s="134" t="s">
        <v>2117</v>
      </c>
      <c r="U171" s="135">
        <v>3</v>
      </c>
      <c r="V171" s="136" t="s">
        <v>2129</v>
      </c>
      <c r="W171" s="137" t="s">
        <v>141</v>
      </c>
      <c r="X171" s="138">
        <v>42970</v>
      </c>
      <c r="Y171" s="139">
        <v>20</v>
      </c>
      <c r="Z171" s="140" t="s">
        <v>177</v>
      </c>
      <c r="AA171" s="141" t="s">
        <v>141</v>
      </c>
      <c r="AB171" s="142" t="s">
        <v>141</v>
      </c>
      <c r="AC171" s="143" t="s">
        <v>141</v>
      </c>
      <c r="AD171" s="144" t="s">
        <v>141</v>
      </c>
      <c r="AE171" s="145">
        <v>35</v>
      </c>
      <c r="AF171" s="146" t="s">
        <v>1516</v>
      </c>
      <c r="AG171" s="147" t="s">
        <v>141</v>
      </c>
      <c r="AH171" s="148" t="s">
        <v>141</v>
      </c>
      <c r="AI171" s="149" t="s">
        <v>1551</v>
      </c>
      <c r="AJ171" s="150" t="s">
        <v>1518</v>
      </c>
      <c r="AK171" s="151" t="s">
        <v>1551</v>
      </c>
      <c r="AL171" s="152" t="s">
        <v>141</v>
      </c>
      <c r="AM171" s="153" t="s">
        <v>170</v>
      </c>
      <c r="AN171" s="154" t="s">
        <v>2130</v>
      </c>
      <c r="AO171" s="155">
        <v>20</v>
      </c>
      <c r="AP171" s="156" t="s">
        <v>145</v>
      </c>
      <c r="AQ171" s="157" t="s">
        <v>141</v>
      </c>
      <c r="AR171" s="158" t="s">
        <v>141</v>
      </c>
      <c r="AS171" s="159" t="s">
        <v>141</v>
      </c>
      <c r="AT171" s="160" t="s">
        <v>141</v>
      </c>
      <c r="AU171" s="161" t="s">
        <v>141</v>
      </c>
      <c r="AV171" s="162" t="s">
        <v>141</v>
      </c>
      <c r="AW171" s="163" t="s">
        <v>141</v>
      </c>
      <c r="AX171" s="164" t="s">
        <v>141</v>
      </c>
      <c r="AY171" s="165" t="s">
        <v>141</v>
      </c>
      <c r="AZ171" s="166" t="s">
        <v>141</v>
      </c>
      <c r="BA171" s="167" t="s">
        <v>146</v>
      </c>
      <c r="BB171" s="168" t="s">
        <v>133</v>
      </c>
      <c r="BC171" s="169" t="s">
        <v>132</v>
      </c>
      <c r="BD171" s="170">
        <v>75</v>
      </c>
      <c r="BE171" s="171">
        <v>6</v>
      </c>
      <c r="BF171" s="172" t="s">
        <v>2131</v>
      </c>
      <c r="BG171" s="173">
        <v>2</v>
      </c>
      <c r="BH171" s="174" t="s">
        <v>2124</v>
      </c>
      <c r="BI171" s="175">
        <v>4</v>
      </c>
      <c r="BJ171" s="176" t="s">
        <v>141</v>
      </c>
      <c r="BK171" s="177" t="s">
        <v>2132</v>
      </c>
      <c r="BL171" s="178" t="s">
        <v>2133</v>
      </c>
      <c r="BM171" s="179" t="s">
        <v>2134</v>
      </c>
      <c r="BN171" s="180" t="s">
        <v>2135</v>
      </c>
      <c r="BO171" s="181" t="s">
        <v>141</v>
      </c>
      <c r="BP171" s="182" t="s">
        <v>141</v>
      </c>
      <c r="BQ171" s="183" t="s">
        <v>141</v>
      </c>
      <c r="BR171" s="184" t="s">
        <v>372</v>
      </c>
      <c r="BS171" s="185" t="s">
        <v>372</v>
      </c>
      <c r="BT171" s="186" t="s">
        <v>141</v>
      </c>
      <c r="BU171" s="187" t="s">
        <v>141</v>
      </c>
      <c r="BV171" s="188" t="s">
        <v>141</v>
      </c>
      <c r="BW171" s="189" t="s">
        <v>141</v>
      </c>
      <c r="BX171" s="190" t="s">
        <v>141</v>
      </c>
      <c r="BY171" s="191" t="s">
        <v>141</v>
      </c>
      <c r="BZ171" s="192" t="s">
        <v>141</v>
      </c>
      <c r="CA171" s="193" t="s">
        <v>141</v>
      </c>
      <c r="CB171" s="194" t="s">
        <v>141</v>
      </c>
      <c r="CC171" s="195" t="s">
        <v>141</v>
      </c>
      <c r="CD171" s="196" t="s">
        <v>141</v>
      </c>
      <c r="CE171" s="197" t="s">
        <v>141</v>
      </c>
      <c r="CF171" s="198" t="s">
        <v>141</v>
      </c>
      <c r="CG171" s="199" t="s">
        <v>141</v>
      </c>
      <c r="CH171" s="200" t="s">
        <v>141</v>
      </c>
      <c r="CI171" s="201" t="s">
        <v>141</v>
      </c>
      <c r="CJ171" s="202" t="s">
        <v>141</v>
      </c>
      <c r="CK171" s="203" t="s">
        <v>141</v>
      </c>
      <c r="CL171" s="204" t="s">
        <v>141</v>
      </c>
      <c r="CM171" s="205" t="s">
        <v>141</v>
      </c>
      <c r="CN171" s="206" t="s">
        <v>141</v>
      </c>
      <c r="CO171" s="207" t="s">
        <v>141</v>
      </c>
      <c r="CP171" s="208" t="s">
        <v>141</v>
      </c>
      <c r="CQ171" s="209" t="s">
        <v>141</v>
      </c>
      <c r="CR171" s="210" t="s">
        <v>141</v>
      </c>
      <c r="CS171" s="211" t="s">
        <v>141</v>
      </c>
      <c r="CT171" s="212" t="s">
        <v>141</v>
      </c>
      <c r="CU171" s="213" t="s">
        <v>141</v>
      </c>
      <c r="CV171" s="214" t="s">
        <v>141</v>
      </c>
      <c r="CW171" s="215" t="s">
        <v>141</v>
      </c>
      <c r="CX171" s="216">
        <v>56</v>
      </c>
      <c r="CY171" s="217" t="s">
        <v>150</v>
      </c>
      <c r="CZ171" s="218" t="s">
        <v>200</v>
      </c>
      <c r="DA171" s="219" t="s">
        <v>152</v>
      </c>
      <c r="DB171" s="220" t="s">
        <v>153</v>
      </c>
      <c r="DC171" s="221" t="s">
        <v>201</v>
      </c>
      <c r="DD171" s="222" t="s">
        <v>201</v>
      </c>
      <c r="DE171" s="223" t="s">
        <v>1085</v>
      </c>
      <c r="DF171" s="224" t="s">
        <v>157</v>
      </c>
      <c r="DG171" s="225">
        <v>2016</v>
      </c>
      <c r="DH171" s="226" t="s">
        <v>2121</v>
      </c>
      <c r="DI171" s="228" t="str">
        <f>HYPERLINK("https://my.pitchbook.com?c=94616-20T", "View company online")</f>
        <v>View company online</v>
      </c>
    </row>
    <row r="172" spans="1:113" x14ac:dyDescent="0.2">
      <c r="A172" s="3" t="s">
        <v>2136</v>
      </c>
      <c r="B172" s="4" t="s">
        <v>703</v>
      </c>
      <c r="C172" s="5" t="s">
        <v>704</v>
      </c>
      <c r="D172" s="6" t="s">
        <v>705</v>
      </c>
      <c r="E172" s="7" t="s">
        <v>706</v>
      </c>
      <c r="F172" s="8" t="s">
        <v>164</v>
      </c>
      <c r="G172" s="9" t="s">
        <v>165</v>
      </c>
      <c r="H172" s="10" t="s">
        <v>190</v>
      </c>
      <c r="I172" s="11" t="s">
        <v>707</v>
      </c>
      <c r="J172" s="12" t="s">
        <v>708</v>
      </c>
      <c r="K172" s="13" t="s">
        <v>709</v>
      </c>
      <c r="L172" s="14" t="s">
        <v>132</v>
      </c>
      <c r="M172" s="15" t="s">
        <v>133</v>
      </c>
      <c r="N172" s="16" t="s">
        <v>170</v>
      </c>
      <c r="O172" s="17" t="s">
        <v>710</v>
      </c>
      <c r="P172" s="18" t="s">
        <v>711</v>
      </c>
      <c r="Q172" s="19" t="s">
        <v>712</v>
      </c>
      <c r="R172" s="20" t="s">
        <v>713</v>
      </c>
      <c r="S172" s="21" t="s">
        <v>714</v>
      </c>
      <c r="T172" s="22" t="s">
        <v>715</v>
      </c>
      <c r="U172" s="23">
        <v>2</v>
      </c>
      <c r="V172" s="24" t="s">
        <v>2136</v>
      </c>
      <c r="W172" s="25" t="s">
        <v>141</v>
      </c>
      <c r="X172" s="26">
        <v>42271</v>
      </c>
      <c r="Y172" s="27">
        <v>0.62</v>
      </c>
      <c r="Z172" s="28" t="s">
        <v>177</v>
      </c>
      <c r="AA172" s="29" t="s">
        <v>141</v>
      </c>
      <c r="AB172" s="30" t="s">
        <v>141</v>
      </c>
      <c r="AC172" s="31" t="s">
        <v>141</v>
      </c>
      <c r="AD172" s="32" t="s">
        <v>141</v>
      </c>
      <c r="AE172" s="33">
        <v>0.74</v>
      </c>
      <c r="AF172" s="34" t="s">
        <v>1571</v>
      </c>
      <c r="AG172" s="35" t="s">
        <v>141</v>
      </c>
      <c r="AH172" s="36" t="s">
        <v>141</v>
      </c>
      <c r="AI172" s="37" t="s">
        <v>141</v>
      </c>
      <c r="AJ172" s="38" t="s">
        <v>1518</v>
      </c>
      <c r="AK172" s="39" t="s">
        <v>141</v>
      </c>
      <c r="AL172" s="40" t="s">
        <v>141</v>
      </c>
      <c r="AM172" s="41" t="s">
        <v>170</v>
      </c>
      <c r="AN172" s="42" t="s">
        <v>2137</v>
      </c>
      <c r="AO172" s="43">
        <v>0.62</v>
      </c>
      <c r="AP172" s="44" t="s">
        <v>145</v>
      </c>
      <c r="AQ172" s="45" t="s">
        <v>141</v>
      </c>
      <c r="AR172" s="46" t="s">
        <v>141</v>
      </c>
      <c r="AS172" s="47" t="s">
        <v>281</v>
      </c>
      <c r="AT172" s="48" t="s">
        <v>141</v>
      </c>
      <c r="AU172" s="49" t="s">
        <v>141</v>
      </c>
      <c r="AV172" s="50" t="s">
        <v>141</v>
      </c>
      <c r="AW172" s="51" t="s">
        <v>141</v>
      </c>
      <c r="AX172" s="52" t="s">
        <v>141</v>
      </c>
      <c r="AY172" s="53" t="s">
        <v>141</v>
      </c>
      <c r="AZ172" s="54" t="s">
        <v>141</v>
      </c>
      <c r="BA172" s="55" t="s">
        <v>146</v>
      </c>
      <c r="BB172" s="56" t="s">
        <v>133</v>
      </c>
      <c r="BC172" s="57" t="s">
        <v>132</v>
      </c>
      <c r="BD172" s="58">
        <v>6</v>
      </c>
      <c r="BE172" s="59">
        <v>1</v>
      </c>
      <c r="BF172" s="60" t="s">
        <v>2138</v>
      </c>
      <c r="BG172" s="61">
        <v>1</v>
      </c>
      <c r="BH172" s="62" t="s">
        <v>141</v>
      </c>
      <c r="BI172" s="63" t="s">
        <v>141</v>
      </c>
      <c r="BJ172" s="64" t="s">
        <v>141</v>
      </c>
      <c r="BK172" s="65" t="s">
        <v>2139</v>
      </c>
      <c r="BL172" s="66" t="s">
        <v>2138</v>
      </c>
      <c r="BM172" s="67" t="s">
        <v>2138</v>
      </c>
      <c r="BN172" s="68" t="s">
        <v>141</v>
      </c>
      <c r="BO172" s="69" t="s">
        <v>141</v>
      </c>
      <c r="BP172" s="70" t="s">
        <v>141</v>
      </c>
      <c r="BQ172" s="71" t="s">
        <v>141</v>
      </c>
      <c r="BR172" s="72" t="s">
        <v>141</v>
      </c>
      <c r="BS172" s="73" t="s">
        <v>141</v>
      </c>
      <c r="BT172" s="74" t="s">
        <v>141</v>
      </c>
      <c r="BU172" s="75" t="s">
        <v>141</v>
      </c>
      <c r="BV172" s="76" t="s">
        <v>141</v>
      </c>
      <c r="BW172" s="77" t="s">
        <v>141</v>
      </c>
      <c r="BX172" s="78" t="s">
        <v>141</v>
      </c>
      <c r="BY172" s="79" t="s">
        <v>141</v>
      </c>
      <c r="BZ172" s="80" t="s">
        <v>141</v>
      </c>
      <c r="CA172" s="81" t="s">
        <v>141</v>
      </c>
      <c r="CB172" s="82" t="s">
        <v>141</v>
      </c>
      <c r="CC172" s="83" t="s">
        <v>141</v>
      </c>
      <c r="CD172" s="84" t="s">
        <v>141</v>
      </c>
      <c r="CE172" s="85" t="s">
        <v>141</v>
      </c>
      <c r="CF172" s="86" t="s">
        <v>141</v>
      </c>
      <c r="CG172" s="87" t="s">
        <v>141</v>
      </c>
      <c r="CH172" s="88" t="s">
        <v>141</v>
      </c>
      <c r="CI172" s="89" t="s">
        <v>141</v>
      </c>
      <c r="CJ172" s="90" t="s">
        <v>141</v>
      </c>
      <c r="CK172" s="91" t="s">
        <v>141</v>
      </c>
      <c r="CL172" s="92" t="s">
        <v>141</v>
      </c>
      <c r="CM172" s="93" t="s">
        <v>141</v>
      </c>
      <c r="CN172" s="94" t="s">
        <v>141</v>
      </c>
      <c r="CO172" s="95" t="s">
        <v>141</v>
      </c>
      <c r="CP172" s="96" t="s">
        <v>141</v>
      </c>
      <c r="CQ172" s="97" t="s">
        <v>141</v>
      </c>
      <c r="CR172" s="98" t="s">
        <v>141</v>
      </c>
      <c r="CS172" s="99" t="s">
        <v>141</v>
      </c>
      <c r="CT172" s="100" t="s">
        <v>141</v>
      </c>
      <c r="CU172" s="101" t="s">
        <v>141</v>
      </c>
      <c r="CV172" s="102" t="s">
        <v>141</v>
      </c>
      <c r="CW172" s="103" t="s">
        <v>141</v>
      </c>
      <c r="CX172" s="104">
        <v>6</v>
      </c>
      <c r="CY172" s="105" t="s">
        <v>150</v>
      </c>
      <c r="CZ172" s="106" t="s">
        <v>180</v>
      </c>
      <c r="DA172" s="107" t="s">
        <v>152</v>
      </c>
      <c r="DB172" s="108" t="s">
        <v>153</v>
      </c>
      <c r="DC172" s="109" t="s">
        <v>181</v>
      </c>
      <c r="DD172" s="110" t="s">
        <v>182</v>
      </c>
      <c r="DE172" s="111" t="s">
        <v>373</v>
      </c>
      <c r="DF172" s="112" t="s">
        <v>157</v>
      </c>
      <c r="DG172" s="113">
        <v>2015</v>
      </c>
      <c r="DH172" s="114" t="s">
        <v>717</v>
      </c>
      <c r="DI172" s="227" t="str">
        <f>HYPERLINK("https://my.pitchbook.com?c=133531-12T", "View company online")</f>
        <v>View company online</v>
      </c>
    </row>
    <row r="173" spans="1:113" x14ac:dyDescent="0.2">
      <c r="A173" s="115" t="s">
        <v>2140</v>
      </c>
      <c r="B173" s="116" t="s">
        <v>2141</v>
      </c>
      <c r="C173" s="117" t="s">
        <v>2142</v>
      </c>
      <c r="D173" s="118" t="s">
        <v>2143</v>
      </c>
      <c r="E173" s="119" t="s">
        <v>2144</v>
      </c>
      <c r="F173" s="120" t="s">
        <v>126</v>
      </c>
      <c r="G173" s="121" t="s">
        <v>127</v>
      </c>
      <c r="H173" s="122" t="s">
        <v>128</v>
      </c>
      <c r="I173" s="123" t="s">
        <v>129</v>
      </c>
      <c r="J173" s="124" t="s">
        <v>2145</v>
      </c>
      <c r="K173" s="125" t="s">
        <v>2146</v>
      </c>
      <c r="L173" s="126" t="s">
        <v>2147</v>
      </c>
      <c r="M173" s="127" t="s">
        <v>133</v>
      </c>
      <c r="N173" s="128" t="s">
        <v>134</v>
      </c>
      <c r="O173" s="129" t="s">
        <v>2148</v>
      </c>
      <c r="P173" s="130" t="s">
        <v>2149</v>
      </c>
      <c r="Q173" s="131" t="s">
        <v>2150</v>
      </c>
      <c r="R173" s="132" t="s">
        <v>2151</v>
      </c>
      <c r="S173" s="133" t="s">
        <v>2152</v>
      </c>
      <c r="T173" s="134" t="s">
        <v>141</v>
      </c>
      <c r="U173" s="135">
        <v>1</v>
      </c>
      <c r="V173" s="136" t="s">
        <v>2140</v>
      </c>
      <c r="W173" s="137" t="s">
        <v>141</v>
      </c>
      <c r="X173" s="138">
        <v>42782</v>
      </c>
      <c r="Y173" s="139">
        <v>20</v>
      </c>
      <c r="Z173" s="140" t="s">
        <v>177</v>
      </c>
      <c r="AA173" s="141" t="s">
        <v>141</v>
      </c>
      <c r="AB173" s="142" t="s">
        <v>141</v>
      </c>
      <c r="AC173" s="143" t="s">
        <v>141</v>
      </c>
      <c r="AD173" s="144" t="s">
        <v>141</v>
      </c>
      <c r="AE173" s="145" t="s">
        <v>141</v>
      </c>
      <c r="AF173" s="146" t="s">
        <v>1571</v>
      </c>
      <c r="AG173" s="147" t="s">
        <v>141</v>
      </c>
      <c r="AH173" s="148" t="s">
        <v>141</v>
      </c>
      <c r="AI173" s="149" t="s">
        <v>141</v>
      </c>
      <c r="AJ173" s="150" t="s">
        <v>1518</v>
      </c>
      <c r="AK173" s="151" t="s">
        <v>141</v>
      </c>
      <c r="AL173" s="152" t="s">
        <v>141</v>
      </c>
      <c r="AM173" s="153" t="s">
        <v>170</v>
      </c>
      <c r="AN173" s="154" t="s">
        <v>2153</v>
      </c>
      <c r="AO173" s="155">
        <v>20</v>
      </c>
      <c r="AP173" s="156" t="s">
        <v>145</v>
      </c>
      <c r="AQ173" s="157" t="s">
        <v>141</v>
      </c>
      <c r="AR173" s="158" t="s">
        <v>141</v>
      </c>
      <c r="AS173" s="159" t="s">
        <v>141</v>
      </c>
      <c r="AT173" s="160" t="s">
        <v>141</v>
      </c>
      <c r="AU173" s="161" t="s">
        <v>141</v>
      </c>
      <c r="AV173" s="162" t="s">
        <v>141</v>
      </c>
      <c r="AW173" s="163" t="s">
        <v>141</v>
      </c>
      <c r="AX173" s="164" t="s">
        <v>141</v>
      </c>
      <c r="AY173" s="165" t="s">
        <v>141</v>
      </c>
      <c r="AZ173" s="166" t="s">
        <v>141</v>
      </c>
      <c r="BA173" s="167" t="s">
        <v>1283</v>
      </c>
      <c r="BB173" s="168" t="s">
        <v>133</v>
      </c>
      <c r="BC173" s="169" t="s">
        <v>1786</v>
      </c>
      <c r="BD173" s="170">
        <v>150</v>
      </c>
      <c r="BE173" s="171" t="s">
        <v>141</v>
      </c>
      <c r="BF173" s="172" t="s">
        <v>141</v>
      </c>
      <c r="BG173" s="173" t="s">
        <v>141</v>
      </c>
      <c r="BH173" s="174" t="s">
        <v>141</v>
      </c>
      <c r="BI173" s="175" t="s">
        <v>141</v>
      </c>
      <c r="BJ173" s="176" t="s">
        <v>141</v>
      </c>
      <c r="BK173" s="177" t="s">
        <v>141</v>
      </c>
      <c r="BL173" s="178" t="s">
        <v>141</v>
      </c>
      <c r="BM173" s="179" t="s">
        <v>141</v>
      </c>
      <c r="BN173" s="180" t="s">
        <v>141</v>
      </c>
      <c r="BO173" s="181" t="s">
        <v>141</v>
      </c>
      <c r="BP173" s="182" t="s">
        <v>141</v>
      </c>
      <c r="BQ173" s="183" t="s">
        <v>141</v>
      </c>
      <c r="BR173" s="184" t="s">
        <v>141</v>
      </c>
      <c r="BS173" s="185" t="s">
        <v>141</v>
      </c>
      <c r="BT173" s="186" t="s">
        <v>141</v>
      </c>
      <c r="BU173" s="187" t="s">
        <v>141</v>
      </c>
      <c r="BV173" s="188" t="s">
        <v>141</v>
      </c>
      <c r="BW173" s="189" t="s">
        <v>141</v>
      </c>
      <c r="BX173" s="190" t="s">
        <v>141</v>
      </c>
      <c r="BY173" s="191" t="s">
        <v>141</v>
      </c>
      <c r="BZ173" s="192" t="s">
        <v>141</v>
      </c>
      <c r="CA173" s="193" t="s">
        <v>141</v>
      </c>
      <c r="CB173" s="194" t="s">
        <v>141</v>
      </c>
      <c r="CC173" s="195" t="s">
        <v>141</v>
      </c>
      <c r="CD173" s="196" t="s">
        <v>141</v>
      </c>
      <c r="CE173" s="197" t="s">
        <v>141</v>
      </c>
      <c r="CF173" s="198" t="s">
        <v>141</v>
      </c>
      <c r="CG173" s="199" t="s">
        <v>141</v>
      </c>
      <c r="CH173" s="200" t="s">
        <v>141</v>
      </c>
      <c r="CI173" s="201" t="s">
        <v>141</v>
      </c>
      <c r="CJ173" s="202" t="s">
        <v>141</v>
      </c>
      <c r="CK173" s="203" t="s">
        <v>141</v>
      </c>
      <c r="CL173" s="204" t="s">
        <v>141</v>
      </c>
      <c r="CM173" s="205" t="s">
        <v>141</v>
      </c>
      <c r="CN173" s="206" t="s">
        <v>141</v>
      </c>
      <c r="CO173" s="207" t="s">
        <v>141</v>
      </c>
      <c r="CP173" s="208" t="s">
        <v>141</v>
      </c>
      <c r="CQ173" s="209" t="s">
        <v>141</v>
      </c>
      <c r="CR173" s="210" t="s">
        <v>141</v>
      </c>
      <c r="CS173" s="211" t="s">
        <v>141</v>
      </c>
      <c r="CT173" s="212" t="s">
        <v>141</v>
      </c>
      <c r="CU173" s="213" t="s">
        <v>141</v>
      </c>
      <c r="CV173" s="214" t="s">
        <v>141</v>
      </c>
      <c r="CW173" s="215" t="s">
        <v>141</v>
      </c>
      <c r="CX173" s="216">
        <v>150</v>
      </c>
      <c r="CY173" s="217" t="s">
        <v>150</v>
      </c>
      <c r="CZ173" s="218" t="s">
        <v>2154</v>
      </c>
      <c r="DA173" s="219" t="s">
        <v>152</v>
      </c>
      <c r="DB173" s="220" t="s">
        <v>153</v>
      </c>
      <c r="DC173" s="221" t="s">
        <v>2155</v>
      </c>
      <c r="DD173" s="222" t="s">
        <v>699</v>
      </c>
      <c r="DE173" s="223" t="s">
        <v>2156</v>
      </c>
      <c r="DF173" s="224" t="s">
        <v>157</v>
      </c>
      <c r="DG173" s="225">
        <v>2009</v>
      </c>
      <c r="DH173" s="226" t="s">
        <v>2157</v>
      </c>
      <c r="DI173" s="228" t="str">
        <f>HYPERLINK("https://my.pitchbook.com?c=82469-35T", "View company online")</f>
        <v>View company online</v>
      </c>
    </row>
    <row r="174" spans="1:113" x14ac:dyDescent="0.2">
      <c r="A174" s="3" t="s">
        <v>2158</v>
      </c>
      <c r="B174" s="4" t="s">
        <v>1331</v>
      </c>
      <c r="C174" s="5" t="s">
        <v>1332</v>
      </c>
      <c r="D174" s="6" t="s">
        <v>1333</v>
      </c>
      <c r="E174" s="7" t="s">
        <v>1334</v>
      </c>
      <c r="F174" s="8" t="s">
        <v>126</v>
      </c>
      <c r="G174" s="9" t="s">
        <v>456</v>
      </c>
      <c r="H174" s="10" t="s">
        <v>457</v>
      </c>
      <c r="I174" s="11" t="s">
        <v>1335</v>
      </c>
      <c r="J174" s="12" t="s">
        <v>168</v>
      </c>
      <c r="K174" s="13" t="s">
        <v>1336</v>
      </c>
      <c r="L174" s="14" t="s">
        <v>132</v>
      </c>
      <c r="M174" s="15" t="s">
        <v>133</v>
      </c>
      <c r="N174" s="16" t="s">
        <v>170</v>
      </c>
      <c r="O174" s="17" t="s">
        <v>1337</v>
      </c>
      <c r="P174" s="18" t="s">
        <v>1338</v>
      </c>
      <c r="Q174" s="19" t="s">
        <v>141</v>
      </c>
      <c r="R174" s="20" t="s">
        <v>1339</v>
      </c>
      <c r="S174" s="21" t="s">
        <v>1340</v>
      </c>
      <c r="T174" s="22" t="s">
        <v>141</v>
      </c>
      <c r="U174" s="23">
        <v>3</v>
      </c>
      <c r="V174" s="24" t="s">
        <v>2158</v>
      </c>
      <c r="W174" s="25" t="s">
        <v>141</v>
      </c>
      <c r="X174" s="26">
        <v>43101</v>
      </c>
      <c r="Y174" s="27" t="s">
        <v>141</v>
      </c>
      <c r="Z174" s="28" t="s">
        <v>141</v>
      </c>
      <c r="AA174" s="29" t="s">
        <v>141</v>
      </c>
      <c r="AB174" s="30" t="s">
        <v>141</v>
      </c>
      <c r="AC174" s="31" t="s">
        <v>141</v>
      </c>
      <c r="AD174" s="32" t="s">
        <v>141</v>
      </c>
      <c r="AE174" s="33" t="s">
        <v>141</v>
      </c>
      <c r="AF174" s="34" t="s">
        <v>1571</v>
      </c>
      <c r="AG174" s="35" t="s">
        <v>141</v>
      </c>
      <c r="AH174" s="36" t="s">
        <v>141</v>
      </c>
      <c r="AI174" s="37" t="s">
        <v>141</v>
      </c>
      <c r="AJ174" s="38" t="s">
        <v>1518</v>
      </c>
      <c r="AK174" s="39" t="s">
        <v>141</v>
      </c>
      <c r="AL174" s="40" t="s">
        <v>141</v>
      </c>
      <c r="AM174" s="41" t="s">
        <v>170</v>
      </c>
      <c r="AN174" s="42" t="s">
        <v>1334</v>
      </c>
      <c r="AO174" s="43" t="s">
        <v>141</v>
      </c>
      <c r="AP174" s="44" t="s">
        <v>145</v>
      </c>
      <c r="AQ174" s="45" t="s">
        <v>141</v>
      </c>
      <c r="AR174" s="46" t="s">
        <v>141</v>
      </c>
      <c r="AS174" s="47" t="s">
        <v>141</v>
      </c>
      <c r="AT174" s="48" t="s">
        <v>141</v>
      </c>
      <c r="AU174" s="49" t="s">
        <v>141</v>
      </c>
      <c r="AV174" s="50" t="s">
        <v>141</v>
      </c>
      <c r="AW174" s="51" t="s">
        <v>141</v>
      </c>
      <c r="AX174" s="52" t="s">
        <v>141</v>
      </c>
      <c r="AY174" s="53" t="s">
        <v>141</v>
      </c>
      <c r="AZ174" s="54" t="s">
        <v>141</v>
      </c>
      <c r="BA174" s="55" t="s">
        <v>146</v>
      </c>
      <c r="BB174" s="56" t="s">
        <v>133</v>
      </c>
      <c r="BC174" s="57" t="s">
        <v>132</v>
      </c>
      <c r="BD174" s="58" t="s">
        <v>141</v>
      </c>
      <c r="BE174" s="59">
        <v>4</v>
      </c>
      <c r="BF174" s="60" t="s">
        <v>2159</v>
      </c>
      <c r="BG174" s="61">
        <v>4</v>
      </c>
      <c r="BH174" s="62" t="s">
        <v>141</v>
      </c>
      <c r="BI174" s="63" t="s">
        <v>141</v>
      </c>
      <c r="BJ174" s="64" t="s">
        <v>141</v>
      </c>
      <c r="BK174" s="65" t="s">
        <v>2160</v>
      </c>
      <c r="BL174" s="66" t="s">
        <v>2159</v>
      </c>
      <c r="BM174" s="67" t="s">
        <v>141</v>
      </c>
      <c r="BN174" s="68" t="s">
        <v>2161</v>
      </c>
      <c r="BO174" s="69" t="s">
        <v>141</v>
      </c>
      <c r="BP174" s="70" t="s">
        <v>141</v>
      </c>
      <c r="BQ174" s="71" t="s">
        <v>141</v>
      </c>
      <c r="BR174" s="72" t="s">
        <v>141</v>
      </c>
      <c r="BS174" s="73" t="s">
        <v>141</v>
      </c>
      <c r="BT174" s="74" t="s">
        <v>141</v>
      </c>
      <c r="BU174" s="75" t="s">
        <v>141</v>
      </c>
      <c r="BV174" s="76" t="s">
        <v>141</v>
      </c>
      <c r="BW174" s="77" t="s">
        <v>141</v>
      </c>
      <c r="BX174" s="78" t="s">
        <v>141</v>
      </c>
      <c r="BY174" s="79" t="s">
        <v>141</v>
      </c>
      <c r="BZ174" s="80" t="s">
        <v>141</v>
      </c>
      <c r="CA174" s="81" t="s">
        <v>141</v>
      </c>
      <c r="CB174" s="82" t="s">
        <v>141</v>
      </c>
      <c r="CC174" s="83" t="s">
        <v>141</v>
      </c>
      <c r="CD174" s="84" t="s">
        <v>141</v>
      </c>
      <c r="CE174" s="85" t="s">
        <v>141</v>
      </c>
      <c r="CF174" s="86" t="s">
        <v>141</v>
      </c>
      <c r="CG174" s="87" t="s">
        <v>141</v>
      </c>
      <c r="CH174" s="88" t="s">
        <v>141</v>
      </c>
      <c r="CI174" s="89" t="s">
        <v>141</v>
      </c>
      <c r="CJ174" s="90" t="s">
        <v>141</v>
      </c>
      <c r="CK174" s="91" t="s">
        <v>141</v>
      </c>
      <c r="CL174" s="92" t="s">
        <v>141</v>
      </c>
      <c r="CM174" s="93" t="s">
        <v>141</v>
      </c>
      <c r="CN174" s="94" t="s">
        <v>141</v>
      </c>
      <c r="CO174" s="95" t="s">
        <v>141</v>
      </c>
      <c r="CP174" s="96" t="s">
        <v>141</v>
      </c>
      <c r="CQ174" s="97" t="s">
        <v>141</v>
      </c>
      <c r="CR174" s="98" t="s">
        <v>141</v>
      </c>
      <c r="CS174" s="99" t="s">
        <v>141</v>
      </c>
      <c r="CT174" s="100" t="s">
        <v>141</v>
      </c>
      <c r="CU174" s="101" t="s">
        <v>141</v>
      </c>
      <c r="CV174" s="102" t="s">
        <v>141</v>
      </c>
      <c r="CW174" s="103" t="s">
        <v>141</v>
      </c>
      <c r="CX174" s="104">
        <v>36</v>
      </c>
      <c r="CY174" s="105" t="s">
        <v>150</v>
      </c>
      <c r="CZ174" s="106" t="s">
        <v>1342</v>
      </c>
      <c r="DA174" s="107" t="s">
        <v>152</v>
      </c>
      <c r="DB174" s="108" t="s">
        <v>153</v>
      </c>
      <c r="DC174" s="109" t="s">
        <v>1343</v>
      </c>
      <c r="DD174" s="110" t="s">
        <v>182</v>
      </c>
      <c r="DE174" s="111" t="s">
        <v>1344</v>
      </c>
      <c r="DF174" s="112" t="s">
        <v>157</v>
      </c>
      <c r="DG174" s="113">
        <v>2014</v>
      </c>
      <c r="DH174" s="114" t="s">
        <v>1345</v>
      </c>
      <c r="DI174" s="227" t="str">
        <f>HYPERLINK("https://my.pitchbook.com?c=116414-83T", "View company online")</f>
        <v>View company online</v>
      </c>
    </row>
    <row r="175" spans="1:113" x14ac:dyDescent="0.2">
      <c r="A175" s="115" t="s">
        <v>2162</v>
      </c>
      <c r="B175" s="116" t="s">
        <v>2163</v>
      </c>
      <c r="C175" s="117" t="s">
        <v>2164</v>
      </c>
      <c r="D175" s="118" t="s">
        <v>2165</v>
      </c>
      <c r="E175" s="119" t="s">
        <v>2166</v>
      </c>
      <c r="F175" s="120" t="s">
        <v>585</v>
      </c>
      <c r="G175" s="121" t="s">
        <v>586</v>
      </c>
      <c r="H175" s="122" t="s">
        <v>587</v>
      </c>
      <c r="I175" s="123" t="s">
        <v>2167</v>
      </c>
      <c r="J175" s="124" t="s">
        <v>1351</v>
      </c>
      <c r="K175" s="125" t="s">
        <v>2168</v>
      </c>
      <c r="L175" s="126" t="s">
        <v>132</v>
      </c>
      <c r="M175" s="127" t="s">
        <v>133</v>
      </c>
      <c r="N175" s="128" t="s">
        <v>134</v>
      </c>
      <c r="O175" s="129" t="s">
        <v>2169</v>
      </c>
      <c r="P175" s="130" t="s">
        <v>2170</v>
      </c>
      <c r="Q175" s="131" t="s">
        <v>2171</v>
      </c>
      <c r="R175" s="132" t="s">
        <v>2172</v>
      </c>
      <c r="S175" s="133" t="s">
        <v>2173</v>
      </c>
      <c r="T175" s="134" t="s">
        <v>2174</v>
      </c>
      <c r="U175" s="135">
        <v>2</v>
      </c>
      <c r="V175" s="136" t="s">
        <v>2162</v>
      </c>
      <c r="W175" s="137" t="s">
        <v>141</v>
      </c>
      <c r="X175" s="138">
        <v>42234</v>
      </c>
      <c r="Y175" s="139">
        <v>10.46</v>
      </c>
      <c r="Z175" s="140" t="s">
        <v>177</v>
      </c>
      <c r="AA175" s="141">
        <v>18</v>
      </c>
      <c r="AB175" s="142">
        <v>28.46</v>
      </c>
      <c r="AC175" s="143" t="s">
        <v>177</v>
      </c>
      <c r="AD175" s="144">
        <v>36.76</v>
      </c>
      <c r="AE175" s="145">
        <v>13.21</v>
      </c>
      <c r="AF175" s="146" t="s">
        <v>1582</v>
      </c>
      <c r="AG175" s="147" t="s">
        <v>141</v>
      </c>
      <c r="AH175" s="148">
        <v>1.57</v>
      </c>
      <c r="AI175" s="149" t="s">
        <v>1517</v>
      </c>
      <c r="AJ175" s="150" t="s">
        <v>1518</v>
      </c>
      <c r="AK175" s="151" t="s">
        <v>1517</v>
      </c>
      <c r="AL175" s="152" t="s">
        <v>141</v>
      </c>
      <c r="AM175" s="153" t="s">
        <v>170</v>
      </c>
      <c r="AN175" s="154" t="s">
        <v>2175</v>
      </c>
      <c r="AO175" s="155">
        <v>10.46</v>
      </c>
      <c r="AP175" s="156" t="s">
        <v>145</v>
      </c>
      <c r="AQ175" s="157" t="s">
        <v>141</v>
      </c>
      <c r="AR175" s="158" t="s">
        <v>141</v>
      </c>
      <c r="AS175" s="159" t="s">
        <v>141</v>
      </c>
      <c r="AT175" s="160" t="s">
        <v>141</v>
      </c>
      <c r="AU175" s="161" t="s">
        <v>141</v>
      </c>
      <c r="AV175" s="162" t="s">
        <v>141</v>
      </c>
      <c r="AW175" s="163" t="s">
        <v>141</v>
      </c>
      <c r="AX175" s="164" t="s">
        <v>141</v>
      </c>
      <c r="AY175" s="165" t="s">
        <v>141</v>
      </c>
      <c r="AZ175" s="166" t="s">
        <v>141</v>
      </c>
      <c r="BA175" s="167" t="s">
        <v>146</v>
      </c>
      <c r="BB175" s="168" t="s">
        <v>263</v>
      </c>
      <c r="BC175" s="169" t="s">
        <v>132</v>
      </c>
      <c r="BD175" s="170">
        <v>27</v>
      </c>
      <c r="BE175" s="171">
        <v>3</v>
      </c>
      <c r="BF175" s="172" t="s">
        <v>2176</v>
      </c>
      <c r="BG175" s="173">
        <v>1</v>
      </c>
      <c r="BH175" s="174" t="s">
        <v>2177</v>
      </c>
      <c r="BI175" s="175">
        <v>2</v>
      </c>
      <c r="BJ175" s="176" t="s">
        <v>141</v>
      </c>
      <c r="BK175" s="177" t="s">
        <v>2178</v>
      </c>
      <c r="BL175" s="178" t="s">
        <v>2179</v>
      </c>
      <c r="BM175" s="179" t="s">
        <v>2180</v>
      </c>
      <c r="BN175" s="180" t="s">
        <v>2181</v>
      </c>
      <c r="BO175" s="181" t="s">
        <v>141</v>
      </c>
      <c r="BP175" s="182" t="s">
        <v>141</v>
      </c>
      <c r="BQ175" s="183" t="s">
        <v>141</v>
      </c>
      <c r="BR175" s="184" t="s">
        <v>1991</v>
      </c>
      <c r="BS175" s="185" t="s">
        <v>1991</v>
      </c>
      <c r="BT175" s="186" t="s">
        <v>141</v>
      </c>
      <c r="BU175" s="187" t="s">
        <v>141</v>
      </c>
      <c r="BV175" s="188" t="s">
        <v>141</v>
      </c>
      <c r="BW175" s="189" t="s">
        <v>141</v>
      </c>
      <c r="BX175" s="190" t="s">
        <v>141</v>
      </c>
      <c r="BY175" s="191" t="s">
        <v>141</v>
      </c>
      <c r="BZ175" s="192" t="s">
        <v>141</v>
      </c>
      <c r="CA175" s="193" t="s">
        <v>141</v>
      </c>
      <c r="CB175" s="194" t="s">
        <v>141</v>
      </c>
      <c r="CC175" s="195" t="s">
        <v>141</v>
      </c>
      <c r="CD175" s="196" t="s">
        <v>141</v>
      </c>
      <c r="CE175" s="197" t="s">
        <v>141</v>
      </c>
      <c r="CF175" s="198" t="s">
        <v>141</v>
      </c>
      <c r="CG175" s="199" t="s">
        <v>141</v>
      </c>
      <c r="CH175" s="200" t="s">
        <v>141</v>
      </c>
      <c r="CI175" s="201" t="s">
        <v>141</v>
      </c>
      <c r="CJ175" s="202" t="s">
        <v>141</v>
      </c>
      <c r="CK175" s="203" t="s">
        <v>141</v>
      </c>
      <c r="CL175" s="204" t="s">
        <v>141</v>
      </c>
      <c r="CM175" s="205" t="s">
        <v>141</v>
      </c>
      <c r="CN175" s="206" t="s">
        <v>141</v>
      </c>
      <c r="CO175" s="207" t="s">
        <v>141</v>
      </c>
      <c r="CP175" s="208" t="s">
        <v>141</v>
      </c>
      <c r="CQ175" s="209" t="s">
        <v>141</v>
      </c>
      <c r="CR175" s="210" t="s">
        <v>141</v>
      </c>
      <c r="CS175" s="211" t="s">
        <v>141</v>
      </c>
      <c r="CT175" s="212" t="s">
        <v>141</v>
      </c>
      <c r="CU175" s="213" t="s">
        <v>141</v>
      </c>
      <c r="CV175" s="214" t="s">
        <v>141</v>
      </c>
      <c r="CW175" s="215" t="s">
        <v>141</v>
      </c>
      <c r="CX175" s="216">
        <v>22</v>
      </c>
      <c r="CY175" s="217" t="s">
        <v>150</v>
      </c>
      <c r="CZ175" s="218" t="s">
        <v>811</v>
      </c>
      <c r="DA175" s="219" t="s">
        <v>152</v>
      </c>
      <c r="DB175" s="220" t="s">
        <v>153</v>
      </c>
      <c r="DC175" s="221" t="s">
        <v>812</v>
      </c>
      <c r="DD175" s="222" t="s">
        <v>618</v>
      </c>
      <c r="DE175" s="223" t="s">
        <v>2182</v>
      </c>
      <c r="DF175" s="224" t="s">
        <v>157</v>
      </c>
      <c r="DG175" s="225">
        <v>2014</v>
      </c>
      <c r="DH175" s="226" t="s">
        <v>2183</v>
      </c>
      <c r="DI175" s="228" t="str">
        <f>HYPERLINK("https://my.pitchbook.com?c=55624-96T", "View company online")</f>
        <v>View company online</v>
      </c>
    </row>
    <row r="176" spans="1:113" x14ac:dyDescent="0.2">
      <c r="A176" s="3" t="s">
        <v>2184</v>
      </c>
      <c r="B176" s="4" t="s">
        <v>719</v>
      </c>
      <c r="C176" s="5" t="s">
        <v>720</v>
      </c>
      <c r="D176" s="6" t="s">
        <v>721</v>
      </c>
      <c r="E176" s="7" t="s">
        <v>722</v>
      </c>
      <c r="F176" s="8" t="s">
        <v>126</v>
      </c>
      <c r="G176" s="9" t="s">
        <v>127</v>
      </c>
      <c r="H176" s="10" t="s">
        <v>128</v>
      </c>
      <c r="I176" s="11" t="s">
        <v>129</v>
      </c>
      <c r="J176" s="12" t="s">
        <v>130</v>
      </c>
      <c r="K176" s="13" t="s">
        <v>723</v>
      </c>
      <c r="L176" s="14" t="s">
        <v>132</v>
      </c>
      <c r="M176" s="15" t="s">
        <v>133</v>
      </c>
      <c r="N176" s="16" t="s">
        <v>170</v>
      </c>
      <c r="O176" s="17" t="s">
        <v>724</v>
      </c>
      <c r="P176" s="18" t="s">
        <v>725</v>
      </c>
      <c r="Q176" s="19" t="s">
        <v>726</v>
      </c>
      <c r="R176" s="20" t="s">
        <v>727</v>
      </c>
      <c r="S176" s="21" t="s">
        <v>728</v>
      </c>
      <c r="T176" s="22" t="s">
        <v>141</v>
      </c>
      <c r="U176" s="23">
        <v>1</v>
      </c>
      <c r="V176" s="24" t="s">
        <v>2184</v>
      </c>
      <c r="W176" s="25" t="s">
        <v>141</v>
      </c>
      <c r="X176" s="26">
        <v>43101</v>
      </c>
      <c r="Y176" s="27" t="s">
        <v>141</v>
      </c>
      <c r="Z176" s="28" t="s">
        <v>141</v>
      </c>
      <c r="AA176" s="29" t="s">
        <v>141</v>
      </c>
      <c r="AB176" s="30" t="s">
        <v>141</v>
      </c>
      <c r="AC176" s="31" t="s">
        <v>141</v>
      </c>
      <c r="AD176" s="32" t="s">
        <v>141</v>
      </c>
      <c r="AE176" s="33" t="s">
        <v>141</v>
      </c>
      <c r="AF176" s="34" t="s">
        <v>1571</v>
      </c>
      <c r="AG176" s="35" t="s">
        <v>141</v>
      </c>
      <c r="AH176" s="36" t="s">
        <v>141</v>
      </c>
      <c r="AI176" s="37" t="s">
        <v>141</v>
      </c>
      <c r="AJ176" s="38" t="s">
        <v>1518</v>
      </c>
      <c r="AK176" s="39" t="s">
        <v>141</v>
      </c>
      <c r="AL176" s="40" t="s">
        <v>141</v>
      </c>
      <c r="AM176" s="41" t="s">
        <v>170</v>
      </c>
      <c r="AN176" s="42" t="s">
        <v>2185</v>
      </c>
      <c r="AO176" s="43" t="s">
        <v>141</v>
      </c>
      <c r="AP176" s="44" t="s">
        <v>145</v>
      </c>
      <c r="AQ176" s="45" t="s">
        <v>141</v>
      </c>
      <c r="AR176" s="46" t="s">
        <v>141</v>
      </c>
      <c r="AS176" s="47" t="s">
        <v>141</v>
      </c>
      <c r="AT176" s="48" t="s">
        <v>141</v>
      </c>
      <c r="AU176" s="49" t="s">
        <v>141</v>
      </c>
      <c r="AV176" s="50" t="s">
        <v>141</v>
      </c>
      <c r="AW176" s="51" t="s">
        <v>141</v>
      </c>
      <c r="AX176" s="52" t="s">
        <v>141</v>
      </c>
      <c r="AY176" s="53" t="s">
        <v>141</v>
      </c>
      <c r="AZ176" s="54" t="s">
        <v>141</v>
      </c>
      <c r="BA176" s="55" t="s">
        <v>146</v>
      </c>
      <c r="BB176" s="56" t="s">
        <v>263</v>
      </c>
      <c r="BC176" s="57" t="s">
        <v>132</v>
      </c>
      <c r="BD176" s="58" t="s">
        <v>141</v>
      </c>
      <c r="BE176" s="59">
        <v>1</v>
      </c>
      <c r="BF176" s="60" t="s">
        <v>1598</v>
      </c>
      <c r="BG176" s="61">
        <v>1</v>
      </c>
      <c r="BH176" s="62" t="s">
        <v>141</v>
      </c>
      <c r="BI176" s="63" t="s">
        <v>141</v>
      </c>
      <c r="BJ176" s="64" t="s">
        <v>141</v>
      </c>
      <c r="BK176" s="65" t="s">
        <v>1599</v>
      </c>
      <c r="BL176" s="66" t="s">
        <v>1598</v>
      </c>
      <c r="BM176" s="67" t="s">
        <v>1598</v>
      </c>
      <c r="BN176" s="68" t="s">
        <v>2186</v>
      </c>
      <c r="BO176" s="69" t="s">
        <v>141</v>
      </c>
      <c r="BP176" s="70" t="s">
        <v>141</v>
      </c>
      <c r="BQ176" s="71" t="s">
        <v>141</v>
      </c>
      <c r="BR176" s="72" t="s">
        <v>141</v>
      </c>
      <c r="BS176" s="73" t="s">
        <v>141</v>
      </c>
      <c r="BT176" s="74" t="s">
        <v>141</v>
      </c>
      <c r="BU176" s="75" t="s">
        <v>141</v>
      </c>
      <c r="BV176" s="76" t="s">
        <v>141</v>
      </c>
      <c r="BW176" s="77" t="s">
        <v>141</v>
      </c>
      <c r="BX176" s="78" t="s">
        <v>141</v>
      </c>
      <c r="BY176" s="79" t="s">
        <v>141</v>
      </c>
      <c r="BZ176" s="80" t="s">
        <v>141</v>
      </c>
      <c r="CA176" s="81" t="s">
        <v>141</v>
      </c>
      <c r="CB176" s="82" t="s">
        <v>141</v>
      </c>
      <c r="CC176" s="83" t="s">
        <v>141</v>
      </c>
      <c r="CD176" s="84" t="s">
        <v>141</v>
      </c>
      <c r="CE176" s="85" t="s">
        <v>141</v>
      </c>
      <c r="CF176" s="86" t="s">
        <v>141</v>
      </c>
      <c r="CG176" s="87" t="s">
        <v>141</v>
      </c>
      <c r="CH176" s="88" t="s">
        <v>141</v>
      </c>
      <c r="CI176" s="89" t="s">
        <v>141</v>
      </c>
      <c r="CJ176" s="90" t="s">
        <v>141</v>
      </c>
      <c r="CK176" s="91" t="s">
        <v>141</v>
      </c>
      <c r="CL176" s="92" t="s">
        <v>141</v>
      </c>
      <c r="CM176" s="93" t="s">
        <v>141</v>
      </c>
      <c r="CN176" s="94" t="s">
        <v>141</v>
      </c>
      <c r="CO176" s="95" t="s">
        <v>141</v>
      </c>
      <c r="CP176" s="96" t="s">
        <v>141</v>
      </c>
      <c r="CQ176" s="97" t="s">
        <v>141</v>
      </c>
      <c r="CR176" s="98" t="s">
        <v>141</v>
      </c>
      <c r="CS176" s="99" t="s">
        <v>141</v>
      </c>
      <c r="CT176" s="100" t="s">
        <v>141</v>
      </c>
      <c r="CU176" s="101" t="s">
        <v>141</v>
      </c>
      <c r="CV176" s="102" t="s">
        <v>141</v>
      </c>
      <c r="CW176" s="103" t="s">
        <v>141</v>
      </c>
      <c r="CX176" s="104">
        <v>2</v>
      </c>
      <c r="CY176" s="105" t="s">
        <v>150</v>
      </c>
      <c r="CZ176" s="106" t="s">
        <v>200</v>
      </c>
      <c r="DA176" s="107" t="s">
        <v>152</v>
      </c>
      <c r="DB176" s="108" t="s">
        <v>153</v>
      </c>
      <c r="DC176" s="109" t="s">
        <v>201</v>
      </c>
      <c r="DD176" s="110" t="s">
        <v>201</v>
      </c>
      <c r="DE176" s="111" t="s">
        <v>141</v>
      </c>
      <c r="DF176" s="112" t="s">
        <v>157</v>
      </c>
      <c r="DG176" s="113">
        <v>2018</v>
      </c>
      <c r="DH176" s="114" t="s">
        <v>733</v>
      </c>
      <c r="DI176" s="227" t="str">
        <f>HYPERLINK("https://my.pitchbook.com?c=157314-79T", "View company online")</f>
        <v>View company online</v>
      </c>
    </row>
    <row r="177" spans="1:113" x14ac:dyDescent="0.2">
      <c r="A177" s="115" t="s">
        <v>2187</v>
      </c>
      <c r="B177" s="116" t="s">
        <v>2188</v>
      </c>
      <c r="C177" s="117" t="s">
        <v>2189</v>
      </c>
      <c r="D177" s="118" t="s">
        <v>2190</v>
      </c>
      <c r="E177" s="119" t="s">
        <v>2191</v>
      </c>
      <c r="F177" s="120" t="s">
        <v>126</v>
      </c>
      <c r="G177" s="121" t="s">
        <v>127</v>
      </c>
      <c r="H177" s="122" t="s">
        <v>128</v>
      </c>
      <c r="I177" s="123" t="s">
        <v>2192</v>
      </c>
      <c r="J177" s="124" t="s">
        <v>141</v>
      </c>
      <c r="K177" s="125" t="s">
        <v>2193</v>
      </c>
      <c r="L177" s="126" t="s">
        <v>132</v>
      </c>
      <c r="M177" s="127" t="s">
        <v>133</v>
      </c>
      <c r="N177" s="128" t="s">
        <v>134</v>
      </c>
      <c r="O177" s="129" t="s">
        <v>2194</v>
      </c>
      <c r="P177" s="130" t="s">
        <v>2195</v>
      </c>
      <c r="Q177" s="131" t="s">
        <v>2196</v>
      </c>
      <c r="R177" s="132" t="s">
        <v>2197</v>
      </c>
      <c r="S177" s="133" t="s">
        <v>2198</v>
      </c>
      <c r="T177" s="134" t="s">
        <v>2199</v>
      </c>
      <c r="U177" s="135">
        <v>1</v>
      </c>
      <c r="V177" s="136" t="s">
        <v>2187</v>
      </c>
      <c r="W177" s="137" t="s">
        <v>141</v>
      </c>
      <c r="X177" s="138">
        <v>43105</v>
      </c>
      <c r="Y177" s="139">
        <v>0.06</v>
      </c>
      <c r="Z177" s="140" t="s">
        <v>177</v>
      </c>
      <c r="AA177" s="141" t="s">
        <v>141</v>
      </c>
      <c r="AB177" s="142" t="s">
        <v>141</v>
      </c>
      <c r="AC177" s="143" t="s">
        <v>141</v>
      </c>
      <c r="AD177" s="144" t="s">
        <v>141</v>
      </c>
      <c r="AE177" s="145">
        <v>0.06</v>
      </c>
      <c r="AF177" s="146" t="s">
        <v>1571</v>
      </c>
      <c r="AG177" s="147" t="s">
        <v>141</v>
      </c>
      <c r="AH177" s="148" t="s">
        <v>141</v>
      </c>
      <c r="AI177" s="149" t="s">
        <v>141</v>
      </c>
      <c r="AJ177" s="150" t="s">
        <v>1518</v>
      </c>
      <c r="AK177" s="151" t="s">
        <v>141</v>
      </c>
      <c r="AL177" s="152" t="s">
        <v>141</v>
      </c>
      <c r="AM177" s="153" t="s">
        <v>170</v>
      </c>
      <c r="AN177" s="154" t="s">
        <v>2200</v>
      </c>
      <c r="AO177" s="155">
        <v>0.06</v>
      </c>
      <c r="AP177" s="156" t="s">
        <v>145</v>
      </c>
      <c r="AQ177" s="157" t="s">
        <v>141</v>
      </c>
      <c r="AR177" s="158" t="s">
        <v>141</v>
      </c>
      <c r="AS177" s="159" t="s">
        <v>141</v>
      </c>
      <c r="AT177" s="160" t="s">
        <v>141</v>
      </c>
      <c r="AU177" s="161" t="s">
        <v>141</v>
      </c>
      <c r="AV177" s="162" t="s">
        <v>141</v>
      </c>
      <c r="AW177" s="163" t="s">
        <v>141</v>
      </c>
      <c r="AX177" s="164" t="s">
        <v>141</v>
      </c>
      <c r="AY177" s="165" t="s">
        <v>141</v>
      </c>
      <c r="AZ177" s="166" t="s">
        <v>141</v>
      </c>
      <c r="BA177" s="167" t="s">
        <v>146</v>
      </c>
      <c r="BB177" s="168" t="s">
        <v>133</v>
      </c>
      <c r="BC177" s="169" t="s">
        <v>132</v>
      </c>
      <c r="BD177" s="170" t="s">
        <v>141</v>
      </c>
      <c r="BE177" s="171">
        <v>1</v>
      </c>
      <c r="BF177" s="172" t="s">
        <v>2201</v>
      </c>
      <c r="BG177" s="173">
        <v>1</v>
      </c>
      <c r="BH177" s="174" t="s">
        <v>141</v>
      </c>
      <c r="BI177" s="175" t="s">
        <v>141</v>
      </c>
      <c r="BJ177" s="176" t="s">
        <v>141</v>
      </c>
      <c r="BK177" s="177" t="s">
        <v>2202</v>
      </c>
      <c r="BL177" s="178" t="s">
        <v>2203</v>
      </c>
      <c r="BM177" s="179" t="s">
        <v>2203</v>
      </c>
      <c r="BN177" s="180" t="s">
        <v>2204</v>
      </c>
      <c r="BO177" s="181" t="s">
        <v>141</v>
      </c>
      <c r="BP177" s="182" t="s">
        <v>141</v>
      </c>
      <c r="BQ177" s="183" t="s">
        <v>141</v>
      </c>
      <c r="BR177" s="184" t="s">
        <v>141</v>
      </c>
      <c r="BS177" s="185" t="s">
        <v>141</v>
      </c>
      <c r="BT177" s="186" t="s">
        <v>141</v>
      </c>
      <c r="BU177" s="187" t="s">
        <v>141</v>
      </c>
      <c r="BV177" s="188" t="s">
        <v>141</v>
      </c>
      <c r="BW177" s="189" t="s">
        <v>141</v>
      </c>
      <c r="BX177" s="190" t="s">
        <v>141</v>
      </c>
      <c r="BY177" s="191" t="s">
        <v>141</v>
      </c>
      <c r="BZ177" s="192" t="s">
        <v>141</v>
      </c>
      <c r="CA177" s="193" t="s">
        <v>141</v>
      </c>
      <c r="CB177" s="194" t="s">
        <v>141</v>
      </c>
      <c r="CC177" s="195" t="s">
        <v>141</v>
      </c>
      <c r="CD177" s="196" t="s">
        <v>141</v>
      </c>
      <c r="CE177" s="197" t="s">
        <v>141</v>
      </c>
      <c r="CF177" s="198" t="s">
        <v>141</v>
      </c>
      <c r="CG177" s="199" t="s">
        <v>141</v>
      </c>
      <c r="CH177" s="200" t="s">
        <v>141</v>
      </c>
      <c r="CI177" s="201" t="s">
        <v>141</v>
      </c>
      <c r="CJ177" s="202" t="s">
        <v>141</v>
      </c>
      <c r="CK177" s="203" t="s">
        <v>141</v>
      </c>
      <c r="CL177" s="204" t="s">
        <v>141</v>
      </c>
      <c r="CM177" s="205" t="s">
        <v>141</v>
      </c>
      <c r="CN177" s="206" t="s">
        <v>141</v>
      </c>
      <c r="CO177" s="207" t="s">
        <v>141</v>
      </c>
      <c r="CP177" s="208" t="s">
        <v>141</v>
      </c>
      <c r="CQ177" s="209" t="s">
        <v>141</v>
      </c>
      <c r="CR177" s="210" t="s">
        <v>141</v>
      </c>
      <c r="CS177" s="211" t="s">
        <v>141</v>
      </c>
      <c r="CT177" s="212" t="s">
        <v>141</v>
      </c>
      <c r="CU177" s="213" t="s">
        <v>141</v>
      </c>
      <c r="CV177" s="214" t="s">
        <v>141</v>
      </c>
      <c r="CW177" s="215" t="s">
        <v>141</v>
      </c>
      <c r="CX177" s="216">
        <v>4</v>
      </c>
      <c r="CY177" s="217" t="s">
        <v>150</v>
      </c>
      <c r="CZ177" s="218" t="s">
        <v>2205</v>
      </c>
      <c r="DA177" s="219" t="s">
        <v>152</v>
      </c>
      <c r="DB177" s="220" t="s">
        <v>153</v>
      </c>
      <c r="DC177" s="221" t="s">
        <v>2206</v>
      </c>
      <c r="DD177" s="222" t="s">
        <v>2207</v>
      </c>
      <c r="DE177" s="223" t="s">
        <v>2208</v>
      </c>
      <c r="DF177" s="224" t="s">
        <v>157</v>
      </c>
      <c r="DG177" s="225">
        <v>2016</v>
      </c>
      <c r="DH177" s="226" t="s">
        <v>2209</v>
      </c>
      <c r="DI177" s="228" t="str">
        <f>HYPERLINK("https://my.pitchbook.com?c=104176-36T", "View company online")</f>
        <v>View company online</v>
      </c>
    </row>
    <row r="178" spans="1:113" x14ac:dyDescent="0.2">
      <c r="A178" s="3" t="s">
        <v>2210</v>
      </c>
      <c r="B178" s="4" t="s">
        <v>2188</v>
      </c>
      <c r="C178" s="5" t="s">
        <v>2189</v>
      </c>
      <c r="D178" s="6" t="s">
        <v>2190</v>
      </c>
      <c r="E178" s="7" t="s">
        <v>2191</v>
      </c>
      <c r="F178" s="8" t="s">
        <v>126</v>
      </c>
      <c r="G178" s="9" t="s">
        <v>127</v>
      </c>
      <c r="H178" s="10" t="s">
        <v>128</v>
      </c>
      <c r="I178" s="11" t="s">
        <v>2192</v>
      </c>
      <c r="J178" s="12" t="s">
        <v>141</v>
      </c>
      <c r="K178" s="13" t="s">
        <v>2193</v>
      </c>
      <c r="L178" s="14" t="s">
        <v>132</v>
      </c>
      <c r="M178" s="15" t="s">
        <v>133</v>
      </c>
      <c r="N178" s="16" t="s">
        <v>134</v>
      </c>
      <c r="O178" s="17" t="s">
        <v>2194</v>
      </c>
      <c r="P178" s="18" t="s">
        <v>2195</v>
      </c>
      <c r="Q178" s="19" t="s">
        <v>2196</v>
      </c>
      <c r="R178" s="20" t="s">
        <v>2197</v>
      </c>
      <c r="S178" s="21" t="s">
        <v>2198</v>
      </c>
      <c r="T178" s="22" t="s">
        <v>2199</v>
      </c>
      <c r="U178" s="23">
        <v>3</v>
      </c>
      <c r="V178" s="24" t="s">
        <v>2210</v>
      </c>
      <c r="W178" s="25" t="s">
        <v>141</v>
      </c>
      <c r="X178" s="26">
        <v>43599</v>
      </c>
      <c r="Y178" s="27">
        <v>0.65</v>
      </c>
      <c r="Z178" s="28" t="s">
        <v>177</v>
      </c>
      <c r="AA178" s="29" t="s">
        <v>141</v>
      </c>
      <c r="AB178" s="30" t="s">
        <v>141</v>
      </c>
      <c r="AC178" s="31" t="s">
        <v>141</v>
      </c>
      <c r="AD178" s="32" t="s">
        <v>141</v>
      </c>
      <c r="AE178" s="33">
        <v>0.11</v>
      </c>
      <c r="AF178" s="34" t="s">
        <v>1582</v>
      </c>
      <c r="AG178" s="35" t="s">
        <v>141</v>
      </c>
      <c r="AH178" s="36" t="s">
        <v>141</v>
      </c>
      <c r="AI178" s="37" t="s">
        <v>141</v>
      </c>
      <c r="AJ178" s="38" t="s">
        <v>1518</v>
      </c>
      <c r="AK178" s="39" t="s">
        <v>141</v>
      </c>
      <c r="AL178" s="40" t="s">
        <v>141</v>
      </c>
      <c r="AM178" s="41" t="s">
        <v>170</v>
      </c>
      <c r="AN178" s="42" t="s">
        <v>2211</v>
      </c>
      <c r="AO178" s="43" t="s">
        <v>141</v>
      </c>
      <c r="AP178" s="44" t="s">
        <v>145</v>
      </c>
      <c r="AQ178" s="45" t="s">
        <v>141</v>
      </c>
      <c r="AR178" s="46" t="s">
        <v>141</v>
      </c>
      <c r="AS178" s="47" t="s">
        <v>281</v>
      </c>
      <c r="AT178" s="48" t="s">
        <v>141</v>
      </c>
      <c r="AU178" s="49" t="s">
        <v>141</v>
      </c>
      <c r="AV178" s="50" t="s">
        <v>141</v>
      </c>
      <c r="AW178" s="51" t="s">
        <v>141</v>
      </c>
      <c r="AX178" s="52" t="s">
        <v>141</v>
      </c>
      <c r="AY178" s="53" t="s">
        <v>141</v>
      </c>
      <c r="AZ178" s="54" t="s">
        <v>141</v>
      </c>
      <c r="BA178" s="55" t="s">
        <v>146</v>
      </c>
      <c r="BB178" s="56" t="s">
        <v>133</v>
      </c>
      <c r="BC178" s="57" t="s">
        <v>132</v>
      </c>
      <c r="BD178" s="58" t="s">
        <v>141</v>
      </c>
      <c r="BE178" s="59">
        <v>1</v>
      </c>
      <c r="BF178" s="60" t="s">
        <v>141</v>
      </c>
      <c r="BG178" s="61" t="s">
        <v>141</v>
      </c>
      <c r="BH178" s="62" t="s">
        <v>2201</v>
      </c>
      <c r="BI178" s="63">
        <v>1</v>
      </c>
      <c r="BJ178" s="64" t="s">
        <v>141</v>
      </c>
      <c r="BK178" s="65" t="s">
        <v>2202</v>
      </c>
      <c r="BL178" s="66" t="s">
        <v>2203</v>
      </c>
      <c r="BM178" s="67" t="s">
        <v>2203</v>
      </c>
      <c r="BN178" s="68" t="s">
        <v>2204</v>
      </c>
      <c r="BO178" s="69" t="s">
        <v>141</v>
      </c>
      <c r="BP178" s="70" t="s">
        <v>141</v>
      </c>
      <c r="BQ178" s="71" t="s">
        <v>141</v>
      </c>
      <c r="BR178" s="72" t="s">
        <v>141</v>
      </c>
      <c r="BS178" s="73" t="s">
        <v>141</v>
      </c>
      <c r="BT178" s="74" t="s">
        <v>141</v>
      </c>
      <c r="BU178" s="75" t="s">
        <v>141</v>
      </c>
      <c r="BV178" s="76" t="s">
        <v>141</v>
      </c>
      <c r="BW178" s="77" t="s">
        <v>141</v>
      </c>
      <c r="BX178" s="78" t="s">
        <v>141</v>
      </c>
      <c r="BY178" s="79" t="s">
        <v>141</v>
      </c>
      <c r="BZ178" s="80" t="s">
        <v>141</v>
      </c>
      <c r="CA178" s="81" t="s">
        <v>141</v>
      </c>
      <c r="CB178" s="82" t="s">
        <v>141</v>
      </c>
      <c r="CC178" s="83" t="s">
        <v>141</v>
      </c>
      <c r="CD178" s="84" t="s">
        <v>141</v>
      </c>
      <c r="CE178" s="85" t="s">
        <v>141</v>
      </c>
      <c r="CF178" s="86" t="s">
        <v>141</v>
      </c>
      <c r="CG178" s="87" t="s">
        <v>141</v>
      </c>
      <c r="CH178" s="88" t="s">
        <v>141</v>
      </c>
      <c r="CI178" s="89" t="s">
        <v>141</v>
      </c>
      <c r="CJ178" s="90" t="s">
        <v>141</v>
      </c>
      <c r="CK178" s="91" t="s">
        <v>141</v>
      </c>
      <c r="CL178" s="92" t="s">
        <v>141</v>
      </c>
      <c r="CM178" s="93" t="s">
        <v>141</v>
      </c>
      <c r="CN178" s="94" t="s">
        <v>141</v>
      </c>
      <c r="CO178" s="95" t="s">
        <v>141</v>
      </c>
      <c r="CP178" s="96" t="s">
        <v>141</v>
      </c>
      <c r="CQ178" s="97" t="s">
        <v>141</v>
      </c>
      <c r="CR178" s="98" t="s">
        <v>141</v>
      </c>
      <c r="CS178" s="99" t="s">
        <v>141</v>
      </c>
      <c r="CT178" s="100" t="s">
        <v>141</v>
      </c>
      <c r="CU178" s="101" t="s">
        <v>141</v>
      </c>
      <c r="CV178" s="102" t="s">
        <v>141</v>
      </c>
      <c r="CW178" s="103" t="s">
        <v>141</v>
      </c>
      <c r="CX178" s="104">
        <v>4</v>
      </c>
      <c r="CY178" s="105" t="s">
        <v>150</v>
      </c>
      <c r="CZ178" s="106" t="s">
        <v>2205</v>
      </c>
      <c r="DA178" s="107" t="s">
        <v>152</v>
      </c>
      <c r="DB178" s="108" t="s">
        <v>153</v>
      </c>
      <c r="DC178" s="109" t="s">
        <v>2206</v>
      </c>
      <c r="DD178" s="110" t="s">
        <v>2207</v>
      </c>
      <c r="DE178" s="111" t="s">
        <v>2208</v>
      </c>
      <c r="DF178" s="112" t="s">
        <v>157</v>
      </c>
      <c r="DG178" s="113">
        <v>2016</v>
      </c>
      <c r="DH178" s="114" t="s">
        <v>2209</v>
      </c>
      <c r="DI178" s="227" t="str">
        <f>HYPERLINK("https://my.pitchbook.com?c=118007-92T", "View company online")</f>
        <v>View company online</v>
      </c>
    </row>
    <row r="179" spans="1:113" x14ac:dyDescent="0.2">
      <c r="A179" s="115" t="s">
        <v>2212</v>
      </c>
      <c r="B179" s="116" t="s">
        <v>2188</v>
      </c>
      <c r="C179" s="117" t="s">
        <v>2189</v>
      </c>
      <c r="D179" s="118" t="s">
        <v>2190</v>
      </c>
      <c r="E179" s="119" t="s">
        <v>2191</v>
      </c>
      <c r="F179" s="120" t="s">
        <v>126</v>
      </c>
      <c r="G179" s="121" t="s">
        <v>127</v>
      </c>
      <c r="H179" s="122" t="s">
        <v>128</v>
      </c>
      <c r="I179" s="123" t="s">
        <v>2192</v>
      </c>
      <c r="J179" s="124" t="s">
        <v>141</v>
      </c>
      <c r="K179" s="125" t="s">
        <v>2193</v>
      </c>
      <c r="L179" s="126" t="s">
        <v>132</v>
      </c>
      <c r="M179" s="127" t="s">
        <v>133</v>
      </c>
      <c r="N179" s="128" t="s">
        <v>134</v>
      </c>
      <c r="O179" s="129" t="s">
        <v>2194</v>
      </c>
      <c r="P179" s="130" t="s">
        <v>2195</v>
      </c>
      <c r="Q179" s="131" t="s">
        <v>2196</v>
      </c>
      <c r="R179" s="132" t="s">
        <v>2197</v>
      </c>
      <c r="S179" s="133" t="s">
        <v>2198</v>
      </c>
      <c r="T179" s="134" t="s">
        <v>2199</v>
      </c>
      <c r="U179" s="135">
        <v>4</v>
      </c>
      <c r="V179" s="136" t="s">
        <v>2212</v>
      </c>
      <c r="W179" s="137" t="s">
        <v>141</v>
      </c>
      <c r="X179" s="138">
        <v>43944</v>
      </c>
      <c r="Y179" s="139">
        <v>0.25</v>
      </c>
      <c r="Z179" s="140" t="s">
        <v>177</v>
      </c>
      <c r="AA179" s="141" t="s">
        <v>141</v>
      </c>
      <c r="AB179" s="142" t="s">
        <v>141</v>
      </c>
      <c r="AC179" s="143" t="s">
        <v>141</v>
      </c>
      <c r="AD179" s="144" t="s">
        <v>141</v>
      </c>
      <c r="AE179" s="145">
        <v>0.36</v>
      </c>
      <c r="AF179" s="146" t="s">
        <v>1516</v>
      </c>
      <c r="AG179" s="147" t="s">
        <v>141</v>
      </c>
      <c r="AH179" s="148" t="s">
        <v>141</v>
      </c>
      <c r="AI179" s="149" t="s">
        <v>141</v>
      </c>
      <c r="AJ179" s="150" t="s">
        <v>1518</v>
      </c>
      <c r="AK179" s="151" t="s">
        <v>141</v>
      </c>
      <c r="AL179" s="152" t="s">
        <v>141</v>
      </c>
      <c r="AM179" s="153" t="s">
        <v>170</v>
      </c>
      <c r="AN179" s="154" t="s">
        <v>2191</v>
      </c>
      <c r="AO179" s="155" t="s">
        <v>141</v>
      </c>
      <c r="AP179" s="156" t="s">
        <v>145</v>
      </c>
      <c r="AQ179" s="157" t="s">
        <v>141</v>
      </c>
      <c r="AR179" s="158" t="s">
        <v>141</v>
      </c>
      <c r="AS179" s="159" t="s">
        <v>281</v>
      </c>
      <c r="AT179" s="160" t="s">
        <v>141</v>
      </c>
      <c r="AU179" s="161" t="s">
        <v>141</v>
      </c>
      <c r="AV179" s="162">
        <v>0.25</v>
      </c>
      <c r="AW179" s="163" t="s">
        <v>141</v>
      </c>
      <c r="AX179" s="164" t="s">
        <v>141</v>
      </c>
      <c r="AY179" s="165">
        <v>0.25</v>
      </c>
      <c r="AZ179" s="166" t="s">
        <v>141</v>
      </c>
      <c r="BA179" s="167" t="s">
        <v>146</v>
      </c>
      <c r="BB179" s="168" t="s">
        <v>133</v>
      </c>
      <c r="BC179" s="169" t="s">
        <v>132</v>
      </c>
      <c r="BD179" s="170">
        <v>4</v>
      </c>
      <c r="BE179" s="171">
        <v>1</v>
      </c>
      <c r="BF179" s="172" t="s">
        <v>141</v>
      </c>
      <c r="BG179" s="173" t="s">
        <v>141</v>
      </c>
      <c r="BH179" s="174" t="s">
        <v>2201</v>
      </c>
      <c r="BI179" s="175">
        <v>1</v>
      </c>
      <c r="BJ179" s="176" t="s">
        <v>141</v>
      </c>
      <c r="BK179" s="177" t="s">
        <v>2202</v>
      </c>
      <c r="BL179" s="178" t="s">
        <v>2203</v>
      </c>
      <c r="BM179" s="179" t="s">
        <v>2203</v>
      </c>
      <c r="BN179" s="180" t="s">
        <v>2204</v>
      </c>
      <c r="BO179" s="181" t="s">
        <v>141</v>
      </c>
      <c r="BP179" s="182" t="s">
        <v>141</v>
      </c>
      <c r="BQ179" s="183" t="s">
        <v>141</v>
      </c>
      <c r="BR179" s="184" t="s">
        <v>141</v>
      </c>
      <c r="BS179" s="185" t="s">
        <v>141</v>
      </c>
      <c r="BT179" s="186" t="s">
        <v>141</v>
      </c>
      <c r="BU179" s="187" t="s">
        <v>141</v>
      </c>
      <c r="BV179" s="188" t="s">
        <v>141</v>
      </c>
      <c r="BW179" s="189" t="s">
        <v>141</v>
      </c>
      <c r="BX179" s="190" t="s">
        <v>141</v>
      </c>
      <c r="BY179" s="191" t="s">
        <v>141</v>
      </c>
      <c r="BZ179" s="192" t="s">
        <v>141</v>
      </c>
      <c r="CA179" s="193" t="s">
        <v>141</v>
      </c>
      <c r="CB179" s="194" t="s">
        <v>141</v>
      </c>
      <c r="CC179" s="195" t="s">
        <v>141</v>
      </c>
      <c r="CD179" s="196" t="s">
        <v>141</v>
      </c>
      <c r="CE179" s="197" t="s">
        <v>141</v>
      </c>
      <c r="CF179" s="198" t="s">
        <v>141</v>
      </c>
      <c r="CG179" s="199" t="s">
        <v>141</v>
      </c>
      <c r="CH179" s="200" t="s">
        <v>141</v>
      </c>
      <c r="CI179" s="201" t="s">
        <v>141</v>
      </c>
      <c r="CJ179" s="202" t="s">
        <v>141</v>
      </c>
      <c r="CK179" s="203" t="s">
        <v>141</v>
      </c>
      <c r="CL179" s="204" t="s">
        <v>141</v>
      </c>
      <c r="CM179" s="205" t="s">
        <v>141</v>
      </c>
      <c r="CN179" s="206" t="s">
        <v>141</v>
      </c>
      <c r="CO179" s="207" t="s">
        <v>141</v>
      </c>
      <c r="CP179" s="208" t="s">
        <v>141</v>
      </c>
      <c r="CQ179" s="209" t="s">
        <v>141</v>
      </c>
      <c r="CR179" s="210" t="s">
        <v>141</v>
      </c>
      <c r="CS179" s="211" t="s">
        <v>141</v>
      </c>
      <c r="CT179" s="212" t="s">
        <v>141</v>
      </c>
      <c r="CU179" s="213" t="s">
        <v>141</v>
      </c>
      <c r="CV179" s="214" t="s">
        <v>141</v>
      </c>
      <c r="CW179" s="215" t="s">
        <v>141</v>
      </c>
      <c r="CX179" s="216">
        <v>4</v>
      </c>
      <c r="CY179" s="217" t="s">
        <v>150</v>
      </c>
      <c r="CZ179" s="218" t="s">
        <v>2205</v>
      </c>
      <c r="DA179" s="219" t="s">
        <v>152</v>
      </c>
      <c r="DB179" s="220" t="s">
        <v>153</v>
      </c>
      <c r="DC179" s="221" t="s">
        <v>2206</v>
      </c>
      <c r="DD179" s="222" t="s">
        <v>2207</v>
      </c>
      <c r="DE179" s="223" t="s">
        <v>2208</v>
      </c>
      <c r="DF179" s="224" t="s">
        <v>157</v>
      </c>
      <c r="DG179" s="225">
        <v>2016</v>
      </c>
      <c r="DH179" s="226" t="s">
        <v>2209</v>
      </c>
      <c r="DI179" s="228" t="str">
        <f>HYPERLINK("https://my.pitchbook.com?c=129701-71T", "View company online")</f>
        <v>View company online</v>
      </c>
    </row>
    <row r="180" spans="1:113" x14ac:dyDescent="0.2">
      <c r="A180" s="3" t="s">
        <v>2213</v>
      </c>
      <c r="B180" s="4" t="s">
        <v>735</v>
      </c>
      <c r="C180" s="5" t="s">
        <v>736</v>
      </c>
      <c r="D180" s="6" t="s">
        <v>737</v>
      </c>
      <c r="E180" s="7" t="s">
        <v>738</v>
      </c>
      <c r="F180" s="8" t="s">
        <v>126</v>
      </c>
      <c r="G180" s="9" t="s">
        <v>456</v>
      </c>
      <c r="H180" s="10" t="s">
        <v>457</v>
      </c>
      <c r="I180" s="11" t="s">
        <v>515</v>
      </c>
      <c r="J180" s="12" t="s">
        <v>211</v>
      </c>
      <c r="K180" s="13" t="s">
        <v>739</v>
      </c>
      <c r="L180" s="14" t="s">
        <v>740</v>
      </c>
      <c r="M180" s="15" t="s">
        <v>133</v>
      </c>
      <c r="N180" s="16" t="s">
        <v>741</v>
      </c>
      <c r="O180" s="17" t="s">
        <v>2214</v>
      </c>
      <c r="P180" s="18" t="s">
        <v>2215</v>
      </c>
      <c r="Q180" s="19" t="s">
        <v>141</v>
      </c>
      <c r="R180" s="20" t="s">
        <v>141</v>
      </c>
      <c r="S180" s="21" t="s">
        <v>2216</v>
      </c>
      <c r="T180" s="22" t="s">
        <v>2217</v>
      </c>
      <c r="U180" s="23">
        <v>4</v>
      </c>
      <c r="V180" s="24" t="s">
        <v>2213</v>
      </c>
      <c r="W180" s="25" t="s">
        <v>141</v>
      </c>
      <c r="X180" s="26">
        <v>41845</v>
      </c>
      <c r="Y180" s="27">
        <v>15</v>
      </c>
      <c r="Z180" s="28" t="s">
        <v>177</v>
      </c>
      <c r="AA180" s="29">
        <v>35</v>
      </c>
      <c r="AB180" s="30">
        <v>50</v>
      </c>
      <c r="AC180" s="31" t="s">
        <v>177</v>
      </c>
      <c r="AD180" s="32">
        <v>30</v>
      </c>
      <c r="AE180" s="33">
        <v>21.9</v>
      </c>
      <c r="AF180" s="34" t="s">
        <v>1516</v>
      </c>
      <c r="AG180" s="35" t="s">
        <v>1188</v>
      </c>
      <c r="AH180" s="36">
        <v>1.99</v>
      </c>
      <c r="AI180" s="37" t="s">
        <v>1517</v>
      </c>
      <c r="AJ180" s="38" t="s">
        <v>1518</v>
      </c>
      <c r="AK180" s="39" t="s">
        <v>1517</v>
      </c>
      <c r="AL180" s="40" t="s">
        <v>141</v>
      </c>
      <c r="AM180" s="41" t="s">
        <v>170</v>
      </c>
      <c r="AN180" s="42" t="s">
        <v>2218</v>
      </c>
      <c r="AO180" s="43">
        <v>15</v>
      </c>
      <c r="AP180" s="44" t="s">
        <v>145</v>
      </c>
      <c r="AQ180" s="45" t="s">
        <v>141</v>
      </c>
      <c r="AR180" s="46" t="s">
        <v>141</v>
      </c>
      <c r="AS180" s="47" t="s">
        <v>141</v>
      </c>
      <c r="AT180" s="48" t="s">
        <v>141</v>
      </c>
      <c r="AU180" s="49" t="s">
        <v>141</v>
      </c>
      <c r="AV180" s="50" t="s">
        <v>141</v>
      </c>
      <c r="AW180" s="51" t="s">
        <v>141</v>
      </c>
      <c r="AX180" s="52" t="s">
        <v>141</v>
      </c>
      <c r="AY180" s="53" t="s">
        <v>141</v>
      </c>
      <c r="AZ180" s="54" t="s">
        <v>141</v>
      </c>
      <c r="BA180" s="55" t="s">
        <v>146</v>
      </c>
      <c r="BB180" s="56" t="s">
        <v>263</v>
      </c>
      <c r="BC180" s="57" t="s">
        <v>132</v>
      </c>
      <c r="BD180" s="58">
        <v>160</v>
      </c>
      <c r="BE180" s="59">
        <v>10</v>
      </c>
      <c r="BF180" s="60" t="s">
        <v>2219</v>
      </c>
      <c r="BG180" s="61">
        <v>5</v>
      </c>
      <c r="BH180" s="62" t="s">
        <v>2220</v>
      </c>
      <c r="BI180" s="63">
        <v>5</v>
      </c>
      <c r="BJ180" s="64" t="s">
        <v>141</v>
      </c>
      <c r="BK180" s="65" t="s">
        <v>2221</v>
      </c>
      <c r="BL180" s="66" t="s">
        <v>2222</v>
      </c>
      <c r="BM180" s="67" t="s">
        <v>2223</v>
      </c>
      <c r="BN180" s="68" t="s">
        <v>2224</v>
      </c>
      <c r="BO180" s="69" t="s">
        <v>141</v>
      </c>
      <c r="BP180" s="70" t="s">
        <v>141</v>
      </c>
      <c r="BQ180" s="71" t="s">
        <v>141</v>
      </c>
      <c r="BR180" s="72" t="s">
        <v>766</v>
      </c>
      <c r="BS180" s="73" t="s">
        <v>766</v>
      </c>
      <c r="BT180" s="74" t="s">
        <v>141</v>
      </c>
      <c r="BU180" s="75" t="s">
        <v>141</v>
      </c>
      <c r="BV180" s="76" t="s">
        <v>141</v>
      </c>
      <c r="BW180" s="77" t="s">
        <v>141</v>
      </c>
      <c r="BX180" s="78" t="s">
        <v>141</v>
      </c>
      <c r="BY180" s="79" t="s">
        <v>141</v>
      </c>
      <c r="BZ180" s="80" t="s">
        <v>141</v>
      </c>
      <c r="CA180" s="81" t="s">
        <v>141</v>
      </c>
      <c r="CB180" s="82" t="s">
        <v>141</v>
      </c>
      <c r="CC180" s="83" t="s">
        <v>141</v>
      </c>
      <c r="CD180" s="84" t="s">
        <v>141</v>
      </c>
      <c r="CE180" s="85" t="s">
        <v>141</v>
      </c>
      <c r="CF180" s="86" t="s">
        <v>141</v>
      </c>
      <c r="CG180" s="87" t="s">
        <v>141</v>
      </c>
      <c r="CH180" s="88" t="s">
        <v>141</v>
      </c>
      <c r="CI180" s="89" t="s">
        <v>141</v>
      </c>
      <c r="CJ180" s="90" t="s">
        <v>141</v>
      </c>
      <c r="CK180" s="91" t="s">
        <v>141</v>
      </c>
      <c r="CL180" s="92" t="s">
        <v>141</v>
      </c>
      <c r="CM180" s="93" t="s">
        <v>141</v>
      </c>
      <c r="CN180" s="94" t="s">
        <v>141</v>
      </c>
      <c r="CO180" s="95" t="s">
        <v>141</v>
      </c>
      <c r="CP180" s="96" t="s">
        <v>141</v>
      </c>
      <c r="CQ180" s="97" t="s">
        <v>141</v>
      </c>
      <c r="CR180" s="98" t="s">
        <v>141</v>
      </c>
      <c r="CS180" s="99" t="s">
        <v>141</v>
      </c>
      <c r="CT180" s="100" t="s">
        <v>141</v>
      </c>
      <c r="CU180" s="101" t="s">
        <v>141</v>
      </c>
      <c r="CV180" s="102" t="s">
        <v>141</v>
      </c>
      <c r="CW180" s="103" t="s">
        <v>141</v>
      </c>
      <c r="CX180" s="104">
        <v>501</v>
      </c>
      <c r="CY180" s="105" t="s">
        <v>150</v>
      </c>
      <c r="CZ180" s="106" t="s">
        <v>200</v>
      </c>
      <c r="DA180" s="107" t="s">
        <v>152</v>
      </c>
      <c r="DB180" s="108" t="s">
        <v>153</v>
      </c>
      <c r="DC180" s="109" t="s">
        <v>201</v>
      </c>
      <c r="DD180" s="110" t="s">
        <v>201</v>
      </c>
      <c r="DE180" s="111" t="s">
        <v>141</v>
      </c>
      <c r="DF180" s="112" t="s">
        <v>157</v>
      </c>
      <c r="DG180" s="113">
        <v>2012</v>
      </c>
      <c r="DH180" s="114" t="s">
        <v>749</v>
      </c>
      <c r="DI180" s="227" t="str">
        <f>HYPERLINK("https://my.pitchbook.com?c=36463-87T", "View company online")</f>
        <v>View company online</v>
      </c>
    </row>
    <row r="181" spans="1:113" x14ac:dyDescent="0.2">
      <c r="A181" s="115" t="s">
        <v>2225</v>
      </c>
      <c r="B181" s="116" t="s">
        <v>735</v>
      </c>
      <c r="C181" s="117" t="s">
        <v>736</v>
      </c>
      <c r="D181" s="118" t="s">
        <v>737</v>
      </c>
      <c r="E181" s="119" t="s">
        <v>738</v>
      </c>
      <c r="F181" s="120" t="s">
        <v>126</v>
      </c>
      <c r="G181" s="121" t="s">
        <v>456</v>
      </c>
      <c r="H181" s="122" t="s">
        <v>457</v>
      </c>
      <c r="I181" s="123" t="s">
        <v>515</v>
      </c>
      <c r="J181" s="124" t="s">
        <v>211</v>
      </c>
      <c r="K181" s="125" t="s">
        <v>739</v>
      </c>
      <c r="L181" s="126" t="s">
        <v>740</v>
      </c>
      <c r="M181" s="127" t="s">
        <v>133</v>
      </c>
      <c r="N181" s="128" t="s">
        <v>741</v>
      </c>
      <c r="O181" s="129" t="s">
        <v>2214</v>
      </c>
      <c r="P181" s="130" t="s">
        <v>2215</v>
      </c>
      <c r="Q181" s="131" t="s">
        <v>141</v>
      </c>
      <c r="R181" s="132" t="s">
        <v>141</v>
      </c>
      <c r="S181" s="133" t="s">
        <v>2216</v>
      </c>
      <c r="T181" s="134" t="s">
        <v>2217</v>
      </c>
      <c r="U181" s="135">
        <v>6</v>
      </c>
      <c r="V181" s="136" t="s">
        <v>2225</v>
      </c>
      <c r="W181" s="137">
        <v>42116</v>
      </c>
      <c r="X181" s="138">
        <v>42592</v>
      </c>
      <c r="Y181" s="139">
        <v>58.3</v>
      </c>
      <c r="Z181" s="140" t="s">
        <v>177</v>
      </c>
      <c r="AA181" s="141">
        <v>70</v>
      </c>
      <c r="AB181" s="142">
        <v>128.31</v>
      </c>
      <c r="AC181" s="143" t="s">
        <v>177</v>
      </c>
      <c r="AD181" s="144">
        <v>45.44</v>
      </c>
      <c r="AE181" s="145">
        <v>87.71</v>
      </c>
      <c r="AF181" s="146" t="s">
        <v>1550</v>
      </c>
      <c r="AG181" s="147" t="s">
        <v>1188</v>
      </c>
      <c r="AH181" s="148">
        <v>2.8</v>
      </c>
      <c r="AI181" s="149" t="s">
        <v>1551</v>
      </c>
      <c r="AJ181" s="150" t="s">
        <v>1518</v>
      </c>
      <c r="AK181" s="151" t="s">
        <v>1551</v>
      </c>
      <c r="AL181" s="152" t="s">
        <v>141</v>
      </c>
      <c r="AM181" s="153" t="s">
        <v>170</v>
      </c>
      <c r="AN181" s="154" t="s">
        <v>2226</v>
      </c>
      <c r="AO181" s="155">
        <v>58.3</v>
      </c>
      <c r="AP181" s="156" t="s">
        <v>145</v>
      </c>
      <c r="AQ181" s="157" t="s">
        <v>141</v>
      </c>
      <c r="AR181" s="158" t="s">
        <v>141</v>
      </c>
      <c r="AS181" s="159" t="s">
        <v>141</v>
      </c>
      <c r="AT181" s="160" t="s">
        <v>141</v>
      </c>
      <c r="AU181" s="161" t="s">
        <v>141</v>
      </c>
      <c r="AV181" s="162" t="s">
        <v>141</v>
      </c>
      <c r="AW181" s="163" t="s">
        <v>141</v>
      </c>
      <c r="AX181" s="164" t="s">
        <v>141</v>
      </c>
      <c r="AY181" s="165" t="s">
        <v>141</v>
      </c>
      <c r="AZ181" s="166" t="s">
        <v>141</v>
      </c>
      <c r="BA181" s="167" t="s">
        <v>146</v>
      </c>
      <c r="BB181" s="168" t="s">
        <v>133</v>
      </c>
      <c r="BC181" s="169" t="s">
        <v>132</v>
      </c>
      <c r="BD181" s="170">
        <v>501</v>
      </c>
      <c r="BE181" s="171">
        <v>9</v>
      </c>
      <c r="BF181" s="172" t="s">
        <v>2227</v>
      </c>
      <c r="BG181" s="173">
        <v>6</v>
      </c>
      <c r="BH181" s="174" t="s">
        <v>2228</v>
      </c>
      <c r="BI181" s="175">
        <v>3</v>
      </c>
      <c r="BJ181" s="176" t="s">
        <v>141</v>
      </c>
      <c r="BK181" s="177" t="s">
        <v>2229</v>
      </c>
      <c r="BL181" s="178" t="s">
        <v>2230</v>
      </c>
      <c r="BM181" s="179" t="s">
        <v>141</v>
      </c>
      <c r="BN181" s="180" t="s">
        <v>2231</v>
      </c>
      <c r="BO181" s="181" t="s">
        <v>141</v>
      </c>
      <c r="BP181" s="182" t="s">
        <v>141</v>
      </c>
      <c r="BQ181" s="183" t="s">
        <v>141</v>
      </c>
      <c r="BR181" s="184" t="s">
        <v>1595</v>
      </c>
      <c r="BS181" s="185" t="s">
        <v>141</v>
      </c>
      <c r="BT181" s="186" t="s">
        <v>141</v>
      </c>
      <c r="BU181" s="187" t="s">
        <v>1595</v>
      </c>
      <c r="BV181" s="188" t="s">
        <v>141</v>
      </c>
      <c r="BW181" s="189" t="s">
        <v>141</v>
      </c>
      <c r="BX181" s="190">
        <v>135</v>
      </c>
      <c r="BY181" s="191" t="s">
        <v>141</v>
      </c>
      <c r="BZ181" s="192" t="s">
        <v>141</v>
      </c>
      <c r="CA181" s="193" t="s">
        <v>141</v>
      </c>
      <c r="CB181" s="194" t="s">
        <v>141</v>
      </c>
      <c r="CC181" s="195" t="s">
        <v>141</v>
      </c>
      <c r="CD181" s="196" t="s">
        <v>141</v>
      </c>
      <c r="CE181" s="197">
        <v>2016</v>
      </c>
      <c r="CF181" s="198" t="s">
        <v>141</v>
      </c>
      <c r="CG181" s="199" t="s">
        <v>141</v>
      </c>
      <c r="CH181" s="200" t="s">
        <v>141</v>
      </c>
      <c r="CI181" s="201">
        <v>0.95</v>
      </c>
      <c r="CJ181" s="202" t="s">
        <v>141</v>
      </c>
      <c r="CK181" s="203" t="s">
        <v>141</v>
      </c>
      <c r="CL181" s="204" t="s">
        <v>141</v>
      </c>
      <c r="CM181" s="205" t="s">
        <v>141</v>
      </c>
      <c r="CN181" s="206">
        <v>0.43</v>
      </c>
      <c r="CO181" s="207" t="s">
        <v>141</v>
      </c>
      <c r="CP181" s="208" t="s">
        <v>141</v>
      </c>
      <c r="CQ181" s="209" t="s">
        <v>141</v>
      </c>
      <c r="CR181" s="210" t="s">
        <v>141</v>
      </c>
      <c r="CS181" s="211" t="s">
        <v>141</v>
      </c>
      <c r="CT181" s="212" t="s">
        <v>141</v>
      </c>
      <c r="CU181" s="213" t="s">
        <v>141</v>
      </c>
      <c r="CV181" s="214" t="s">
        <v>141</v>
      </c>
      <c r="CW181" s="215" t="s">
        <v>141</v>
      </c>
      <c r="CX181" s="216">
        <v>501</v>
      </c>
      <c r="CY181" s="217" t="s">
        <v>150</v>
      </c>
      <c r="CZ181" s="218" t="s">
        <v>200</v>
      </c>
      <c r="DA181" s="219" t="s">
        <v>152</v>
      </c>
      <c r="DB181" s="220" t="s">
        <v>153</v>
      </c>
      <c r="DC181" s="221" t="s">
        <v>201</v>
      </c>
      <c r="DD181" s="222" t="s">
        <v>201</v>
      </c>
      <c r="DE181" s="223" t="s">
        <v>141</v>
      </c>
      <c r="DF181" s="224" t="s">
        <v>157</v>
      </c>
      <c r="DG181" s="225">
        <v>2012</v>
      </c>
      <c r="DH181" s="226" t="s">
        <v>749</v>
      </c>
      <c r="DI181" s="228" t="str">
        <f>HYPERLINK("https://my.pitchbook.com?c=38642-86T", "View company online")</f>
        <v>View company online</v>
      </c>
    </row>
    <row r="182" spans="1:113" x14ac:dyDescent="0.2">
      <c r="A182" s="3" t="s">
        <v>2232</v>
      </c>
      <c r="B182" s="4" t="s">
        <v>751</v>
      </c>
      <c r="C182" s="5" t="s">
        <v>752</v>
      </c>
      <c r="D182" s="6" t="s">
        <v>753</v>
      </c>
      <c r="E182" s="7" t="s">
        <v>754</v>
      </c>
      <c r="F182" s="8" t="s">
        <v>126</v>
      </c>
      <c r="G182" s="9" t="s">
        <v>252</v>
      </c>
      <c r="H182" s="10" t="s">
        <v>253</v>
      </c>
      <c r="I182" s="11" t="s">
        <v>755</v>
      </c>
      <c r="J182" s="12" t="s">
        <v>756</v>
      </c>
      <c r="K182" s="13" t="s">
        <v>757</v>
      </c>
      <c r="L182" s="14" t="s">
        <v>132</v>
      </c>
      <c r="M182" s="15" t="s">
        <v>133</v>
      </c>
      <c r="N182" s="16" t="s">
        <v>134</v>
      </c>
      <c r="O182" s="17" t="s">
        <v>758</v>
      </c>
      <c r="P182" s="18" t="s">
        <v>759</v>
      </c>
      <c r="Q182" s="19" t="s">
        <v>760</v>
      </c>
      <c r="R182" s="20" t="s">
        <v>761</v>
      </c>
      <c r="S182" s="21" t="s">
        <v>762</v>
      </c>
      <c r="T182" s="22" t="s">
        <v>763</v>
      </c>
      <c r="U182" s="23">
        <v>6</v>
      </c>
      <c r="V182" s="24" t="s">
        <v>2232</v>
      </c>
      <c r="W182" s="25" t="s">
        <v>141</v>
      </c>
      <c r="X182" s="26" t="s">
        <v>141</v>
      </c>
      <c r="Y182" s="27" t="s">
        <v>141</v>
      </c>
      <c r="Z182" s="28" t="s">
        <v>141</v>
      </c>
      <c r="AA182" s="29" t="s">
        <v>141</v>
      </c>
      <c r="AB182" s="30" t="s">
        <v>141</v>
      </c>
      <c r="AC182" s="31" t="s">
        <v>141</v>
      </c>
      <c r="AD182" s="32" t="s">
        <v>141</v>
      </c>
      <c r="AE182" s="33">
        <v>2.67</v>
      </c>
      <c r="AF182" s="34" t="s">
        <v>1550</v>
      </c>
      <c r="AG182" s="35" t="s">
        <v>141</v>
      </c>
      <c r="AH182" s="36" t="s">
        <v>141</v>
      </c>
      <c r="AI182" s="37" t="s">
        <v>141</v>
      </c>
      <c r="AJ182" s="38" t="s">
        <v>1518</v>
      </c>
      <c r="AK182" s="39" t="s">
        <v>141</v>
      </c>
      <c r="AL182" s="40" t="s">
        <v>141</v>
      </c>
      <c r="AM182" s="41" t="s">
        <v>170</v>
      </c>
      <c r="AN182" s="42" t="s">
        <v>2233</v>
      </c>
      <c r="AO182" s="43" t="s">
        <v>141</v>
      </c>
      <c r="AP182" s="44" t="s">
        <v>145</v>
      </c>
      <c r="AQ182" s="45" t="s">
        <v>141</v>
      </c>
      <c r="AR182" s="46" t="s">
        <v>141</v>
      </c>
      <c r="AS182" s="47" t="s">
        <v>141</v>
      </c>
      <c r="AT182" s="48" t="s">
        <v>141</v>
      </c>
      <c r="AU182" s="49" t="s">
        <v>141</v>
      </c>
      <c r="AV182" s="50" t="s">
        <v>141</v>
      </c>
      <c r="AW182" s="51" t="s">
        <v>141</v>
      </c>
      <c r="AX182" s="52" t="s">
        <v>141</v>
      </c>
      <c r="AY182" s="53" t="s">
        <v>141</v>
      </c>
      <c r="AZ182" s="54" t="s">
        <v>141</v>
      </c>
      <c r="BA182" s="55" t="s">
        <v>146</v>
      </c>
      <c r="BB182" s="56" t="s">
        <v>133</v>
      </c>
      <c r="BC182" s="57" t="s">
        <v>132</v>
      </c>
      <c r="BD182" s="58" t="s">
        <v>141</v>
      </c>
      <c r="BE182" s="59">
        <v>8</v>
      </c>
      <c r="BF182" s="60" t="s">
        <v>2234</v>
      </c>
      <c r="BG182" s="61">
        <v>8</v>
      </c>
      <c r="BH182" s="62" t="s">
        <v>141</v>
      </c>
      <c r="BI182" s="63" t="s">
        <v>141</v>
      </c>
      <c r="BJ182" s="64" t="s">
        <v>141</v>
      </c>
      <c r="BK182" s="65" t="s">
        <v>2235</v>
      </c>
      <c r="BL182" s="66" t="s">
        <v>2234</v>
      </c>
      <c r="BM182" s="67" t="s">
        <v>141</v>
      </c>
      <c r="BN182" s="68" t="s">
        <v>2236</v>
      </c>
      <c r="BO182" s="69" t="s">
        <v>141</v>
      </c>
      <c r="BP182" s="70" t="s">
        <v>141</v>
      </c>
      <c r="BQ182" s="71" t="s">
        <v>141</v>
      </c>
      <c r="BR182" s="72" t="s">
        <v>766</v>
      </c>
      <c r="BS182" s="73" t="s">
        <v>766</v>
      </c>
      <c r="BT182" s="74" t="s">
        <v>141</v>
      </c>
      <c r="BU182" s="75" t="s">
        <v>141</v>
      </c>
      <c r="BV182" s="76" t="s">
        <v>141</v>
      </c>
      <c r="BW182" s="77" t="s">
        <v>141</v>
      </c>
      <c r="BX182" s="78" t="s">
        <v>141</v>
      </c>
      <c r="BY182" s="79" t="s">
        <v>141</v>
      </c>
      <c r="BZ182" s="80" t="s">
        <v>141</v>
      </c>
      <c r="CA182" s="81" t="s">
        <v>141</v>
      </c>
      <c r="CB182" s="82" t="s">
        <v>141</v>
      </c>
      <c r="CC182" s="83" t="s">
        <v>141</v>
      </c>
      <c r="CD182" s="84" t="s">
        <v>141</v>
      </c>
      <c r="CE182" s="85" t="s">
        <v>141</v>
      </c>
      <c r="CF182" s="86" t="s">
        <v>141</v>
      </c>
      <c r="CG182" s="87" t="s">
        <v>141</v>
      </c>
      <c r="CH182" s="88" t="s">
        <v>141</v>
      </c>
      <c r="CI182" s="89" t="s">
        <v>141</v>
      </c>
      <c r="CJ182" s="90" t="s">
        <v>141</v>
      </c>
      <c r="CK182" s="91" t="s">
        <v>141</v>
      </c>
      <c r="CL182" s="92" t="s">
        <v>141</v>
      </c>
      <c r="CM182" s="93" t="s">
        <v>141</v>
      </c>
      <c r="CN182" s="94" t="s">
        <v>141</v>
      </c>
      <c r="CO182" s="95" t="s">
        <v>141</v>
      </c>
      <c r="CP182" s="96" t="s">
        <v>141</v>
      </c>
      <c r="CQ182" s="97" t="s">
        <v>141</v>
      </c>
      <c r="CR182" s="98" t="s">
        <v>141</v>
      </c>
      <c r="CS182" s="99" t="s">
        <v>141</v>
      </c>
      <c r="CT182" s="100" t="s">
        <v>141</v>
      </c>
      <c r="CU182" s="101" t="s">
        <v>141</v>
      </c>
      <c r="CV182" s="102" t="s">
        <v>141</v>
      </c>
      <c r="CW182" s="103" t="s">
        <v>141</v>
      </c>
      <c r="CX182" s="104">
        <v>13</v>
      </c>
      <c r="CY182" s="105" t="s">
        <v>150</v>
      </c>
      <c r="CZ182" s="106" t="s">
        <v>180</v>
      </c>
      <c r="DA182" s="107" t="s">
        <v>152</v>
      </c>
      <c r="DB182" s="108" t="s">
        <v>153</v>
      </c>
      <c r="DC182" s="109" t="s">
        <v>181</v>
      </c>
      <c r="DD182" s="110" t="s">
        <v>182</v>
      </c>
      <c r="DE182" s="111" t="s">
        <v>469</v>
      </c>
      <c r="DF182" s="112" t="s">
        <v>157</v>
      </c>
      <c r="DG182" s="113">
        <v>2012</v>
      </c>
      <c r="DH182" s="114" t="s">
        <v>767</v>
      </c>
      <c r="DI182" s="227" t="str">
        <f>HYPERLINK("https://my.pitchbook.com?c=96642-01T", "View company online")</f>
        <v>View company online</v>
      </c>
    </row>
    <row r="183" spans="1:113" x14ac:dyDescent="0.2">
      <c r="A183" s="115" t="s">
        <v>2237</v>
      </c>
      <c r="B183" s="116" t="s">
        <v>769</v>
      </c>
      <c r="C183" s="117" t="s">
        <v>770</v>
      </c>
      <c r="D183" s="118" t="s">
        <v>771</v>
      </c>
      <c r="E183" s="119" t="s">
        <v>772</v>
      </c>
      <c r="F183" s="120" t="s">
        <v>126</v>
      </c>
      <c r="G183" s="121" t="s">
        <v>127</v>
      </c>
      <c r="H183" s="122" t="s">
        <v>128</v>
      </c>
      <c r="I183" s="123" t="s">
        <v>129</v>
      </c>
      <c r="J183" s="124" t="s">
        <v>773</v>
      </c>
      <c r="K183" s="125" t="s">
        <v>774</v>
      </c>
      <c r="L183" s="126" t="s">
        <v>132</v>
      </c>
      <c r="M183" s="127" t="s">
        <v>133</v>
      </c>
      <c r="N183" s="128" t="s">
        <v>170</v>
      </c>
      <c r="O183" s="129" t="s">
        <v>775</v>
      </c>
      <c r="P183" s="130" t="s">
        <v>776</v>
      </c>
      <c r="Q183" s="131" t="s">
        <v>777</v>
      </c>
      <c r="R183" s="132" t="s">
        <v>778</v>
      </c>
      <c r="S183" s="133" t="s">
        <v>779</v>
      </c>
      <c r="T183" s="134" t="s">
        <v>141</v>
      </c>
      <c r="U183" s="135">
        <v>9</v>
      </c>
      <c r="V183" s="136" t="s">
        <v>2237</v>
      </c>
      <c r="W183" s="137">
        <v>44036</v>
      </c>
      <c r="X183" s="138">
        <v>44036</v>
      </c>
      <c r="Y183" s="139">
        <v>0.22</v>
      </c>
      <c r="Z183" s="140" t="s">
        <v>177</v>
      </c>
      <c r="AA183" s="141" t="s">
        <v>141</v>
      </c>
      <c r="AB183" s="142" t="s">
        <v>141</v>
      </c>
      <c r="AC183" s="143" t="s">
        <v>141</v>
      </c>
      <c r="AD183" s="144" t="s">
        <v>141</v>
      </c>
      <c r="AE183" s="145">
        <v>0.87</v>
      </c>
      <c r="AF183" s="146" t="s">
        <v>1550</v>
      </c>
      <c r="AG183" s="147" t="s">
        <v>141</v>
      </c>
      <c r="AH183" s="148" t="s">
        <v>141</v>
      </c>
      <c r="AI183" s="149" t="s">
        <v>141</v>
      </c>
      <c r="AJ183" s="150" t="s">
        <v>1518</v>
      </c>
      <c r="AK183" s="151" t="s">
        <v>141</v>
      </c>
      <c r="AL183" s="152" t="s">
        <v>141</v>
      </c>
      <c r="AM183" s="153" t="s">
        <v>170</v>
      </c>
      <c r="AN183" s="154" t="s">
        <v>2238</v>
      </c>
      <c r="AO183" s="155">
        <v>0.22</v>
      </c>
      <c r="AP183" s="156" t="s">
        <v>145</v>
      </c>
      <c r="AQ183" s="157" t="s">
        <v>141</v>
      </c>
      <c r="AR183" s="158" t="s">
        <v>141</v>
      </c>
      <c r="AS183" s="159" t="s">
        <v>141</v>
      </c>
      <c r="AT183" s="160" t="s">
        <v>141</v>
      </c>
      <c r="AU183" s="161" t="s">
        <v>141</v>
      </c>
      <c r="AV183" s="162" t="s">
        <v>141</v>
      </c>
      <c r="AW183" s="163" t="s">
        <v>141</v>
      </c>
      <c r="AX183" s="164" t="s">
        <v>141</v>
      </c>
      <c r="AY183" s="165" t="s">
        <v>141</v>
      </c>
      <c r="AZ183" s="166" t="s">
        <v>141</v>
      </c>
      <c r="BA183" s="167" t="s">
        <v>2239</v>
      </c>
      <c r="BB183" s="168" t="s">
        <v>133</v>
      </c>
      <c r="BC183" s="169" t="s">
        <v>2240</v>
      </c>
      <c r="BD183" s="170">
        <v>11</v>
      </c>
      <c r="BE183" s="171" t="s">
        <v>141</v>
      </c>
      <c r="BF183" s="172" t="s">
        <v>141</v>
      </c>
      <c r="BG183" s="173" t="s">
        <v>141</v>
      </c>
      <c r="BH183" s="174" t="s">
        <v>141</v>
      </c>
      <c r="BI183" s="175" t="s">
        <v>141</v>
      </c>
      <c r="BJ183" s="176" t="s">
        <v>141</v>
      </c>
      <c r="BK183" s="177" t="s">
        <v>141</v>
      </c>
      <c r="BL183" s="178" t="s">
        <v>141</v>
      </c>
      <c r="BM183" s="179" t="s">
        <v>141</v>
      </c>
      <c r="BN183" s="180" t="s">
        <v>141</v>
      </c>
      <c r="BO183" s="181" t="s">
        <v>141</v>
      </c>
      <c r="BP183" s="182" t="s">
        <v>141</v>
      </c>
      <c r="BQ183" s="183" t="s">
        <v>141</v>
      </c>
      <c r="BR183" s="184" t="s">
        <v>141</v>
      </c>
      <c r="BS183" s="185" t="s">
        <v>141</v>
      </c>
      <c r="BT183" s="186" t="s">
        <v>141</v>
      </c>
      <c r="BU183" s="187" t="s">
        <v>141</v>
      </c>
      <c r="BV183" s="188" t="s">
        <v>141</v>
      </c>
      <c r="BW183" s="189" t="s">
        <v>141</v>
      </c>
      <c r="BX183" s="190" t="s">
        <v>141</v>
      </c>
      <c r="BY183" s="191" t="s">
        <v>141</v>
      </c>
      <c r="BZ183" s="192" t="s">
        <v>141</v>
      </c>
      <c r="CA183" s="193" t="s">
        <v>141</v>
      </c>
      <c r="CB183" s="194" t="s">
        <v>141</v>
      </c>
      <c r="CC183" s="195" t="s">
        <v>141</v>
      </c>
      <c r="CD183" s="196" t="s">
        <v>141</v>
      </c>
      <c r="CE183" s="197" t="s">
        <v>141</v>
      </c>
      <c r="CF183" s="198" t="s">
        <v>141</v>
      </c>
      <c r="CG183" s="199" t="s">
        <v>141</v>
      </c>
      <c r="CH183" s="200" t="s">
        <v>141</v>
      </c>
      <c r="CI183" s="201" t="s">
        <v>141</v>
      </c>
      <c r="CJ183" s="202" t="s">
        <v>141</v>
      </c>
      <c r="CK183" s="203" t="s">
        <v>141</v>
      </c>
      <c r="CL183" s="204" t="s">
        <v>141</v>
      </c>
      <c r="CM183" s="205" t="s">
        <v>141</v>
      </c>
      <c r="CN183" s="206" t="s">
        <v>141</v>
      </c>
      <c r="CO183" s="207" t="s">
        <v>141</v>
      </c>
      <c r="CP183" s="208" t="s">
        <v>141</v>
      </c>
      <c r="CQ183" s="209" t="s">
        <v>141</v>
      </c>
      <c r="CR183" s="210" t="s">
        <v>141</v>
      </c>
      <c r="CS183" s="211" t="s">
        <v>141</v>
      </c>
      <c r="CT183" s="212" t="s">
        <v>141</v>
      </c>
      <c r="CU183" s="213" t="s">
        <v>141</v>
      </c>
      <c r="CV183" s="214" t="s">
        <v>141</v>
      </c>
      <c r="CW183" s="215" t="s">
        <v>141</v>
      </c>
      <c r="CX183" s="216">
        <v>11</v>
      </c>
      <c r="CY183" s="217" t="s">
        <v>150</v>
      </c>
      <c r="CZ183" s="218" t="s">
        <v>783</v>
      </c>
      <c r="DA183" s="219" t="s">
        <v>152</v>
      </c>
      <c r="DB183" s="220" t="s">
        <v>153</v>
      </c>
      <c r="DC183" s="221" t="s">
        <v>784</v>
      </c>
      <c r="DD183" s="222" t="s">
        <v>785</v>
      </c>
      <c r="DE183" s="223" t="s">
        <v>786</v>
      </c>
      <c r="DF183" s="224" t="s">
        <v>157</v>
      </c>
      <c r="DG183" s="225">
        <v>2017</v>
      </c>
      <c r="DH183" s="226" t="s">
        <v>787</v>
      </c>
      <c r="DI183" s="228" t="str">
        <f>HYPERLINK("https://my.pitchbook.com?c=140316-04T", "View company online")</f>
        <v>View company online</v>
      </c>
    </row>
    <row r="184" spans="1:113" x14ac:dyDescent="0.2">
      <c r="A184" s="3" t="s">
        <v>2241</v>
      </c>
      <c r="B184" s="4" t="s">
        <v>1383</v>
      </c>
      <c r="C184" s="5" t="s">
        <v>1384</v>
      </c>
      <c r="D184" s="6" t="s">
        <v>1385</v>
      </c>
      <c r="E184" s="7" t="s">
        <v>1386</v>
      </c>
      <c r="F184" s="8" t="s">
        <v>126</v>
      </c>
      <c r="G184" s="9" t="s">
        <v>127</v>
      </c>
      <c r="H184" s="10" t="s">
        <v>128</v>
      </c>
      <c r="I184" s="11" t="s">
        <v>129</v>
      </c>
      <c r="J184" s="12" t="s">
        <v>130</v>
      </c>
      <c r="K184" s="13" t="s">
        <v>1387</v>
      </c>
      <c r="L184" s="14" t="s">
        <v>132</v>
      </c>
      <c r="M184" s="15" t="s">
        <v>133</v>
      </c>
      <c r="N184" s="16" t="s">
        <v>134</v>
      </c>
      <c r="O184" s="17" t="s">
        <v>1388</v>
      </c>
      <c r="P184" s="18" t="s">
        <v>1389</v>
      </c>
      <c r="Q184" s="19" t="s">
        <v>1390</v>
      </c>
      <c r="R184" s="20" t="s">
        <v>1391</v>
      </c>
      <c r="S184" s="21" t="s">
        <v>1392</v>
      </c>
      <c r="T184" s="22" t="s">
        <v>1393</v>
      </c>
      <c r="U184" s="23">
        <v>2</v>
      </c>
      <c r="V184" s="24" t="s">
        <v>2241</v>
      </c>
      <c r="W184" s="25" t="s">
        <v>141</v>
      </c>
      <c r="X184" s="26">
        <v>42608</v>
      </c>
      <c r="Y184" s="27">
        <v>1.5</v>
      </c>
      <c r="Z184" s="28" t="s">
        <v>177</v>
      </c>
      <c r="AA184" s="29">
        <v>5</v>
      </c>
      <c r="AB184" s="30">
        <v>5.95</v>
      </c>
      <c r="AC184" s="31" t="s">
        <v>887</v>
      </c>
      <c r="AD184" s="32">
        <v>15.96</v>
      </c>
      <c r="AE184" s="33">
        <v>1.5</v>
      </c>
      <c r="AF184" s="34" t="s">
        <v>1571</v>
      </c>
      <c r="AG184" s="35" t="s">
        <v>141</v>
      </c>
      <c r="AH184" s="36">
        <v>6.6</v>
      </c>
      <c r="AI184" s="37" t="s">
        <v>141</v>
      </c>
      <c r="AJ184" s="38" t="s">
        <v>1518</v>
      </c>
      <c r="AK184" s="39" t="s">
        <v>141</v>
      </c>
      <c r="AL184" s="40" t="s">
        <v>141</v>
      </c>
      <c r="AM184" s="41" t="s">
        <v>170</v>
      </c>
      <c r="AN184" s="42" t="s">
        <v>2242</v>
      </c>
      <c r="AO184" s="43">
        <v>0.95</v>
      </c>
      <c r="AP184" s="44" t="s">
        <v>145</v>
      </c>
      <c r="AQ184" s="45" t="s">
        <v>141</v>
      </c>
      <c r="AR184" s="46" t="s">
        <v>141</v>
      </c>
      <c r="AS184" s="47" t="s">
        <v>143</v>
      </c>
      <c r="AT184" s="48" t="s">
        <v>141</v>
      </c>
      <c r="AU184" s="49" t="s">
        <v>141</v>
      </c>
      <c r="AV184" s="50">
        <v>0.55000000000000004</v>
      </c>
      <c r="AW184" s="51" t="s">
        <v>141</v>
      </c>
      <c r="AX184" s="52" t="s">
        <v>141</v>
      </c>
      <c r="AY184" s="53">
        <v>0.55000000000000004</v>
      </c>
      <c r="AZ184" s="54" t="s">
        <v>141</v>
      </c>
      <c r="BA184" s="55" t="s">
        <v>146</v>
      </c>
      <c r="BB184" s="56" t="s">
        <v>133</v>
      </c>
      <c r="BC184" s="57" t="s">
        <v>132</v>
      </c>
      <c r="BD184" s="58">
        <v>10</v>
      </c>
      <c r="BE184" s="59">
        <v>1</v>
      </c>
      <c r="BF184" s="60" t="s">
        <v>2243</v>
      </c>
      <c r="BG184" s="61">
        <v>1</v>
      </c>
      <c r="BH184" s="62" t="s">
        <v>141</v>
      </c>
      <c r="BI184" s="63" t="s">
        <v>141</v>
      </c>
      <c r="BJ184" s="64" t="s">
        <v>141</v>
      </c>
      <c r="BK184" s="65" t="s">
        <v>2244</v>
      </c>
      <c r="BL184" s="66" t="s">
        <v>2243</v>
      </c>
      <c r="BM184" s="67" t="s">
        <v>2243</v>
      </c>
      <c r="BN184" s="68" t="s">
        <v>141</v>
      </c>
      <c r="BO184" s="69" t="s">
        <v>141</v>
      </c>
      <c r="BP184" s="70" t="s">
        <v>141</v>
      </c>
      <c r="BQ184" s="71" t="s">
        <v>141</v>
      </c>
      <c r="BR184" s="72" t="s">
        <v>141</v>
      </c>
      <c r="BS184" s="73" t="s">
        <v>141</v>
      </c>
      <c r="BT184" s="74" t="s">
        <v>141</v>
      </c>
      <c r="BU184" s="75" t="s">
        <v>141</v>
      </c>
      <c r="BV184" s="76" t="s">
        <v>141</v>
      </c>
      <c r="BW184" s="77" t="s">
        <v>141</v>
      </c>
      <c r="BX184" s="78" t="s">
        <v>141</v>
      </c>
      <c r="BY184" s="79" t="s">
        <v>141</v>
      </c>
      <c r="BZ184" s="80" t="s">
        <v>141</v>
      </c>
      <c r="CA184" s="81" t="s">
        <v>141</v>
      </c>
      <c r="CB184" s="82" t="s">
        <v>141</v>
      </c>
      <c r="CC184" s="83" t="s">
        <v>141</v>
      </c>
      <c r="CD184" s="84" t="s">
        <v>141</v>
      </c>
      <c r="CE184" s="85" t="s">
        <v>141</v>
      </c>
      <c r="CF184" s="86" t="s">
        <v>141</v>
      </c>
      <c r="CG184" s="87" t="s">
        <v>141</v>
      </c>
      <c r="CH184" s="88" t="s">
        <v>141</v>
      </c>
      <c r="CI184" s="89" t="s">
        <v>141</v>
      </c>
      <c r="CJ184" s="90" t="s">
        <v>141</v>
      </c>
      <c r="CK184" s="91" t="s">
        <v>141</v>
      </c>
      <c r="CL184" s="92" t="s">
        <v>141</v>
      </c>
      <c r="CM184" s="93" t="s">
        <v>141</v>
      </c>
      <c r="CN184" s="94" t="s">
        <v>141</v>
      </c>
      <c r="CO184" s="95" t="s">
        <v>141</v>
      </c>
      <c r="CP184" s="96" t="s">
        <v>141</v>
      </c>
      <c r="CQ184" s="97">
        <v>0.57999999999999996</v>
      </c>
      <c r="CR184" s="98" t="s">
        <v>141</v>
      </c>
      <c r="CS184" s="99" t="s">
        <v>141</v>
      </c>
      <c r="CT184" s="100" t="s">
        <v>141</v>
      </c>
      <c r="CU184" s="101" t="s">
        <v>141</v>
      </c>
      <c r="CV184" s="102" t="s">
        <v>141</v>
      </c>
      <c r="CW184" s="103" t="s">
        <v>141</v>
      </c>
      <c r="CX184" s="104">
        <v>20</v>
      </c>
      <c r="CY184" s="105" t="s">
        <v>150</v>
      </c>
      <c r="CZ184" s="106" t="s">
        <v>1395</v>
      </c>
      <c r="DA184" s="107" t="s">
        <v>152</v>
      </c>
      <c r="DB184" s="108" t="s">
        <v>153</v>
      </c>
      <c r="DC184" s="109" t="s">
        <v>1396</v>
      </c>
      <c r="DD184" s="110" t="s">
        <v>201</v>
      </c>
      <c r="DE184" s="111" t="s">
        <v>1397</v>
      </c>
      <c r="DF184" s="112" t="s">
        <v>157</v>
      </c>
      <c r="DG184" s="113">
        <v>2013</v>
      </c>
      <c r="DH184" s="114" t="s">
        <v>1398</v>
      </c>
      <c r="DI184" s="227" t="str">
        <f>HYPERLINK("https://my.pitchbook.com?c=74895-85T", "View company online")</f>
        <v>View company online</v>
      </c>
    </row>
    <row r="185" spans="1:113" x14ac:dyDescent="0.2">
      <c r="A185" s="115" t="s">
        <v>2245</v>
      </c>
      <c r="B185" s="116" t="s">
        <v>795</v>
      </c>
      <c r="C185" s="117" t="s">
        <v>796</v>
      </c>
      <c r="D185" s="118" t="s">
        <v>797</v>
      </c>
      <c r="E185" s="119" t="s">
        <v>798</v>
      </c>
      <c r="F185" s="120" t="s">
        <v>126</v>
      </c>
      <c r="G185" s="121" t="s">
        <v>127</v>
      </c>
      <c r="H185" s="122" t="s">
        <v>128</v>
      </c>
      <c r="I185" s="123" t="s">
        <v>129</v>
      </c>
      <c r="J185" s="124" t="s">
        <v>141</v>
      </c>
      <c r="K185" s="125" t="s">
        <v>799</v>
      </c>
      <c r="L185" s="126" t="s">
        <v>132</v>
      </c>
      <c r="M185" s="127" t="s">
        <v>133</v>
      </c>
      <c r="N185" s="128" t="s">
        <v>134</v>
      </c>
      <c r="O185" s="129" t="s">
        <v>800</v>
      </c>
      <c r="P185" s="130" t="s">
        <v>801</v>
      </c>
      <c r="Q185" s="131" t="s">
        <v>802</v>
      </c>
      <c r="R185" s="132" t="s">
        <v>803</v>
      </c>
      <c r="S185" s="133" t="s">
        <v>804</v>
      </c>
      <c r="T185" s="134" t="s">
        <v>805</v>
      </c>
      <c r="U185" s="135">
        <v>2</v>
      </c>
      <c r="V185" s="136" t="s">
        <v>2245</v>
      </c>
      <c r="W185" s="137">
        <v>41851</v>
      </c>
      <c r="X185" s="138">
        <v>41904</v>
      </c>
      <c r="Y185" s="139">
        <v>27.6</v>
      </c>
      <c r="Z185" s="140" t="s">
        <v>177</v>
      </c>
      <c r="AA185" s="141">
        <v>52.4</v>
      </c>
      <c r="AB185" s="142">
        <v>80</v>
      </c>
      <c r="AC185" s="143" t="s">
        <v>177</v>
      </c>
      <c r="AD185" s="144">
        <v>34.5</v>
      </c>
      <c r="AE185" s="145">
        <v>33.85</v>
      </c>
      <c r="AF185" s="146" t="s">
        <v>1582</v>
      </c>
      <c r="AG185" s="147" t="s">
        <v>1188</v>
      </c>
      <c r="AH185" s="148">
        <v>1.59</v>
      </c>
      <c r="AI185" s="149" t="s">
        <v>1517</v>
      </c>
      <c r="AJ185" s="150" t="s">
        <v>1518</v>
      </c>
      <c r="AK185" s="151" t="s">
        <v>1517</v>
      </c>
      <c r="AL185" s="152" t="s">
        <v>141</v>
      </c>
      <c r="AM185" s="153" t="s">
        <v>170</v>
      </c>
      <c r="AN185" s="154" t="s">
        <v>2246</v>
      </c>
      <c r="AO185" s="155">
        <v>27.6</v>
      </c>
      <c r="AP185" s="156" t="s">
        <v>145</v>
      </c>
      <c r="AQ185" s="157" t="s">
        <v>141</v>
      </c>
      <c r="AR185" s="158" t="s">
        <v>141</v>
      </c>
      <c r="AS185" s="159" t="s">
        <v>141</v>
      </c>
      <c r="AT185" s="160" t="s">
        <v>141</v>
      </c>
      <c r="AU185" s="161" t="s">
        <v>141</v>
      </c>
      <c r="AV185" s="162" t="s">
        <v>141</v>
      </c>
      <c r="AW185" s="163" t="s">
        <v>141</v>
      </c>
      <c r="AX185" s="164" t="s">
        <v>141</v>
      </c>
      <c r="AY185" s="165" t="s">
        <v>141</v>
      </c>
      <c r="AZ185" s="166" t="s">
        <v>141</v>
      </c>
      <c r="BA185" s="167" t="s">
        <v>146</v>
      </c>
      <c r="BB185" s="168" t="s">
        <v>133</v>
      </c>
      <c r="BC185" s="169" t="s">
        <v>132</v>
      </c>
      <c r="BD185" s="170" t="s">
        <v>141</v>
      </c>
      <c r="BE185" s="171">
        <v>1</v>
      </c>
      <c r="BF185" s="172" t="s">
        <v>2247</v>
      </c>
      <c r="BG185" s="173">
        <v>1</v>
      </c>
      <c r="BH185" s="174" t="s">
        <v>141</v>
      </c>
      <c r="BI185" s="175" t="s">
        <v>141</v>
      </c>
      <c r="BJ185" s="176" t="s">
        <v>141</v>
      </c>
      <c r="BK185" s="177" t="s">
        <v>2248</v>
      </c>
      <c r="BL185" s="178" t="s">
        <v>2249</v>
      </c>
      <c r="BM185" s="179" t="s">
        <v>2249</v>
      </c>
      <c r="BN185" s="180" t="s">
        <v>141</v>
      </c>
      <c r="BO185" s="181" t="s">
        <v>141</v>
      </c>
      <c r="BP185" s="182" t="s">
        <v>141</v>
      </c>
      <c r="BQ185" s="183" t="s">
        <v>141</v>
      </c>
      <c r="BR185" s="184" t="s">
        <v>2250</v>
      </c>
      <c r="BS185" s="185" t="s">
        <v>2250</v>
      </c>
      <c r="BT185" s="186" t="s">
        <v>141</v>
      </c>
      <c r="BU185" s="187" t="s">
        <v>141</v>
      </c>
      <c r="BV185" s="188" t="s">
        <v>141</v>
      </c>
      <c r="BW185" s="189" t="s">
        <v>141</v>
      </c>
      <c r="BX185" s="190" t="s">
        <v>141</v>
      </c>
      <c r="BY185" s="191" t="s">
        <v>141</v>
      </c>
      <c r="BZ185" s="192" t="s">
        <v>141</v>
      </c>
      <c r="CA185" s="193" t="s">
        <v>141</v>
      </c>
      <c r="CB185" s="194" t="s">
        <v>141</v>
      </c>
      <c r="CC185" s="195" t="s">
        <v>141</v>
      </c>
      <c r="CD185" s="196" t="s">
        <v>141</v>
      </c>
      <c r="CE185" s="197" t="s">
        <v>141</v>
      </c>
      <c r="CF185" s="198" t="s">
        <v>141</v>
      </c>
      <c r="CG185" s="199" t="s">
        <v>141</v>
      </c>
      <c r="CH185" s="200" t="s">
        <v>141</v>
      </c>
      <c r="CI185" s="201" t="s">
        <v>141</v>
      </c>
      <c r="CJ185" s="202" t="s">
        <v>141</v>
      </c>
      <c r="CK185" s="203" t="s">
        <v>141</v>
      </c>
      <c r="CL185" s="204" t="s">
        <v>141</v>
      </c>
      <c r="CM185" s="205" t="s">
        <v>141</v>
      </c>
      <c r="CN185" s="206" t="s">
        <v>141</v>
      </c>
      <c r="CO185" s="207" t="s">
        <v>141</v>
      </c>
      <c r="CP185" s="208" t="s">
        <v>141</v>
      </c>
      <c r="CQ185" s="209" t="s">
        <v>141</v>
      </c>
      <c r="CR185" s="210" t="s">
        <v>141</v>
      </c>
      <c r="CS185" s="211" t="s">
        <v>141</v>
      </c>
      <c r="CT185" s="212" t="s">
        <v>141</v>
      </c>
      <c r="CU185" s="213" t="s">
        <v>141</v>
      </c>
      <c r="CV185" s="214" t="s">
        <v>141</v>
      </c>
      <c r="CW185" s="215" t="s">
        <v>141</v>
      </c>
      <c r="CX185" s="216">
        <v>900</v>
      </c>
      <c r="CY185" s="217" t="s">
        <v>150</v>
      </c>
      <c r="CZ185" s="218" t="s">
        <v>811</v>
      </c>
      <c r="DA185" s="219" t="s">
        <v>152</v>
      </c>
      <c r="DB185" s="220" t="s">
        <v>153</v>
      </c>
      <c r="DC185" s="221" t="s">
        <v>812</v>
      </c>
      <c r="DD185" s="222" t="s">
        <v>618</v>
      </c>
      <c r="DE185" s="223" t="s">
        <v>813</v>
      </c>
      <c r="DF185" s="224" t="s">
        <v>157</v>
      </c>
      <c r="DG185" s="225">
        <v>2013</v>
      </c>
      <c r="DH185" s="226" t="s">
        <v>814</v>
      </c>
      <c r="DI185" s="228" t="str">
        <f>HYPERLINK("https://my.pitchbook.com?c=36849-43T", "View company online")</f>
        <v>View company online</v>
      </c>
    </row>
    <row r="186" spans="1:113" x14ac:dyDescent="0.2">
      <c r="A186" s="3" t="s">
        <v>2251</v>
      </c>
      <c r="B186" s="4" t="s">
        <v>795</v>
      </c>
      <c r="C186" s="5" t="s">
        <v>796</v>
      </c>
      <c r="D186" s="6" t="s">
        <v>797</v>
      </c>
      <c r="E186" s="7" t="s">
        <v>798</v>
      </c>
      <c r="F186" s="8" t="s">
        <v>126</v>
      </c>
      <c r="G186" s="9" t="s">
        <v>127</v>
      </c>
      <c r="H186" s="10" t="s">
        <v>128</v>
      </c>
      <c r="I186" s="11" t="s">
        <v>129</v>
      </c>
      <c r="J186" s="12" t="s">
        <v>141</v>
      </c>
      <c r="K186" s="13" t="s">
        <v>799</v>
      </c>
      <c r="L186" s="14" t="s">
        <v>132</v>
      </c>
      <c r="M186" s="15" t="s">
        <v>133</v>
      </c>
      <c r="N186" s="16" t="s">
        <v>134</v>
      </c>
      <c r="O186" s="17" t="s">
        <v>800</v>
      </c>
      <c r="P186" s="18" t="s">
        <v>801</v>
      </c>
      <c r="Q186" s="19" t="s">
        <v>802</v>
      </c>
      <c r="R186" s="20" t="s">
        <v>803</v>
      </c>
      <c r="S186" s="21" t="s">
        <v>804</v>
      </c>
      <c r="T186" s="22" t="s">
        <v>805</v>
      </c>
      <c r="U186" s="23">
        <v>3</v>
      </c>
      <c r="V186" s="24" t="s">
        <v>2251</v>
      </c>
      <c r="W186" s="25" t="s">
        <v>141</v>
      </c>
      <c r="X186" s="26">
        <v>42024</v>
      </c>
      <c r="Y186" s="27">
        <v>65</v>
      </c>
      <c r="Z186" s="28" t="s">
        <v>177</v>
      </c>
      <c r="AA186" s="29">
        <v>435</v>
      </c>
      <c r="AB186" s="30">
        <v>500</v>
      </c>
      <c r="AC186" s="31" t="s">
        <v>177</v>
      </c>
      <c r="AD186" s="32">
        <v>13</v>
      </c>
      <c r="AE186" s="33">
        <v>98.85</v>
      </c>
      <c r="AF186" s="34" t="s">
        <v>1516</v>
      </c>
      <c r="AG186" s="35" t="s">
        <v>1188</v>
      </c>
      <c r="AH186" s="36">
        <v>8.66</v>
      </c>
      <c r="AI186" s="37" t="s">
        <v>1551</v>
      </c>
      <c r="AJ186" s="38" t="s">
        <v>1518</v>
      </c>
      <c r="AK186" s="39" t="s">
        <v>1551</v>
      </c>
      <c r="AL186" s="40" t="s">
        <v>141</v>
      </c>
      <c r="AM186" s="41" t="s">
        <v>170</v>
      </c>
      <c r="AN186" s="42" t="s">
        <v>2252</v>
      </c>
      <c r="AO186" s="43">
        <v>65</v>
      </c>
      <c r="AP186" s="44" t="s">
        <v>145</v>
      </c>
      <c r="AQ186" s="45" t="s">
        <v>141</v>
      </c>
      <c r="AR186" s="46" t="s">
        <v>141</v>
      </c>
      <c r="AS186" s="47" t="s">
        <v>141</v>
      </c>
      <c r="AT186" s="48" t="s">
        <v>141</v>
      </c>
      <c r="AU186" s="49" t="s">
        <v>141</v>
      </c>
      <c r="AV186" s="50" t="s">
        <v>141</v>
      </c>
      <c r="AW186" s="51" t="s">
        <v>141</v>
      </c>
      <c r="AX186" s="52" t="s">
        <v>141</v>
      </c>
      <c r="AY186" s="53" t="s">
        <v>141</v>
      </c>
      <c r="AZ186" s="54" t="s">
        <v>141</v>
      </c>
      <c r="BA186" s="55" t="s">
        <v>146</v>
      </c>
      <c r="BB186" s="56" t="s">
        <v>133</v>
      </c>
      <c r="BC186" s="57" t="s">
        <v>132</v>
      </c>
      <c r="BD186" s="58">
        <v>401</v>
      </c>
      <c r="BE186" s="59">
        <v>12</v>
      </c>
      <c r="BF186" s="60" t="s">
        <v>2253</v>
      </c>
      <c r="BG186" s="61">
        <v>11</v>
      </c>
      <c r="BH186" s="62" t="s">
        <v>2247</v>
      </c>
      <c r="BI186" s="63">
        <v>1</v>
      </c>
      <c r="BJ186" s="64" t="s">
        <v>141</v>
      </c>
      <c r="BK186" s="65" t="s">
        <v>2254</v>
      </c>
      <c r="BL186" s="66" t="s">
        <v>2255</v>
      </c>
      <c r="BM186" s="67" t="s">
        <v>2256</v>
      </c>
      <c r="BN186" s="68" t="s">
        <v>2257</v>
      </c>
      <c r="BO186" s="69" t="s">
        <v>141</v>
      </c>
      <c r="BP186" s="70" t="s">
        <v>141</v>
      </c>
      <c r="BQ186" s="71" t="s">
        <v>141</v>
      </c>
      <c r="BR186" s="72" t="s">
        <v>810</v>
      </c>
      <c r="BS186" s="73" t="s">
        <v>810</v>
      </c>
      <c r="BT186" s="74" t="s">
        <v>141</v>
      </c>
      <c r="BU186" s="75" t="s">
        <v>141</v>
      </c>
      <c r="BV186" s="76" t="s">
        <v>141</v>
      </c>
      <c r="BW186" s="77" t="s">
        <v>141</v>
      </c>
      <c r="BX186" s="78" t="s">
        <v>141</v>
      </c>
      <c r="BY186" s="79" t="s">
        <v>141</v>
      </c>
      <c r="BZ186" s="80" t="s">
        <v>141</v>
      </c>
      <c r="CA186" s="81" t="s">
        <v>141</v>
      </c>
      <c r="CB186" s="82" t="s">
        <v>141</v>
      </c>
      <c r="CC186" s="83" t="s">
        <v>141</v>
      </c>
      <c r="CD186" s="84" t="s">
        <v>141</v>
      </c>
      <c r="CE186" s="85" t="s">
        <v>141</v>
      </c>
      <c r="CF186" s="86" t="s">
        <v>141</v>
      </c>
      <c r="CG186" s="87" t="s">
        <v>141</v>
      </c>
      <c r="CH186" s="88" t="s">
        <v>141</v>
      </c>
      <c r="CI186" s="89" t="s">
        <v>141</v>
      </c>
      <c r="CJ186" s="90" t="s">
        <v>141</v>
      </c>
      <c r="CK186" s="91" t="s">
        <v>141</v>
      </c>
      <c r="CL186" s="92" t="s">
        <v>141</v>
      </c>
      <c r="CM186" s="93" t="s">
        <v>141</v>
      </c>
      <c r="CN186" s="94" t="s">
        <v>141</v>
      </c>
      <c r="CO186" s="95" t="s">
        <v>141</v>
      </c>
      <c r="CP186" s="96" t="s">
        <v>141</v>
      </c>
      <c r="CQ186" s="97" t="s">
        <v>141</v>
      </c>
      <c r="CR186" s="98" t="s">
        <v>141</v>
      </c>
      <c r="CS186" s="99" t="s">
        <v>141</v>
      </c>
      <c r="CT186" s="100" t="s">
        <v>141</v>
      </c>
      <c r="CU186" s="101" t="s">
        <v>141</v>
      </c>
      <c r="CV186" s="102" t="s">
        <v>141</v>
      </c>
      <c r="CW186" s="103" t="s">
        <v>141</v>
      </c>
      <c r="CX186" s="104">
        <v>900</v>
      </c>
      <c r="CY186" s="105" t="s">
        <v>150</v>
      </c>
      <c r="CZ186" s="106" t="s">
        <v>811</v>
      </c>
      <c r="DA186" s="107" t="s">
        <v>152</v>
      </c>
      <c r="DB186" s="108" t="s">
        <v>153</v>
      </c>
      <c r="DC186" s="109" t="s">
        <v>812</v>
      </c>
      <c r="DD186" s="110" t="s">
        <v>618</v>
      </c>
      <c r="DE186" s="111" t="s">
        <v>813</v>
      </c>
      <c r="DF186" s="112" t="s">
        <v>157</v>
      </c>
      <c r="DG186" s="113">
        <v>2013</v>
      </c>
      <c r="DH186" s="114" t="s">
        <v>814</v>
      </c>
      <c r="DI186" s="227" t="str">
        <f>HYPERLINK("https://my.pitchbook.com?c=44655-85T", "View company online")</f>
        <v>View company online</v>
      </c>
    </row>
    <row r="187" spans="1:113" x14ac:dyDescent="0.2">
      <c r="A187" s="115" t="s">
        <v>2258</v>
      </c>
      <c r="B187" s="116" t="s">
        <v>816</v>
      </c>
      <c r="C187" s="117" t="s">
        <v>817</v>
      </c>
      <c r="D187" s="118" t="s">
        <v>818</v>
      </c>
      <c r="E187" s="119" t="s">
        <v>819</v>
      </c>
      <c r="F187" s="120" t="s">
        <v>126</v>
      </c>
      <c r="G187" s="121" t="s">
        <v>127</v>
      </c>
      <c r="H187" s="122" t="s">
        <v>128</v>
      </c>
      <c r="I187" s="123" t="s">
        <v>820</v>
      </c>
      <c r="J187" s="124" t="s">
        <v>821</v>
      </c>
      <c r="K187" s="125" t="s">
        <v>822</v>
      </c>
      <c r="L187" s="126" t="s">
        <v>740</v>
      </c>
      <c r="M187" s="127" t="s">
        <v>133</v>
      </c>
      <c r="N187" s="128" t="s">
        <v>823</v>
      </c>
      <c r="O187" s="129" t="s">
        <v>824</v>
      </c>
      <c r="P187" s="130" t="s">
        <v>825</v>
      </c>
      <c r="Q187" s="131" t="s">
        <v>141</v>
      </c>
      <c r="R187" s="132" t="s">
        <v>826</v>
      </c>
      <c r="S187" s="133" t="s">
        <v>827</v>
      </c>
      <c r="T187" s="134" t="s">
        <v>141</v>
      </c>
      <c r="U187" s="135">
        <v>3</v>
      </c>
      <c r="V187" s="136" t="s">
        <v>2258</v>
      </c>
      <c r="W187" s="137" t="s">
        <v>141</v>
      </c>
      <c r="X187" s="138">
        <v>41352</v>
      </c>
      <c r="Y187" s="139">
        <v>8.4499999999999993</v>
      </c>
      <c r="Z187" s="140" t="s">
        <v>177</v>
      </c>
      <c r="AA187" s="141">
        <v>7.05</v>
      </c>
      <c r="AB187" s="142">
        <v>15.5</v>
      </c>
      <c r="AC187" s="143" t="s">
        <v>177</v>
      </c>
      <c r="AD187" s="144">
        <v>54.52</v>
      </c>
      <c r="AE187" s="145">
        <v>10.26</v>
      </c>
      <c r="AF187" s="146" t="s">
        <v>1582</v>
      </c>
      <c r="AG187" s="147" t="s">
        <v>141</v>
      </c>
      <c r="AH187" s="148">
        <v>0.4</v>
      </c>
      <c r="AI187" s="149" t="s">
        <v>1517</v>
      </c>
      <c r="AJ187" s="150" t="s">
        <v>1518</v>
      </c>
      <c r="AK187" s="151" t="s">
        <v>1517</v>
      </c>
      <c r="AL187" s="152" t="s">
        <v>141</v>
      </c>
      <c r="AM187" s="153" t="s">
        <v>170</v>
      </c>
      <c r="AN187" s="154" t="s">
        <v>2259</v>
      </c>
      <c r="AO187" s="155">
        <v>8.4499999999999993</v>
      </c>
      <c r="AP187" s="156" t="s">
        <v>145</v>
      </c>
      <c r="AQ187" s="157" t="s">
        <v>141</v>
      </c>
      <c r="AR187" s="158" t="s">
        <v>141</v>
      </c>
      <c r="AS187" s="159" t="s">
        <v>141</v>
      </c>
      <c r="AT187" s="160" t="s">
        <v>141</v>
      </c>
      <c r="AU187" s="161" t="s">
        <v>141</v>
      </c>
      <c r="AV187" s="162" t="s">
        <v>141</v>
      </c>
      <c r="AW187" s="163" t="s">
        <v>141</v>
      </c>
      <c r="AX187" s="164" t="s">
        <v>141</v>
      </c>
      <c r="AY187" s="165" t="s">
        <v>141</v>
      </c>
      <c r="AZ187" s="166" t="s">
        <v>141</v>
      </c>
      <c r="BA187" s="167" t="s">
        <v>146</v>
      </c>
      <c r="BB187" s="168" t="s">
        <v>263</v>
      </c>
      <c r="BC187" s="169" t="s">
        <v>132</v>
      </c>
      <c r="BD187" s="170" t="s">
        <v>141</v>
      </c>
      <c r="BE187" s="171">
        <v>11</v>
      </c>
      <c r="BF187" s="172" t="s">
        <v>2260</v>
      </c>
      <c r="BG187" s="173">
        <v>5</v>
      </c>
      <c r="BH187" s="174" t="s">
        <v>2261</v>
      </c>
      <c r="BI187" s="175">
        <v>6</v>
      </c>
      <c r="BJ187" s="176" t="s">
        <v>141</v>
      </c>
      <c r="BK187" s="177" t="s">
        <v>2262</v>
      </c>
      <c r="BL187" s="178" t="s">
        <v>2263</v>
      </c>
      <c r="BM187" s="179" t="s">
        <v>2264</v>
      </c>
      <c r="BN187" s="180" t="s">
        <v>2265</v>
      </c>
      <c r="BO187" s="181" t="s">
        <v>141</v>
      </c>
      <c r="BP187" s="182" t="s">
        <v>141</v>
      </c>
      <c r="BQ187" s="183" t="s">
        <v>141</v>
      </c>
      <c r="BR187" s="184" t="s">
        <v>221</v>
      </c>
      <c r="BS187" s="185" t="s">
        <v>221</v>
      </c>
      <c r="BT187" s="186" t="s">
        <v>141</v>
      </c>
      <c r="BU187" s="187" t="s">
        <v>141</v>
      </c>
      <c r="BV187" s="188" t="s">
        <v>141</v>
      </c>
      <c r="BW187" s="189" t="s">
        <v>141</v>
      </c>
      <c r="BX187" s="190" t="s">
        <v>141</v>
      </c>
      <c r="BY187" s="191" t="s">
        <v>141</v>
      </c>
      <c r="BZ187" s="192" t="s">
        <v>141</v>
      </c>
      <c r="CA187" s="193" t="s">
        <v>141</v>
      </c>
      <c r="CB187" s="194" t="s">
        <v>141</v>
      </c>
      <c r="CC187" s="195" t="s">
        <v>141</v>
      </c>
      <c r="CD187" s="196" t="s">
        <v>141</v>
      </c>
      <c r="CE187" s="197" t="s">
        <v>141</v>
      </c>
      <c r="CF187" s="198" t="s">
        <v>141</v>
      </c>
      <c r="CG187" s="199" t="s">
        <v>141</v>
      </c>
      <c r="CH187" s="200" t="s">
        <v>141</v>
      </c>
      <c r="CI187" s="201" t="s">
        <v>141</v>
      </c>
      <c r="CJ187" s="202" t="s">
        <v>141</v>
      </c>
      <c r="CK187" s="203" t="s">
        <v>141</v>
      </c>
      <c r="CL187" s="204" t="s">
        <v>141</v>
      </c>
      <c r="CM187" s="205" t="s">
        <v>141</v>
      </c>
      <c r="CN187" s="206" t="s">
        <v>141</v>
      </c>
      <c r="CO187" s="207" t="s">
        <v>141</v>
      </c>
      <c r="CP187" s="208" t="s">
        <v>141</v>
      </c>
      <c r="CQ187" s="209" t="s">
        <v>141</v>
      </c>
      <c r="CR187" s="210" t="s">
        <v>141</v>
      </c>
      <c r="CS187" s="211" t="s">
        <v>141</v>
      </c>
      <c r="CT187" s="212" t="s">
        <v>141</v>
      </c>
      <c r="CU187" s="213" t="s">
        <v>141</v>
      </c>
      <c r="CV187" s="214" t="s">
        <v>141</v>
      </c>
      <c r="CW187" s="215" t="s">
        <v>141</v>
      </c>
      <c r="CX187" s="216">
        <v>1000</v>
      </c>
      <c r="CY187" s="217" t="s">
        <v>150</v>
      </c>
      <c r="CZ187" s="218" t="s">
        <v>180</v>
      </c>
      <c r="DA187" s="219" t="s">
        <v>152</v>
      </c>
      <c r="DB187" s="220" t="s">
        <v>153</v>
      </c>
      <c r="DC187" s="221" t="s">
        <v>181</v>
      </c>
      <c r="DD187" s="222" t="s">
        <v>182</v>
      </c>
      <c r="DE187" s="223" t="s">
        <v>469</v>
      </c>
      <c r="DF187" s="224" t="s">
        <v>157</v>
      </c>
      <c r="DG187" s="225">
        <v>2010</v>
      </c>
      <c r="DH187" s="226" t="s">
        <v>832</v>
      </c>
      <c r="DI187" s="228" t="str">
        <f>HYPERLINK("https://my.pitchbook.com?c=25054-75T", "View company online")</f>
        <v>View company online</v>
      </c>
    </row>
    <row r="188" spans="1:113" x14ac:dyDescent="0.2">
      <c r="A188" s="3" t="s">
        <v>2266</v>
      </c>
      <c r="B188" s="4" t="s">
        <v>816</v>
      </c>
      <c r="C188" s="5" t="s">
        <v>817</v>
      </c>
      <c r="D188" s="6" t="s">
        <v>818</v>
      </c>
      <c r="E188" s="7" t="s">
        <v>819</v>
      </c>
      <c r="F188" s="8" t="s">
        <v>126</v>
      </c>
      <c r="G188" s="9" t="s">
        <v>127</v>
      </c>
      <c r="H188" s="10" t="s">
        <v>128</v>
      </c>
      <c r="I188" s="11" t="s">
        <v>820</v>
      </c>
      <c r="J188" s="12" t="s">
        <v>821</v>
      </c>
      <c r="K188" s="13" t="s">
        <v>822</v>
      </c>
      <c r="L188" s="14" t="s">
        <v>740</v>
      </c>
      <c r="M188" s="15" t="s">
        <v>133</v>
      </c>
      <c r="N188" s="16" t="s">
        <v>823</v>
      </c>
      <c r="O188" s="17" t="s">
        <v>824</v>
      </c>
      <c r="P188" s="18" t="s">
        <v>825</v>
      </c>
      <c r="Q188" s="19" t="s">
        <v>141</v>
      </c>
      <c r="R188" s="20" t="s">
        <v>826</v>
      </c>
      <c r="S188" s="21" t="s">
        <v>827</v>
      </c>
      <c r="T188" s="22" t="s">
        <v>141</v>
      </c>
      <c r="U188" s="23">
        <v>4</v>
      </c>
      <c r="V188" s="24" t="s">
        <v>2266</v>
      </c>
      <c r="W188" s="25">
        <v>41563</v>
      </c>
      <c r="X188" s="26">
        <v>41688</v>
      </c>
      <c r="Y188" s="27">
        <v>16</v>
      </c>
      <c r="Z188" s="28" t="s">
        <v>177</v>
      </c>
      <c r="AA188" s="29">
        <v>56.97</v>
      </c>
      <c r="AB188" s="30">
        <v>72.97</v>
      </c>
      <c r="AC188" s="31" t="s">
        <v>177</v>
      </c>
      <c r="AD188" s="32">
        <v>21.93</v>
      </c>
      <c r="AE188" s="33">
        <v>26.26</v>
      </c>
      <c r="AF188" s="34" t="s">
        <v>1516</v>
      </c>
      <c r="AG188" s="35" t="s">
        <v>1188</v>
      </c>
      <c r="AH188" s="36">
        <v>1.42</v>
      </c>
      <c r="AI188" s="37" t="s">
        <v>1551</v>
      </c>
      <c r="AJ188" s="38" t="s">
        <v>1518</v>
      </c>
      <c r="AK188" s="39" t="s">
        <v>1551</v>
      </c>
      <c r="AL188" s="40" t="s">
        <v>141</v>
      </c>
      <c r="AM188" s="41" t="s">
        <v>170</v>
      </c>
      <c r="AN188" s="42" t="s">
        <v>2267</v>
      </c>
      <c r="AO188" s="43">
        <v>16</v>
      </c>
      <c r="AP188" s="44" t="s">
        <v>145</v>
      </c>
      <c r="AQ188" s="45" t="s">
        <v>141</v>
      </c>
      <c r="AR188" s="46" t="s">
        <v>141</v>
      </c>
      <c r="AS188" s="47" t="s">
        <v>141</v>
      </c>
      <c r="AT188" s="48" t="s">
        <v>141</v>
      </c>
      <c r="AU188" s="49" t="s">
        <v>141</v>
      </c>
      <c r="AV188" s="50" t="s">
        <v>141</v>
      </c>
      <c r="AW188" s="51" t="s">
        <v>141</v>
      </c>
      <c r="AX188" s="52" t="s">
        <v>141</v>
      </c>
      <c r="AY188" s="53" t="s">
        <v>141</v>
      </c>
      <c r="AZ188" s="54" t="s">
        <v>141</v>
      </c>
      <c r="BA188" s="55" t="s">
        <v>146</v>
      </c>
      <c r="BB188" s="56" t="s">
        <v>133</v>
      </c>
      <c r="BC188" s="57" t="s">
        <v>132</v>
      </c>
      <c r="BD188" s="58">
        <v>56</v>
      </c>
      <c r="BE188" s="59">
        <v>14</v>
      </c>
      <c r="BF188" s="60" t="s">
        <v>2268</v>
      </c>
      <c r="BG188" s="61">
        <v>7</v>
      </c>
      <c r="BH188" s="62" t="s">
        <v>2269</v>
      </c>
      <c r="BI188" s="63">
        <v>7</v>
      </c>
      <c r="BJ188" s="64" t="s">
        <v>141</v>
      </c>
      <c r="BK188" s="65" t="s">
        <v>2270</v>
      </c>
      <c r="BL188" s="66" t="s">
        <v>2271</v>
      </c>
      <c r="BM188" s="67" t="s">
        <v>2272</v>
      </c>
      <c r="BN188" s="68" t="s">
        <v>2273</v>
      </c>
      <c r="BO188" s="69" t="s">
        <v>141</v>
      </c>
      <c r="BP188" s="70" t="s">
        <v>141</v>
      </c>
      <c r="BQ188" s="71" t="s">
        <v>141</v>
      </c>
      <c r="BR188" s="72" t="s">
        <v>2274</v>
      </c>
      <c r="BS188" s="73" t="s">
        <v>221</v>
      </c>
      <c r="BT188" s="74" t="s">
        <v>141</v>
      </c>
      <c r="BU188" s="75" t="s">
        <v>2275</v>
      </c>
      <c r="BV188" s="76" t="s">
        <v>141</v>
      </c>
      <c r="BW188" s="77" t="s">
        <v>141</v>
      </c>
      <c r="BX188" s="78" t="s">
        <v>141</v>
      </c>
      <c r="BY188" s="79" t="s">
        <v>141</v>
      </c>
      <c r="BZ188" s="80" t="s">
        <v>141</v>
      </c>
      <c r="CA188" s="81" t="s">
        <v>141</v>
      </c>
      <c r="CB188" s="82" t="s">
        <v>141</v>
      </c>
      <c r="CC188" s="83" t="s">
        <v>141</v>
      </c>
      <c r="CD188" s="84" t="s">
        <v>141</v>
      </c>
      <c r="CE188" s="85" t="s">
        <v>141</v>
      </c>
      <c r="CF188" s="86" t="s">
        <v>141</v>
      </c>
      <c r="CG188" s="87" t="s">
        <v>141</v>
      </c>
      <c r="CH188" s="88" t="s">
        <v>141</v>
      </c>
      <c r="CI188" s="89" t="s">
        <v>141</v>
      </c>
      <c r="CJ188" s="90" t="s">
        <v>141</v>
      </c>
      <c r="CK188" s="91" t="s">
        <v>141</v>
      </c>
      <c r="CL188" s="92" t="s">
        <v>141</v>
      </c>
      <c r="CM188" s="93" t="s">
        <v>141</v>
      </c>
      <c r="CN188" s="94" t="s">
        <v>141</v>
      </c>
      <c r="CO188" s="95" t="s">
        <v>141</v>
      </c>
      <c r="CP188" s="96" t="s">
        <v>141</v>
      </c>
      <c r="CQ188" s="97" t="s">
        <v>141</v>
      </c>
      <c r="CR188" s="98" t="s">
        <v>141</v>
      </c>
      <c r="CS188" s="99" t="s">
        <v>141</v>
      </c>
      <c r="CT188" s="100" t="s">
        <v>141</v>
      </c>
      <c r="CU188" s="101" t="s">
        <v>141</v>
      </c>
      <c r="CV188" s="102" t="s">
        <v>141</v>
      </c>
      <c r="CW188" s="103" t="s">
        <v>141</v>
      </c>
      <c r="CX188" s="104">
        <v>1000</v>
      </c>
      <c r="CY188" s="105" t="s">
        <v>150</v>
      </c>
      <c r="CZ188" s="106" t="s">
        <v>180</v>
      </c>
      <c r="DA188" s="107" t="s">
        <v>152</v>
      </c>
      <c r="DB188" s="108" t="s">
        <v>153</v>
      </c>
      <c r="DC188" s="109" t="s">
        <v>181</v>
      </c>
      <c r="DD188" s="110" t="s">
        <v>182</v>
      </c>
      <c r="DE188" s="111" t="s">
        <v>469</v>
      </c>
      <c r="DF188" s="112" t="s">
        <v>157</v>
      </c>
      <c r="DG188" s="113">
        <v>2010</v>
      </c>
      <c r="DH188" s="114" t="s">
        <v>832</v>
      </c>
      <c r="DI188" s="227" t="str">
        <f>HYPERLINK("https://my.pitchbook.com?c=31688-65T", "View company online")</f>
        <v>View company online</v>
      </c>
    </row>
    <row r="189" spans="1:113" x14ac:dyDescent="0.2">
      <c r="A189" s="115" t="s">
        <v>2276</v>
      </c>
      <c r="B189" s="116" t="s">
        <v>854</v>
      </c>
      <c r="C189" s="117" t="s">
        <v>855</v>
      </c>
      <c r="D189" s="118" t="s">
        <v>856</v>
      </c>
      <c r="E189" s="119" t="s">
        <v>857</v>
      </c>
      <c r="F189" s="120" t="s">
        <v>126</v>
      </c>
      <c r="G189" s="121" t="s">
        <v>127</v>
      </c>
      <c r="H189" s="122" t="s">
        <v>128</v>
      </c>
      <c r="I189" s="123" t="s">
        <v>129</v>
      </c>
      <c r="J189" s="124" t="s">
        <v>130</v>
      </c>
      <c r="K189" s="125" t="s">
        <v>858</v>
      </c>
      <c r="L189" s="126" t="s">
        <v>132</v>
      </c>
      <c r="M189" s="127" t="s">
        <v>133</v>
      </c>
      <c r="N189" s="128" t="s">
        <v>170</v>
      </c>
      <c r="O189" s="129" t="s">
        <v>2277</v>
      </c>
      <c r="P189" s="130" t="s">
        <v>2278</v>
      </c>
      <c r="Q189" s="131" t="s">
        <v>861</v>
      </c>
      <c r="R189" s="132" t="s">
        <v>141</v>
      </c>
      <c r="S189" s="133" t="s">
        <v>2279</v>
      </c>
      <c r="T189" s="134" t="s">
        <v>141</v>
      </c>
      <c r="U189" s="135">
        <v>3</v>
      </c>
      <c r="V189" s="136" t="s">
        <v>2276</v>
      </c>
      <c r="W189" s="137" t="s">
        <v>141</v>
      </c>
      <c r="X189" s="138">
        <v>42956</v>
      </c>
      <c r="Y189" s="139">
        <v>0.5</v>
      </c>
      <c r="Z189" s="140" t="s">
        <v>177</v>
      </c>
      <c r="AA189" s="141" t="s">
        <v>141</v>
      </c>
      <c r="AB189" s="142" t="s">
        <v>141</v>
      </c>
      <c r="AC189" s="143" t="s">
        <v>141</v>
      </c>
      <c r="AD189" s="144" t="s">
        <v>141</v>
      </c>
      <c r="AE189" s="145">
        <v>0.5</v>
      </c>
      <c r="AF189" s="146" t="s">
        <v>1571</v>
      </c>
      <c r="AG189" s="147" t="s">
        <v>141</v>
      </c>
      <c r="AH189" s="148" t="s">
        <v>141</v>
      </c>
      <c r="AI189" s="149" t="s">
        <v>141</v>
      </c>
      <c r="AJ189" s="150" t="s">
        <v>1518</v>
      </c>
      <c r="AK189" s="151" t="s">
        <v>141</v>
      </c>
      <c r="AL189" s="152" t="s">
        <v>141</v>
      </c>
      <c r="AM189" s="153" t="s">
        <v>170</v>
      </c>
      <c r="AN189" s="154" t="s">
        <v>857</v>
      </c>
      <c r="AO189" s="155">
        <v>0.5</v>
      </c>
      <c r="AP189" s="156" t="s">
        <v>145</v>
      </c>
      <c r="AQ189" s="157" t="s">
        <v>141</v>
      </c>
      <c r="AR189" s="158" t="s">
        <v>141</v>
      </c>
      <c r="AS189" s="159" t="s">
        <v>141</v>
      </c>
      <c r="AT189" s="160" t="s">
        <v>141</v>
      </c>
      <c r="AU189" s="161" t="s">
        <v>141</v>
      </c>
      <c r="AV189" s="162" t="s">
        <v>141</v>
      </c>
      <c r="AW189" s="163" t="s">
        <v>141</v>
      </c>
      <c r="AX189" s="164" t="s">
        <v>141</v>
      </c>
      <c r="AY189" s="165" t="s">
        <v>141</v>
      </c>
      <c r="AZ189" s="166" t="s">
        <v>141</v>
      </c>
      <c r="BA189" s="167" t="s">
        <v>146</v>
      </c>
      <c r="BB189" s="168" t="s">
        <v>133</v>
      </c>
      <c r="BC189" s="169" t="s">
        <v>132</v>
      </c>
      <c r="BD189" s="170" t="s">
        <v>141</v>
      </c>
      <c r="BE189" s="171">
        <v>6</v>
      </c>
      <c r="BF189" s="172" t="s">
        <v>2280</v>
      </c>
      <c r="BG189" s="173">
        <v>6</v>
      </c>
      <c r="BH189" s="174" t="s">
        <v>141</v>
      </c>
      <c r="BI189" s="175" t="s">
        <v>141</v>
      </c>
      <c r="BJ189" s="176" t="s">
        <v>141</v>
      </c>
      <c r="BK189" s="177" t="s">
        <v>141</v>
      </c>
      <c r="BL189" s="178" t="s">
        <v>2281</v>
      </c>
      <c r="BM189" s="179" t="s">
        <v>141</v>
      </c>
      <c r="BN189" s="180" t="s">
        <v>141</v>
      </c>
      <c r="BO189" s="181" t="s">
        <v>141</v>
      </c>
      <c r="BP189" s="182" t="s">
        <v>141</v>
      </c>
      <c r="BQ189" s="183" t="s">
        <v>141</v>
      </c>
      <c r="BR189" s="184" t="s">
        <v>141</v>
      </c>
      <c r="BS189" s="185" t="s">
        <v>141</v>
      </c>
      <c r="BT189" s="186" t="s">
        <v>141</v>
      </c>
      <c r="BU189" s="187" t="s">
        <v>141</v>
      </c>
      <c r="BV189" s="188" t="s">
        <v>141</v>
      </c>
      <c r="BW189" s="189" t="s">
        <v>141</v>
      </c>
      <c r="BX189" s="190" t="s">
        <v>141</v>
      </c>
      <c r="BY189" s="191" t="s">
        <v>141</v>
      </c>
      <c r="BZ189" s="192" t="s">
        <v>141</v>
      </c>
      <c r="CA189" s="193" t="s">
        <v>141</v>
      </c>
      <c r="CB189" s="194" t="s">
        <v>141</v>
      </c>
      <c r="CC189" s="195" t="s">
        <v>141</v>
      </c>
      <c r="CD189" s="196" t="s">
        <v>141</v>
      </c>
      <c r="CE189" s="197" t="s">
        <v>141</v>
      </c>
      <c r="CF189" s="198" t="s">
        <v>141</v>
      </c>
      <c r="CG189" s="199" t="s">
        <v>141</v>
      </c>
      <c r="CH189" s="200" t="s">
        <v>141</v>
      </c>
      <c r="CI189" s="201" t="s">
        <v>141</v>
      </c>
      <c r="CJ189" s="202" t="s">
        <v>141</v>
      </c>
      <c r="CK189" s="203" t="s">
        <v>141</v>
      </c>
      <c r="CL189" s="204" t="s">
        <v>141</v>
      </c>
      <c r="CM189" s="205" t="s">
        <v>141</v>
      </c>
      <c r="CN189" s="206" t="s">
        <v>141</v>
      </c>
      <c r="CO189" s="207" t="s">
        <v>141</v>
      </c>
      <c r="CP189" s="208" t="s">
        <v>141</v>
      </c>
      <c r="CQ189" s="209" t="s">
        <v>141</v>
      </c>
      <c r="CR189" s="210" t="s">
        <v>141</v>
      </c>
      <c r="CS189" s="211" t="s">
        <v>141</v>
      </c>
      <c r="CT189" s="212" t="s">
        <v>141</v>
      </c>
      <c r="CU189" s="213" t="s">
        <v>141</v>
      </c>
      <c r="CV189" s="214" t="s">
        <v>141</v>
      </c>
      <c r="CW189" s="215" t="s">
        <v>141</v>
      </c>
      <c r="CX189" s="216" t="s">
        <v>141</v>
      </c>
      <c r="CY189" s="217" t="s">
        <v>150</v>
      </c>
      <c r="CZ189" s="218" t="s">
        <v>240</v>
      </c>
      <c r="DA189" s="219" t="s">
        <v>152</v>
      </c>
      <c r="DB189" s="220" t="s">
        <v>153</v>
      </c>
      <c r="DC189" s="221" t="s">
        <v>241</v>
      </c>
      <c r="DD189" s="222" t="s">
        <v>242</v>
      </c>
      <c r="DE189" s="223" t="s">
        <v>283</v>
      </c>
      <c r="DF189" s="224" t="s">
        <v>157</v>
      </c>
      <c r="DG189" s="225">
        <v>2015</v>
      </c>
      <c r="DH189" s="226" t="s">
        <v>865</v>
      </c>
      <c r="DI189" s="228" t="str">
        <f>HYPERLINK("https://my.pitchbook.com?c=98967-70T", "View company online")</f>
        <v>View company online</v>
      </c>
    </row>
    <row r="190" spans="1:113" x14ac:dyDescent="0.2">
      <c r="A190" s="3" t="s">
        <v>2282</v>
      </c>
      <c r="B190" s="4" t="s">
        <v>2283</v>
      </c>
      <c r="C190" s="5" t="s">
        <v>2284</v>
      </c>
      <c r="D190" s="6" t="s">
        <v>2285</v>
      </c>
      <c r="E190" s="7" t="s">
        <v>2286</v>
      </c>
      <c r="F190" s="8" t="s">
        <v>126</v>
      </c>
      <c r="G190" s="9" t="s">
        <v>456</v>
      </c>
      <c r="H190" s="10" t="s">
        <v>457</v>
      </c>
      <c r="I190" s="11" t="s">
        <v>1793</v>
      </c>
      <c r="J190" s="12" t="s">
        <v>168</v>
      </c>
      <c r="K190" s="13" t="s">
        <v>2287</v>
      </c>
      <c r="L190" s="14" t="s">
        <v>132</v>
      </c>
      <c r="M190" s="15" t="s">
        <v>133</v>
      </c>
      <c r="N190" s="16" t="s">
        <v>170</v>
      </c>
      <c r="O190" s="17" t="s">
        <v>2288</v>
      </c>
      <c r="P190" s="18" t="s">
        <v>2289</v>
      </c>
      <c r="Q190" s="19" t="s">
        <v>2290</v>
      </c>
      <c r="R190" s="20" t="s">
        <v>2291</v>
      </c>
      <c r="S190" s="21" t="s">
        <v>2292</v>
      </c>
      <c r="T190" s="22" t="s">
        <v>2293</v>
      </c>
      <c r="U190" s="23">
        <v>3</v>
      </c>
      <c r="V190" s="24" t="s">
        <v>2282</v>
      </c>
      <c r="W190" s="25" t="s">
        <v>141</v>
      </c>
      <c r="X190" s="26">
        <v>43671</v>
      </c>
      <c r="Y190" s="27" t="s">
        <v>141</v>
      </c>
      <c r="Z190" s="28" t="s">
        <v>141</v>
      </c>
      <c r="AA190" s="29" t="s">
        <v>141</v>
      </c>
      <c r="AB190" s="30" t="s">
        <v>141</v>
      </c>
      <c r="AC190" s="31" t="s">
        <v>141</v>
      </c>
      <c r="AD190" s="32" t="s">
        <v>141</v>
      </c>
      <c r="AE190" s="33" t="s">
        <v>141</v>
      </c>
      <c r="AF190" s="34" t="s">
        <v>1571</v>
      </c>
      <c r="AG190" s="35" t="s">
        <v>141</v>
      </c>
      <c r="AH190" s="36" t="s">
        <v>141</v>
      </c>
      <c r="AI190" s="37" t="s">
        <v>141</v>
      </c>
      <c r="AJ190" s="38" t="s">
        <v>1518</v>
      </c>
      <c r="AK190" s="39" t="s">
        <v>141</v>
      </c>
      <c r="AL190" s="40" t="s">
        <v>141</v>
      </c>
      <c r="AM190" s="41" t="s">
        <v>170</v>
      </c>
      <c r="AN190" s="42" t="s">
        <v>2294</v>
      </c>
      <c r="AO190" s="43" t="s">
        <v>141</v>
      </c>
      <c r="AP190" s="44" t="s">
        <v>145</v>
      </c>
      <c r="AQ190" s="45" t="s">
        <v>141</v>
      </c>
      <c r="AR190" s="46" t="s">
        <v>141</v>
      </c>
      <c r="AS190" s="47" t="s">
        <v>141</v>
      </c>
      <c r="AT190" s="48" t="s">
        <v>141</v>
      </c>
      <c r="AU190" s="49" t="s">
        <v>141</v>
      </c>
      <c r="AV190" s="50" t="s">
        <v>141</v>
      </c>
      <c r="AW190" s="51" t="s">
        <v>141</v>
      </c>
      <c r="AX190" s="52" t="s">
        <v>141</v>
      </c>
      <c r="AY190" s="53" t="s">
        <v>141</v>
      </c>
      <c r="AZ190" s="54" t="s">
        <v>141</v>
      </c>
      <c r="BA190" s="55" t="s">
        <v>146</v>
      </c>
      <c r="BB190" s="56" t="s">
        <v>133</v>
      </c>
      <c r="BC190" s="57" t="s">
        <v>132</v>
      </c>
      <c r="BD190" s="58">
        <v>30</v>
      </c>
      <c r="BE190" s="59">
        <v>1</v>
      </c>
      <c r="BF190" s="60" t="s">
        <v>2295</v>
      </c>
      <c r="BG190" s="61">
        <v>1</v>
      </c>
      <c r="BH190" s="62" t="s">
        <v>141</v>
      </c>
      <c r="BI190" s="63" t="s">
        <v>141</v>
      </c>
      <c r="BJ190" s="64" t="s">
        <v>141</v>
      </c>
      <c r="BK190" s="65" t="s">
        <v>2296</v>
      </c>
      <c r="BL190" s="66" t="s">
        <v>2297</v>
      </c>
      <c r="BM190" s="67" t="s">
        <v>2297</v>
      </c>
      <c r="BN190" s="68" t="s">
        <v>141</v>
      </c>
      <c r="BO190" s="69" t="s">
        <v>141</v>
      </c>
      <c r="BP190" s="70" t="s">
        <v>141</v>
      </c>
      <c r="BQ190" s="71" t="s">
        <v>141</v>
      </c>
      <c r="BR190" s="72" t="s">
        <v>141</v>
      </c>
      <c r="BS190" s="73" t="s">
        <v>141</v>
      </c>
      <c r="BT190" s="74" t="s">
        <v>141</v>
      </c>
      <c r="BU190" s="75" t="s">
        <v>141</v>
      </c>
      <c r="BV190" s="76" t="s">
        <v>141</v>
      </c>
      <c r="BW190" s="77" t="s">
        <v>141</v>
      </c>
      <c r="BX190" s="78" t="s">
        <v>141</v>
      </c>
      <c r="BY190" s="79" t="s">
        <v>141</v>
      </c>
      <c r="BZ190" s="80" t="s">
        <v>141</v>
      </c>
      <c r="CA190" s="81" t="s">
        <v>141</v>
      </c>
      <c r="CB190" s="82" t="s">
        <v>141</v>
      </c>
      <c r="CC190" s="83" t="s">
        <v>141</v>
      </c>
      <c r="CD190" s="84" t="s">
        <v>141</v>
      </c>
      <c r="CE190" s="85" t="s">
        <v>141</v>
      </c>
      <c r="CF190" s="86" t="s">
        <v>141</v>
      </c>
      <c r="CG190" s="87" t="s">
        <v>141</v>
      </c>
      <c r="CH190" s="88" t="s">
        <v>141</v>
      </c>
      <c r="CI190" s="89" t="s">
        <v>141</v>
      </c>
      <c r="CJ190" s="90" t="s">
        <v>141</v>
      </c>
      <c r="CK190" s="91" t="s">
        <v>141</v>
      </c>
      <c r="CL190" s="92" t="s">
        <v>141</v>
      </c>
      <c r="CM190" s="93" t="s">
        <v>141</v>
      </c>
      <c r="CN190" s="94" t="s">
        <v>141</v>
      </c>
      <c r="CO190" s="95" t="s">
        <v>141</v>
      </c>
      <c r="CP190" s="96" t="s">
        <v>141</v>
      </c>
      <c r="CQ190" s="97" t="s">
        <v>141</v>
      </c>
      <c r="CR190" s="98" t="s">
        <v>141</v>
      </c>
      <c r="CS190" s="99" t="s">
        <v>141</v>
      </c>
      <c r="CT190" s="100" t="s">
        <v>141</v>
      </c>
      <c r="CU190" s="101" t="s">
        <v>141</v>
      </c>
      <c r="CV190" s="102" t="s">
        <v>141</v>
      </c>
      <c r="CW190" s="103" t="s">
        <v>141</v>
      </c>
      <c r="CX190" s="104">
        <v>60</v>
      </c>
      <c r="CY190" s="105" t="s">
        <v>150</v>
      </c>
      <c r="CZ190" s="106" t="s">
        <v>2298</v>
      </c>
      <c r="DA190" s="107" t="s">
        <v>152</v>
      </c>
      <c r="DB190" s="108" t="s">
        <v>153</v>
      </c>
      <c r="DC190" s="109" t="s">
        <v>2299</v>
      </c>
      <c r="DD190" s="110" t="s">
        <v>201</v>
      </c>
      <c r="DE190" s="111" t="s">
        <v>2300</v>
      </c>
      <c r="DF190" s="112" t="s">
        <v>157</v>
      </c>
      <c r="DG190" s="113">
        <v>2016</v>
      </c>
      <c r="DH190" s="114" t="s">
        <v>2301</v>
      </c>
      <c r="DI190" s="227" t="str">
        <f>HYPERLINK("https://my.pitchbook.com?c=121456-63T", "View company online")</f>
        <v>View company online</v>
      </c>
    </row>
    <row r="191" spans="1:113" x14ac:dyDescent="0.2">
      <c r="A191" s="115" t="s">
        <v>2302</v>
      </c>
      <c r="B191" s="116" t="s">
        <v>2303</v>
      </c>
      <c r="C191" s="117" t="s">
        <v>2304</v>
      </c>
      <c r="D191" s="118" t="s">
        <v>2305</v>
      </c>
      <c r="E191" s="119" t="s">
        <v>2306</v>
      </c>
      <c r="F191" s="120" t="s">
        <v>126</v>
      </c>
      <c r="G191" s="121" t="s">
        <v>127</v>
      </c>
      <c r="H191" s="122" t="s">
        <v>128</v>
      </c>
      <c r="I191" s="123" t="s">
        <v>2307</v>
      </c>
      <c r="J191" s="124" t="s">
        <v>130</v>
      </c>
      <c r="K191" s="125" t="s">
        <v>2308</v>
      </c>
      <c r="L191" s="126" t="s">
        <v>132</v>
      </c>
      <c r="M191" s="127" t="s">
        <v>133</v>
      </c>
      <c r="N191" s="128" t="s">
        <v>134</v>
      </c>
      <c r="O191" s="129" t="s">
        <v>2309</v>
      </c>
      <c r="P191" s="130" t="s">
        <v>2310</v>
      </c>
      <c r="Q191" s="131" t="s">
        <v>2311</v>
      </c>
      <c r="R191" s="132" t="s">
        <v>2312</v>
      </c>
      <c r="S191" s="133" t="s">
        <v>2313</v>
      </c>
      <c r="T191" s="134" t="s">
        <v>2314</v>
      </c>
      <c r="U191" s="135">
        <v>3</v>
      </c>
      <c r="V191" s="136" t="s">
        <v>2302</v>
      </c>
      <c r="W191" s="137">
        <v>42333</v>
      </c>
      <c r="X191" s="138">
        <v>42340</v>
      </c>
      <c r="Y191" s="139">
        <v>6</v>
      </c>
      <c r="Z191" s="140" t="s">
        <v>177</v>
      </c>
      <c r="AA191" s="141">
        <v>11.94</v>
      </c>
      <c r="AB191" s="142">
        <v>17.940000000000001</v>
      </c>
      <c r="AC191" s="143" t="s">
        <v>177</v>
      </c>
      <c r="AD191" s="144">
        <v>33.44</v>
      </c>
      <c r="AE191" s="145">
        <v>9.5</v>
      </c>
      <c r="AF191" s="146" t="s">
        <v>1516</v>
      </c>
      <c r="AG191" s="147" t="s">
        <v>1188</v>
      </c>
      <c r="AH191" s="148">
        <v>1.02</v>
      </c>
      <c r="AI191" s="149" t="s">
        <v>1517</v>
      </c>
      <c r="AJ191" s="150" t="s">
        <v>1518</v>
      </c>
      <c r="AK191" s="151" t="s">
        <v>1517</v>
      </c>
      <c r="AL191" s="152" t="s">
        <v>141</v>
      </c>
      <c r="AM191" s="153" t="s">
        <v>170</v>
      </c>
      <c r="AN191" s="154" t="s">
        <v>2315</v>
      </c>
      <c r="AO191" s="155">
        <v>6</v>
      </c>
      <c r="AP191" s="156" t="s">
        <v>145</v>
      </c>
      <c r="AQ191" s="157" t="s">
        <v>141</v>
      </c>
      <c r="AR191" s="158" t="s">
        <v>141</v>
      </c>
      <c r="AS191" s="159" t="s">
        <v>141</v>
      </c>
      <c r="AT191" s="160" t="s">
        <v>141</v>
      </c>
      <c r="AU191" s="161" t="s">
        <v>141</v>
      </c>
      <c r="AV191" s="162" t="s">
        <v>141</v>
      </c>
      <c r="AW191" s="163" t="s">
        <v>141</v>
      </c>
      <c r="AX191" s="164" t="s">
        <v>141</v>
      </c>
      <c r="AY191" s="165" t="s">
        <v>141</v>
      </c>
      <c r="AZ191" s="166" t="s">
        <v>141</v>
      </c>
      <c r="BA191" s="167" t="s">
        <v>146</v>
      </c>
      <c r="BB191" s="168" t="s">
        <v>133</v>
      </c>
      <c r="BC191" s="169" t="s">
        <v>132</v>
      </c>
      <c r="BD191" s="170">
        <v>29</v>
      </c>
      <c r="BE191" s="171">
        <v>11</v>
      </c>
      <c r="BF191" s="172" t="s">
        <v>2316</v>
      </c>
      <c r="BG191" s="173">
        <v>4</v>
      </c>
      <c r="BH191" s="174" t="s">
        <v>2317</v>
      </c>
      <c r="BI191" s="175">
        <v>7</v>
      </c>
      <c r="BJ191" s="176" t="s">
        <v>141</v>
      </c>
      <c r="BK191" s="177" t="s">
        <v>2318</v>
      </c>
      <c r="BL191" s="178" t="s">
        <v>2319</v>
      </c>
      <c r="BM191" s="179" t="s">
        <v>2320</v>
      </c>
      <c r="BN191" s="180" t="s">
        <v>2321</v>
      </c>
      <c r="BO191" s="181" t="s">
        <v>141</v>
      </c>
      <c r="BP191" s="182" t="s">
        <v>141</v>
      </c>
      <c r="BQ191" s="183" t="s">
        <v>141</v>
      </c>
      <c r="BR191" s="184" t="s">
        <v>372</v>
      </c>
      <c r="BS191" s="185" t="s">
        <v>372</v>
      </c>
      <c r="BT191" s="186" t="s">
        <v>141</v>
      </c>
      <c r="BU191" s="187" t="s">
        <v>141</v>
      </c>
      <c r="BV191" s="188" t="s">
        <v>141</v>
      </c>
      <c r="BW191" s="189" t="s">
        <v>141</v>
      </c>
      <c r="BX191" s="190" t="s">
        <v>141</v>
      </c>
      <c r="BY191" s="191" t="s">
        <v>141</v>
      </c>
      <c r="BZ191" s="192" t="s">
        <v>141</v>
      </c>
      <c r="CA191" s="193" t="s">
        <v>141</v>
      </c>
      <c r="CB191" s="194" t="s">
        <v>141</v>
      </c>
      <c r="CC191" s="195" t="s">
        <v>141</v>
      </c>
      <c r="CD191" s="196" t="s">
        <v>141</v>
      </c>
      <c r="CE191" s="197" t="s">
        <v>141</v>
      </c>
      <c r="CF191" s="198" t="s">
        <v>141</v>
      </c>
      <c r="CG191" s="199" t="s">
        <v>141</v>
      </c>
      <c r="CH191" s="200" t="s">
        <v>141</v>
      </c>
      <c r="CI191" s="201" t="s">
        <v>141</v>
      </c>
      <c r="CJ191" s="202" t="s">
        <v>141</v>
      </c>
      <c r="CK191" s="203" t="s">
        <v>141</v>
      </c>
      <c r="CL191" s="204" t="s">
        <v>141</v>
      </c>
      <c r="CM191" s="205" t="s">
        <v>141</v>
      </c>
      <c r="CN191" s="206" t="s">
        <v>141</v>
      </c>
      <c r="CO191" s="207" t="s">
        <v>141</v>
      </c>
      <c r="CP191" s="208" t="s">
        <v>141</v>
      </c>
      <c r="CQ191" s="209" t="s">
        <v>141</v>
      </c>
      <c r="CR191" s="210" t="s">
        <v>141</v>
      </c>
      <c r="CS191" s="211" t="s">
        <v>141</v>
      </c>
      <c r="CT191" s="212" t="s">
        <v>141</v>
      </c>
      <c r="CU191" s="213" t="s">
        <v>141</v>
      </c>
      <c r="CV191" s="214" t="s">
        <v>141</v>
      </c>
      <c r="CW191" s="215" t="s">
        <v>141</v>
      </c>
      <c r="CX191" s="216">
        <v>88</v>
      </c>
      <c r="CY191" s="217" t="s">
        <v>150</v>
      </c>
      <c r="CZ191" s="218" t="s">
        <v>180</v>
      </c>
      <c r="DA191" s="219" t="s">
        <v>152</v>
      </c>
      <c r="DB191" s="220" t="s">
        <v>153</v>
      </c>
      <c r="DC191" s="221" t="s">
        <v>181</v>
      </c>
      <c r="DD191" s="222" t="s">
        <v>182</v>
      </c>
      <c r="DE191" s="223" t="s">
        <v>469</v>
      </c>
      <c r="DF191" s="224" t="s">
        <v>157</v>
      </c>
      <c r="DG191" s="225">
        <v>2013</v>
      </c>
      <c r="DH191" s="226" t="s">
        <v>2322</v>
      </c>
      <c r="DI191" s="228" t="str">
        <f>HYPERLINK("https://my.pitchbook.com?c=68944-15T", "View company online")</f>
        <v>View company online</v>
      </c>
    </row>
    <row r="192" spans="1:113" x14ac:dyDescent="0.2">
      <c r="A192" s="3" t="s">
        <v>2323</v>
      </c>
      <c r="B192" s="4" t="s">
        <v>2303</v>
      </c>
      <c r="C192" s="5" t="s">
        <v>2304</v>
      </c>
      <c r="D192" s="6" t="s">
        <v>2305</v>
      </c>
      <c r="E192" s="7" t="s">
        <v>2306</v>
      </c>
      <c r="F192" s="8" t="s">
        <v>126</v>
      </c>
      <c r="G192" s="9" t="s">
        <v>127</v>
      </c>
      <c r="H192" s="10" t="s">
        <v>128</v>
      </c>
      <c r="I192" s="11" t="s">
        <v>2307</v>
      </c>
      <c r="J192" s="12" t="s">
        <v>130</v>
      </c>
      <c r="K192" s="13" t="s">
        <v>2308</v>
      </c>
      <c r="L192" s="14" t="s">
        <v>132</v>
      </c>
      <c r="M192" s="15" t="s">
        <v>133</v>
      </c>
      <c r="N192" s="16" t="s">
        <v>134</v>
      </c>
      <c r="O192" s="17" t="s">
        <v>2309</v>
      </c>
      <c r="P192" s="18" t="s">
        <v>2310</v>
      </c>
      <c r="Q192" s="19" t="s">
        <v>2311</v>
      </c>
      <c r="R192" s="20" t="s">
        <v>2312</v>
      </c>
      <c r="S192" s="21" t="s">
        <v>2313</v>
      </c>
      <c r="T192" s="22" t="s">
        <v>2314</v>
      </c>
      <c r="U192" s="23">
        <v>4</v>
      </c>
      <c r="V192" s="24" t="s">
        <v>2323</v>
      </c>
      <c r="W192" s="25">
        <v>42853</v>
      </c>
      <c r="X192" s="26">
        <v>42907</v>
      </c>
      <c r="Y192" s="27">
        <v>14</v>
      </c>
      <c r="Z192" s="28" t="s">
        <v>177</v>
      </c>
      <c r="AA192" s="29">
        <v>28</v>
      </c>
      <c r="AB192" s="30">
        <v>42</v>
      </c>
      <c r="AC192" s="31" t="s">
        <v>177</v>
      </c>
      <c r="AD192" s="32">
        <v>33.33</v>
      </c>
      <c r="AE192" s="33">
        <v>23.5</v>
      </c>
      <c r="AF192" s="34" t="s">
        <v>1550</v>
      </c>
      <c r="AG192" s="35" t="s">
        <v>1188</v>
      </c>
      <c r="AH192" s="36">
        <v>1.48</v>
      </c>
      <c r="AI192" s="37" t="s">
        <v>1551</v>
      </c>
      <c r="AJ192" s="38" t="s">
        <v>1518</v>
      </c>
      <c r="AK192" s="39" t="s">
        <v>1551</v>
      </c>
      <c r="AL192" s="40" t="s">
        <v>141</v>
      </c>
      <c r="AM192" s="41" t="s">
        <v>170</v>
      </c>
      <c r="AN192" s="42" t="s">
        <v>2324</v>
      </c>
      <c r="AO192" s="43">
        <v>14</v>
      </c>
      <c r="AP192" s="44" t="s">
        <v>145</v>
      </c>
      <c r="AQ192" s="45" t="s">
        <v>141</v>
      </c>
      <c r="AR192" s="46" t="s">
        <v>141</v>
      </c>
      <c r="AS192" s="47" t="s">
        <v>141</v>
      </c>
      <c r="AT192" s="48" t="s">
        <v>141</v>
      </c>
      <c r="AU192" s="49" t="s">
        <v>141</v>
      </c>
      <c r="AV192" s="50" t="s">
        <v>141</v>
      </c>
      <c r="AW192" s="51" t="s">
        <v>141</v>
      </c>
      <c r="AX192" s="52" t="s">
        <v>141</v>
      </c>
      <c r="AY192" s="53" t="s">
        <v>141</v>
      </c>
      <c r="AZ192" s="54" t="s">
        <v>141</v>
      </c>
      <c r="BA192" s="55" t="s">
        <v>146</v>
      </c>
      <c r="BB192" s="56" t="s">
        <v>133</v>
      </c>
      <c r="BC192" s="57" t="s">
        <v>132</v>
      </c>
      <c r="BD192" s="58" t="s">
        <v>141</v>
      </c>
      <c r="BE192" s="59">
        <v>9</v>
      </c>
      <c r="BF192" s="60" t="s">
        <v>2325</v>
      </c>
      <c r="BG192" s="61">
        <v>3</v>
      </c>
      <c r="BH192" s="62" t="s">
        <v>2326</v>
      </c>
      <c r="BI192" s="63">
        <v>6</v>
      </c>
      <c r="BJ192" s="64" t="s">
        <v>141</v>
      </c>
      <c r="BK192" s="65" t="s">
        <v>2327</v>
      </c>
      <c r="BL192" s="66" t="s">
        <v>2328</v>
      </c>
      <c r="BM192" s="67" t="s">
        <v>2329</v>
      </c>
      <c r="BN192" s="68" t="s">
        <v>2330</v>
      </c>
      <c r="BO192" s="69" t="s">
        <v>141</v>
      </c>
      <c r="BP192" s="70" t="s">
        <v>141</v>
      </c>
      <c r="BQ192" s="71" t="s">
        <v>141</v>
      </c>
      <c r="BR192" s="72" t="s">
        <v>372</v>
      </c>
      <c r="BS192" s="73" t="s">
        <v>372</v>
      </c>
      <c r="BT192" s="74" t="s">
        <v>141</v>
      </c>
      <c r="BU192" s="75" t="s">
        <v>141</v>
      </c>
      <c r="BV192" s="76" t="s">
        <v>141</v>
      </c>
      <c r="BW192" s="77" t="s">
        <v>141</v>
      </c>
      <c r="BX192" s="78" t="s">
        <v>141</v>
      </c>
      <c r="BY192" s="79" t="s">
        <v>141</v>
      </c>
      <c r="BZ192" s="80" t="s">
        <v>141</v>
      </c>
      <c r="CA192" s="81" t="s">
        <v>141</v>
      </c>
      <c r="CB192" s="82" t="s">
        <v>141</v>
      </c>
      <c r="CC192" s="83" t="s">
        <v>141</v>
      </c>
      <c r="CD192" s="84" t="s">
        <v>141</v>
      </c>
      <c r="CE192" s="85" t="s">
        <v>141</v>
      </c>
      <c r="CF192" s="86" t="s">
        <v>141</v>
      </c>
      <c r="CG192" s="87" t="s">
        <v>141</v>
      </c>
      <c r="CH192" s="88" t="s">
        <v>141</v>
      </c>
      <c r="CI192" s="89" t="s">
        <v>141</v>
      </c>
      <c r="CJ192" s="90" t="s">
        <v>141</v>
      </c>
      <c r="CK192" s="91" t="s">
        <v>141</v>
      </c>
      <c r="CL192" s="92" t="s">
        <v>141</v>
      </c>
      <c r="CM192" s="93" t="s">
        <v>141</v>
      </c>
      <c r="CN192" s="94" t="s">
        <v>141</v>
      </c>
      <c r="CO192" s="95" t="s">
        <v>141</v>
      </c>
      <c r="CP192" s="96" t="s">
        <v>141</v>
      </c>
      <c r="CQ192" s="97" t="s">
        <v>141</v>
      </c>
      <c r="CR192" s="98" t="s">
        <v>141</v>
      </c>
      <c r="CS192" s="99" t="s">
        <v>141</v>
      </c>
      <c r="CT192" s="100" t="s">
        <v>141</v>
      </c>
      <c r="CU192" s="101" t="s">
        <v>141</v>
      </c>
      <c r="CV192" s="102" t="s">
        <v>141</v>
      </c>
      <c r="CW192" s="103" t="s">
        <v>141</v>
      </c>
      <c r="CX192" s="104">
        <v>88</v>
      </c>
      <c r="CY192" s="105" t="s">
        <v>150</v>
      </c>
      <c r="CZ192" s="106" t="s">
        <v>180</v>
      </c>
      <c r="DA192" s="107" t="s">
        <v>152</v>
      </c>
      <c r="DB192" s="108" t="s">
        <v>153</v>
      </c>
      <c r="DC192" s="109" t="s">
        <v>181</v>
      </c>
      <c r="DD192" s="110" t="s">
        <v>182</v>
      </c>
      <c r="DE192" s="111" t="s">
        <v>469</v>
      </c>
      <c r="DF192" s="112" t="s">
        <v>157</v>
      </c>
      <c r="DG192" s="113">
        <v>2013</v>
      </c>
      <c r="DH192" s="114" t="s">
        <v>2322</v>
      </c>
      <c r="DI192" s="227" t="str">
        <f>HYPERLINK("https://my.pitchbook.com?c=89489-71T", "View company online")</f>
        <v>View company online</v>
      </c>
    </row>
    <row r="193" spans="1:113" x14ac:dyDescent="0.2">
      <c r="A193" s="115" t="s">
        <v>2331</v>
      </c>
      <c r="B193" s="116" t="s">
        <v>2332</v>
      </c>
      <c r="C193" s="117" t="s">
        <v>2333</v>
      </c>
      <c r="D193" s="118" t="s">
        <v>2334</v>
      </c>
      <c r="E193" s="119" t="s">
        <v>2335</v>
      </c>
      <c r="F193" s="120" t="s">
        <v>126</v>
      </c>
      <c r="G193" s="121" t="s">
        <v>252</v>
      </c>
      <c r="H193" s="122" t="s">
        <v>253</v>
      </c>
      <c r="I193" s="123" t="s">
        <v>755</v>
      </c>
      <c r="J193" s="124" t="s">
        <v>2336</v>
      </c>
      <c r="K193" s="125" t="s">
        <v>2337</v>
      </c>
      <c r="L193" s="126" t="s">
        <v>132</v>
      </c>
      <c r="M193" s="127" t="s">
        <v>133</v>
      </c>
      <c r="N193" s="128" t="s">
        <v>170</v>
      </c>
      <c r="O193" s="129" t="s">
        <v>2338</v>
      </c>
      <c r="P193" s="130" t="s">
        <v>2339</v>
      </c>
      <c r="Q193" s="131" t="s">
        <v>2340</v>
      </c>
      <c r="R193" s="132" t="s">
        <v>2341</v>
      </c>
      <c r="S193" s="133" t="s">
        <v>2342</v>
      </c>
      <c r="T193" s="134" t="s">
        <v>2343</v>
      </c>
      <c r="U193" s="135">
        <v>2</v>
      </c>
      <c r="V193" s="136" t="s">
        <v>2331</v>
      </c>
      <c r="W193" s="137" t="s">
        <v>141</v>
      </c>
      <c r="X193" s="138">
        <v>41011</v>
      </c>
      <c r="Y193" s="139">
        <v>3.38</v>
      </c>
      <c r="Z193" s="140" t="s">
        <v>177</v>
      </c>
      <c r="AA193" s="141">
        <v>7.41</v>
      </c>
      <c r="AB193" s="142">
        <v>10.79</v>
      </c>
      <c r="AC193" s="143" t="s">
        <v>177</v>
      </c>
      <c r="AD193" s="144">
        <v>31.33</v>
      </c>
      <c r="AE193" s="145">
        <v>3.63</v>
      </c>
      <c r="AF193" s="146" t="s">
        <v>1582</v>
      </c>
      <c r="AG193" s="147" t="s">
        <v>141</v>
      </c>
      <c r="AH193" s="148">
        <v>0.46</v>
      </c>
      <c r="AI193" s="149" t="s">
        <v>1517</v>
      </c>
      <c r="AJ193" s="150" t="s">
        <v>1518</v>
      </c>
      <c r="AK193" s="151" t="s">
        <v>1517</v>
      </c>
      <c r="AL193" s="152" t="s">
        <v>141</v>
      </c>
      <c r="AM193" s="153" t="s">
        <v>170</v>
      </c>
      <c r="AN193" s="154" t="s">
        <v>2344</v>
      </c>
      <c r="AO193" s="155">
        <v>3.38</v>
      </c>
      <c r="AP193" s="156" t="s">
        <v>145</v>
      </c>
      <c r="AQ193" s="157" t="s">
        <v>141</v>
      </c>
      <c r="AR193" s="158" t="s">
        <v>141</v>
      </c>
      <c r="AS193" s="159" t="s">
        <v>141</v>
      </c>
      <c r="AT193" s="160" t="s">
        <v>141</v>
      </c>
      <c r="AU193" s="161" t="s">
        <v>141</v>
      </c>
      <c r="AV193" s="162" t="s">
        <v>141</v>
      </c>
      <c r="AW193" s="163" t="s">
        <v>141</v>
      </c>
      <c r="AX193" s="164" t="s">
        <v>141</v>
      </c>
      <c r="AY193" s="165" t="s">
        <v>141</v>
      </c>
      <c r="AZ193" s="166" t="s">
        <v>141</v>
      </c>
      <c r="BA193" s="167" t="s">
        <v>146</v>
      </c>
      <c r="BB193" s="168" t="s">
        <v>263</v>
      </c>
      <c r="BC193" s="169" t="s">
        <v>132</v>
      </c>
      <c r="BD193" s="170">
        <v>7</v>
      </c>
      <c r="BE193" s="171">
        <v>2</v>
      </c>
      <c r="BF193" s="172" t="s">
        <v>2345</v>
      </c>
      <c r="BG193" s="173">
        <v>1</v>
      </c>
      <c r="BH193" s="174" t="s">
        <v>2346</v>
      </c>
      <c r="BI193" s="175">
        <v>1</v>
      </c>
      <c r="BJ193" s="176" t="s">
        <v>141</v>
      </c>
      <c r="BK193" s="177" t="s">
        <v>2347</v>
      </c>
      <c r="BL193" s="178" t="s">
        <v>2348</v>
      </c>
      <c r="BM193" s="179" t="s">
        <v>2349</v>
      </c>
      <c r="BN193" s="180" t="s">
        <v>2350</v>
      </c>
      <c r="BO193" s="181" t="s">
        <v>141</v>
      </c>
      <c r="BP193" s="182" t="s">
        <v>141</v>
      </c>
      <c r="BQ193" s="183" t="s">
        <v>141</v>
      </c>
      <c r="BR193" s="184" t="s">
        <v>2351</v>
      </c>
      <c r="BS193" s="185" t="s">
        <v>221</v>
      </c>
      <c r="BT193" s="186" t="s">
        <v>141</v>
      </c>
      <c r="BU193" s="187" t="s">
        <v>2352</v>
      </c>
      <c r="BV193" s="188" t="s">
        <v>141</v>
      </c>
      <c r="BW193" s="189" t="s">
        <v>141</v>
      </c>
      <c r="BX193" s="190" t="s">
        <v>141</v>
      </c>
      <c r="BY193" s="191" t="s">
        <v>141</v>
      </c>
      <c r="BZ193" s="192" t="s">
        <v>141</v>
      </c>
      <c r="CA193" s="193" t="s">
        <v>141</v>
      </c>
      <c r="CB193" s="194" t="s">
        <v>141</v>
      </c>
      <c r="CC193" s="195" t="s">
        <v>141</v>
      </c>
      <c r="CD193" s="196" t="s">
        <v>141</v>
      </c>
      <c r="CE193" s="197" t="s">
        <v>141</v>
      </c>
      <c r="CF193" s="198" t="s">
        <v>141</v>
      </c>
      <c r="CG193" s="199" t="s">
        <v>141</v>
      </c>
      <c r="CH193" s="200" t="s">
        <v>141</v>
      </c>
      <c r="CI193" s="201" t="s">
        <v>141</v>
      </c>
      <c r="CJ193" s="202" t="s">
        <v>141</v>
      </c>
      <c r="CK193" s="203" t="s">
        <v>141</v>
      </c>
      <c r="CL193" s="204" t="s">
        <v>141</v>
      </c>
      <c r="CM193" s="205" t="s">
        <v>141</v>
      </c>
      <c r="CN193" s="206" t="s">
        <v>141</v>
      </c>
      <c r="CO193" s="207" t="s">
        <v>141</v>
      </c>
      <c r="CP193" s="208" t="s">
        <v>141</v>
      </c>
      <c r="CQ193" s="209" t="s">
        <v>141</v>
      </c>
      <c r="CR193" s="210" t="s">
        <v>141</v>
      </c>
      <c r="CS193" s="211" t="s">
        <v>141</v>
      </c>
      <c r="CT193" s="212" t="s">
        <v>141</v>
      </c>
      <c r="CU193" s="213" t="s">
        <v>141</v>
      </c>
      <c r="CV193" s="214" t="s">
        <v>141</v>
      </c>
      <c r="CW193" s="215" t="s">
        <v>141</v>
      </c>
      <c r="CX193" s="216">
        <v>500</v>
      </c>
      <c r="CY193" s="217" t="s">
        <v>150</v>
      </c>
      <c r="CZ193" s="218" t="s">
        <v>2353</v>
      </c>
      <c r="DA193" s="219" t="s">
        <v>152</v>
      </c>
      <c r="DB193" s="220" t="s">
        <v>153</v>
      </c>
      <c r="DC193" s="221" t="s">
        <v>2354</v>
      </c>
      <c r="DD193" s="222" t="s">
        <v>618</v>
      </c>
      <c r="DE193" s="223" t="s">
        <v>2355</v>
      </c>
      <c r="DF193" s="224" t="s">
        <v>157</v>
      </c>
      <c r="DG193" s="225">
        <v>2011</v>
      </c>
      <c r="DH193" s="226" t="s">
        <v>2356</v>
      </c>
      <c r="DI193" s="228" t="str">
        <f>HYPERLINK("https://my.pitchbook.com?c=21148-84T", "View company online")</f>
        <v>View company online</v>
      </c>
    </row>
    <row r="194" spans="1:113" x14ac:dyDescent="0.2">
      <c r="A194" s="3" t="s">
        <v>2357</v>
      </c>
      <c r="B194" s="4" t="s">
        <v>2332</v>
      </c>
      <c r="C194" s="5" t="s">
        <v>2333</v>
      </c>
      <c r="D194" s="6" t="s">
        <v>2334</v>
      </c>
      <c r="E194" s="7" t="s">
        <v>2335</v>
      </c>
      <c r="F194" s="8" t="s">
        <v>126</v>
      </c>
      <c r="G194" s="9" t="s">
        <v>252</v>
      </c>
      <c r="H194" s="10" t="s">
        <v>253</v>
      </c>
      <c r="I194" s="11" t="s">
        <v>755</v>
      </c>
      <c r="J194" s="12" t="s">
        <v>2336</v>
      </c>
      <c r="K194" s="13" t="s">
        <v>2337</v>
      </c>
      <c r="L194" s="14" t="s">
        <v>132</v>
      </c>
      <c r="M194" s="15" t="s">
        <v>133</v>
      </c>
      <c r="N194" s="16" t="s">
        <v>170</v>
      </c>
      <c r="O194" s="17" t="s">
        <v>2338</v>
      </c>
      <c r="P194" s="18" t="s">
        <v>2339</v>
      </c>
      <c r="Q194" s="19" t="s">
        <v>2340</v>
      </c>
      <c r="R194" s="20" t="s">
        <v>2341</v>
      </c>
      <c r="S194" s="21" t="s">
        <v>2342</v>
      </c>
      <c r="T194" s="22" t="s">
        <v>2343</v>
      </c>
      <c r="U194" s="23">
        <v>3</v>
      </c>
      <c r="V194" s="24" t="s">
        <v>2357</v>
      </c>
      <c r="W194" s="25" t="s">
        <v>141</v>
      </c>
      <c r="X194" s="26">
        <v>41485</v>
      </c>
      <c r="Y194" s="27">
        <v>10.5</v>
      </c>
      <c r="Z194" s="28" t="s">
        <v>177</v>
      </c>
      <c r="AA194" s="29">
        <v>18.09</v>
      </c>
      <c r="AB194" s="30">
        <v>28.59</v>
      </c>
      <c r="AC194" s="31" t="s">
        <v>177</v>
      </c>
      <c r="AD194" s="32">
        <v>35.31</v>
      </c>
      <c r="AE194" s="33">
        <v>14.13</v>
      </c>
      <c r="AF194" s="34" t="s">
        <v>1516</v>
      </c>
      <c r="AG194" s="35" t="s">
        <v>1188</v>
      </c>
      <c r="AH194" s="36">
        <v>0.68</v>
      </c>
      <c r="AI194" s="37" t="s">
        <v>1551</v>
      </c>
      <c r="AJ194" s="38" t="s">
        <v>1518</v>
      </c>
      <c r="AK194" s="39" t="s">
        <v>1551</v>
      </c>
      <c r="AL194" s="40" t="s">
        <v>141</v>
      </c>
      <c r="AM194" s="41" t="s">
        <v>170</v>
      </c>
      <c r="AN194" s="42" t="s">
        <v>2358</v>
      </c>
      <c r="AO194" s="43">
        <v>10.5</v>
      </c>
      <c r="AP194" s="44" t="s">
        <v>145</v>
      </c>
      <c r="AQ194" s="45" t="s">
        <v>141</v>
      </c>
      <c r="AR194" s="46" t="s">
        <v>141</v>
      </c>
      <c r="AS194" s="47" t="s">
        <v>141</v>
      </c>
      <c r="AT194" s="48" t="s">
        <v>141</v>
      </c>
      <c r="AU194" s="49" t="s">
        <v>141</v>
      </c>
      <c r="AV194" s="50" t="s">
        <v>141</v>
      </c>
      <c r="AW194" s="51" t="s">
        <v>141</v>
      </c>
      <c r="AX194" s="52" t="s">
        <v>141</v>
      </c>
      <c r="AY194" s="53" t="s">
        <v>141</v>
      </c>
      <c r="AZ194" s="54" t="s">
        <v>141</v>
      </c>
      <c r="BA194" s="55" t="s">
        <v>146</v>
      </c>
      <c r="BB194" s="56" t="s">
        <v>263</v>
      </c>
      <c r="BC194" s="57" t="s">
        <v>132</v>
      </c>
      <c r="BD194" s="58">
        <v>23</v>
      </c>
      <c r="BE194" s="59">
        <v>5</v>
      </c>
      <c r="BF194" s="60" t="s">
        <v>2359</v>
      </c>
      <c r="BG194" s="61">
        <v>3</v>
      </c>
      <c r="BH194" s="62" t="s">
        <v>2360</v>
      </c>
      <c r="BI194" s="63">
        <v>2</v>
      </c>
      <c r="BJ194" s="64" t="s">
        <v>141</v>
      </c>
      <c r="BK194" s="65" t="s">
        <v>2361</v>
      </c>
      <c r="BL194" s="66" t="s">
        <v>2362</v>
      </c>
      <c r="BM194" s="67" t="s">
        <v>2363</v>
      </c>
      <c r="BN194" s="68" t="s">
        <v>2364</v>
      </c>
      <c r="BO194" s="69" t="s">
        <v>141</v>
      </c>
      <c r="BP194" s="70" t="s">
        <v>141</v>
      </c>
      <c r="BQ194" s="71" t="s">
        <v>141</v>
      </c>
      <c r="BR194" s="72" t="s">
        <v>221</v>
      </c>
      <c r="BS194" s="73" t="s">
        <v>221</v>
      </c>
      <c r="BT194" s="74" t="s">
        <v>141</v>
      </c>
      <c r="BU194" s="75" t="s">
        <v>141</v>
      </c>
      <c r="BV194" s="76" t="s">
        <v>141</v>
      </c>
      <c r="BW194" s="77" t="s">
        <v>141</v>
      </c>
      <c r="BX194" s="78" t="s">
        <v>141</v>
      </c>
      <c r="BY194" s="79" t="s">
        <v>141</v>
      </c>
      <c r="BZ194" s="80" t="s">
        <v>141</v>
      </c>
      <c r="CA194" s="81" t="s">
        <v>141</v>
      </c>
      <c r="CB194" s="82" t="s">
        <v>141</v>
      </c>
      <c r="CC194" s="83" t="s">
        <v>141</v>
      </c>
      <c r="CD194" s="84" t="s">
        <v>141</v>
      </c>
      <c r="CE194" s="85" t="s">
        <v>141</v>
      </c>
      <c r="CF194" s="86" t="s">
        <v>141</v>
      </c>
      <c r="CG194" s="87" t="s">
        <v>141</v>
      </c>
      <c r="CH194" s="88" t="s">
        <v>141</v>
      </c>
      <c r="CI194" s="89" t="s">
        <v>141</v>
      </c>
      <c r="CJ194" s="90" t="s">
        <v>141</v>
      </c>
      <c r="CK194" s="91" t="s">
        <v>141</v>
      </c>
      <c r="CL194" s="92" t="s">
        <v>141</v>
      </c>
      <c r="CM194" s="93" t="s">
        <v>141</v>
      </c>
      <c r="CN194" s="94" t="s">
        <v>141</v>
      </c>
      <c r="CO194" s="95" t="s">
        <v>141</v>
      </c>
      <c r="CP194" s="96" t="s">
        <v>141</v>
      </c>
      <c r="CQ194" s="97" t="s">
        <v>141</v>
      </c>
      <c r="CR194" s="98" t="s">
        <v>141</v>
      </c>
      <c r="CS194" s="99" t="s">
        <v>141</v>
      </c>
      <c r="CT194" s="100" t="s">
        <v>141</v>
      </c>
      <c r="CU194" s="101" t="s">
        <v>141</v>
      </c>
      <c r="CV194" s="102" t="s">
        <v>141</v>
      </c>
      <c r="CW194" s="103" t="s">
        <v>141</v>
      </c>
      <c r="CX194" s="104">
        <v>500</v>
      </c>
      <c r="CY194" s="105" t="s">
        <v>150</v>
      </c>
      <c r="CZ194" s="106" t="s">
        <v>2353</v>
      </c>
      <c r="DA194" s="107" t="s">
        <v>152</v>
      </c>
      <c r="DB194" s="108" t="s">
        <v>153</v>
      </c>
      <c r="DC194" s="109" t="s">
        <v>2354</v>
      </c>
      <c r="DD194" s="110" t="s">
        <v>618</v>
      </c>
      <c r="DE194" s="111" t="s">
        <v>2355</v>
      </c>
      <c r="DF194" s="112" t="s">
        <v>157</v>
      </c>
      <c r="DG194" s="113">
        <v>2011</v>
      </c>
      <c r="DH194" s="114" t="s">
        <v>2356</v>
      </c>
      <c r="DI194" s="227" t="str">
        <f>HYPERLINK("https://my.pitchbook.com?c=27571-33T", "View company online")</f>
        <v>View company online</v>
      </c>
    </row>
    <row r="195" spans="1:113" x14ac:dyDescent="0.2">
      <c r="A195" s="115" t="s">
        <v>2365</v>
      </c>
      <c r="B195" s="116" t="s">
        <v>2366</v>
      </c>
      <c r="C195" s="117" t="s">
        <v>2367</v>
      </c>
      <c r="D195" s="118" t="s">
        <v>2368</v>
      </c>
      <c r="E195" s="119" t="s">
        <v>2369</v>
      </c>
      <c r="F195" s="120" t="s">
        <v>164</v>
      </c>
      <c r="G195" s="121" t="s">
        <v>165</v>
      </c>
      <c r="H195" s="122" t="s">
        <v>418</v>
      </c>
      <c r="I195" s="123" t="s">
        <v>2370</v>
      </c>
      <c r="J195" s="124" t="s">
        <v>130</v>
      </c>
      <c r="K195" s="125" t="s">
        <v>2371</v>
      </c>
      <c r="L195" s="126" t="s">
        <v>345</v>
      </c>
      <c r="M195" s="127" t="s">
        <v>133</v>
      </c>
      <c r="N195" s="128" t="s">
        <v>170</v>
      </c>
      <c r="O195" s="129" t="s">
        <v>2372</v>
      </c>
      <c r="P195" s="130" t="s">
        <v>2373</v>
      </c>
      <c r="Q195" s="131" t="s">
        <v>2374</v>
      </c>
      <c r="R195" s="132" t="s">
        <v>2375</v>
      </c>
      <c r="S195" s="133" t="s">
        <v>2376</v>
      </c>
      <c r="T195" s="134" t="s">
        <v>141</v>
      </c>
      <c r="U195" s="135">
        <v>1</v>
      </c>
      <c r="V195" s="136" t="s">
        <v>2365</v>
      </c>
      <c r="W195" s="137">
        <v>41688</v>
      </c>
      <c r="X195" s="138">
        <v>41695</v>
      </c>
      <c r="Y195" s="139">
        <v>7.5</v>
      </c>
      <c r="Z195" s="140" t="s">
        <v>177</v>
      </c>
      <c r="AA195" s="141">
        <v>19.14</v>
      </c>
      <c r="AB195" s="142">
        <v>26.64</v>
      </c>
      <c r="AC195" s="143" t="s">
        <v>177</v>
      </c>
      <c r="AD195" s="144">
        <v>28.16</v>
      </c>
      <c r="AE195" s="145">
        <v>7.5</v>
      </c>
      <c r="AF195" s="146" t="s">
        <v>1571</v>
      </c>
      <c r="AG195" s="147" t="s">
        <v>141</v>
      </c>
      <c r="AH195" s="148">
        <v>0.72</v>
      </c>
      <c r="AI195" s="149" t="s">
        <v>1517</v>
      </c>
      <c r="AJ195" s="150" t="s">
        <v>1518</v>
      </c>
      <c r="AK195" s="151" t="s">
        <v>1517</v>
      </c>
      <c r="AL195" s="152" t="s">
        <v>141</v>
      </c>
      <c r="AM195" s="153" t="s">
        <v>170</v>
      </c>
      <c r="AN195" s="154" t="s">
        <v>2377</v>
      </c>
      <c r="AO195" s="155">
        <v>7.5</v>
      </c>
      <c r="AP195" s="156" t="s">
        <v>145</v>
      </c>
      <c r="AQ195" s="157" t="s">
        <v>141</v>
      </c>
      <c r="AR195" s="158" t="s">
        <v>141</v>
      </c>
      <c r="AS195" s="159" t="s">
        <v>141</v>
      </c>
      <c r="AT195" s="160" t="s">
        <v>141</v>
      </c>
      <c r="AU195" s="161" t="s">
        <v>141</v>
      </c>
      <c r="AV195" s="162" t="s">
        <v>141</v>
      </c>
      <c r="AW195" s="163" t="s">
        <v>141</v>
      </c>
      <c r="AX195" s="164" t="s">
        <v>141</v>
      </c>
      <c r="AY195" s="165" t="s">
        <v>141</v>
      </c>
      <c r="AZ195" s="166" t="s">
        <v>141</v>
      </c>
      <c r="BA195" s="167" t="s">
        <v>146</v>
      </c>
      <c r="BB195" s="168" t="s">
        <v>263</v>
      </c>
      <c r="BC195" s="169" t="s">
        <v>132</v>
      </c>
      <c r="BD195" s="170" t="s">
        <v>141</v>
      </c>
      <c r="BE195" s="171">
        <v>1</v>
      </c>
      <c r="BF195" s="172" t="s">
        <v>2378</v>
      </c>
      <c r="BG195" s="173">
        <v>1</v>
      </c>
      <c r="BH195" s="174" t="s">
        <v>141</v>
      </c>
      <c r="BI195" s="175" t="s">
        <v>141</v>
      </c>
      <c r="BJ195" s="176" t="s">
        <v>141</v>
      </c>
      <c r="BK195" s="177" t="s">
        <v>2379</v>
      </c>
      <c r="BL195" s="178" t="s">
        <v>2380</v>
      </c>
      <c r="BM195" s="179" t="s">
        <v>2380</v>
      </c>
      <c r="BN195" s="180" t="s">
        <v>141</v>
      </c>
      <c r="BO195" s="181" t="s">
        <v>141</v>
      </c>
      <c r="BP195" s="182" t="s">
        <v>141</v>
      </c>
      <c r="BQ195" s="183" t="s">
        <v>141</v>
      </c>
      <c r="BR195" s="184" t="s">
        <v>2381</v>
      </c>
      <c r="BS195" s="185" t="s">
        <v>1991</v>
      </c>
      <c r="BT195" s="186" t="s">
        <v>141</v>
      </c>
      <c r="BU195" s="187" t="s">
        <v>2382</v>
      </c>
      <c r="BV195" s="188" t="s">
        <v>141</v>
      </c>
      <c r="BW195" s="189" t="s">
        <v>141</v>
      </c>
      <c r="BX195" s="190" t="s">
        <v>141</v>
      </c>
      <c r="BY195" s="191" t="s">
        <v>141</v>
      </c>
      <c r="BZ195" s="192" t="s">
        <v>141</v>
      </c>
      <c r="CA195" s="193" t="s">
        <v>141</v>
      </c>
      <c r="CB195" s="194" t="s">
        <v>141</v>
      </c>
      <c r="CC195" s="195" t="s">
        <v>141</v>
      </c>
      <c r="CD195" s="196" t="s">
        <v>141</v>
      </c>
      <c r="CE195" s="197" t="s">
        <v>141</v>
      </c>
      <c r="CF195" s="198" t="s">
        <v>141</v>
      </c>
      <c r="CG195" s="199" t="s">
        <v>141</v>
      </c>
      <c r="CH195" s="200" t="s">
        <v>141</v>
      </c>
      <c r="CI195" s="201" t="s">
        <v>141</v>
      </c>
      <c r="CJ195" s="202" t="s">
        <v>141</v>
      </c>
      <c r="CK195" s="203" t="s">
        <v>141</v>
      </c>
      <c r="CL195" s="204" t="s">
        <v>141</v>
      </c>
      <c r="CM195" s="205" t="s">
        <v>141</v>
      </c>
      <c r="CN195" s="206" t="s">
        <v>141</v>
      </c>
      <c r="CO195" s="207" t="s">
        <v>141</v>
      </c>
      <c r="CP195" s="208" t="s">
        <v>141</v>
      </c>
      <c r="CQ195" s="209" t="s">
        <v>141</v>
      </c>
      <c r="CR195" s="210" t="s">
        <v>141</v>
      </c>
      <c r="CS195" s="211" t="s">
        <v>141</v>
      </c>
      <c r="CT195" s="212" t="s">
        <v>141</v>
      </c>
      <c r="CU195" s="213" t="s">
        <v>141</v>
      </c>
      <c r="CV195" s="214" t="s">
        <v>141</v>
      </c>
      <c r="CW195" s="215" t="s">
        <v>141</v>
      </c>
      <c r="CX195" s="216">
        <v>50</v>
      </c>
      <c r="CY195" s="217" t="s">
        <v>150</v>
      </c>
      <c r="CZ195" s="218" t="s">
        <v>1429</v>
      </c>
      <c r="DA195" s="219" t="s">
        <v>152</v>
      </c>
      <c r="DB195" s="220" t="s">
        <v>153</v>
      </c>
      <c r="DC195" s="221" t="s">
        <v>1430</v>
      </c>
      <c r="DD195" s="222" t="s">
        <v>182</v>
      </c>
      <c r="DE195" s="223" t="s">
        <v>2383</v>
      </c>
      <c r="DF195" s="224" t="s">
        <v>157</v>
      </c>
      <c r="DG195" s="225">
        <v>2012</v>
      </c>
      <c r="DH195" s="226" t="s">
        <v>2384</v>
      </c>
      <c r="DI195" s="228" t="str">
        <f>HYPERLINK("https://my.pitchbook.com?c=32021-74T", "View company online")</f>
        <v>View company online</v>
      </c>
    </row>
    <row r="196" spans="1:113" x14ac:dyDescent="0.2">
      <c r="A196" s="3" t="s">
        <v>2385</v>
      </c>
      <c r="B196" s="4" t="s">
        <v>2366</v>
      </c>
      <c r="C196" s="5" t="s">
        <v>2367</v>
      </c>
      <c r="D196" s="6" t="s">
        <v>2368</v>
      </c>
      <c r="E196" s="7" t="s">
        <v>2369</v>
      </c>
      <c r="F196" s="8" t="s">
        <v>164</v>
      </c>
      <c r="G196" s="9" t="s">
        <v>165</v>
      </c>
      <c r="H196" s="10" t="s">
        <v>418</v>
      </c>
      <c r="I196" s="11" t="s">
        <v>2370</v>
      </c>
      <c r="J196" s="12" t="s">
        <v>130</v>
      </c>
      <c r="K196" s="13" t="s">
        <v>2371</v>
      </c>
      <c r="L196" s="14" t="s">
        <v>345</v>
      </c>
      <c r="M196" s="15" t="s">
        <v>133</v>
      </c>
      <c r="N196" s="16" t="s">
        <v>170</v>
      </c>
      <c r="O196" s="17" t="s">
        <v>2372</v>
      </c>
      <c r="P196" s="18" t="s">
        <v>2373</v>
      </c>
      <c r="Q196" s="19" t="s">
        <v>2374</v>
      </c>
      <c r="R196" s="20" t="s">
        <v>2375</v>
      </c>
      <c r="S196" s="21" t="s">
        <v>2376</v>
      </c>
      <c r="T196" s="22" t="s">
        <v>141</v>
      </c>
      <c r="U196" s="23">
        <v>2</v>
      </c>
      <c r="V196" s="24" t="s">
        <v>2385</v>
      </c>
      <c r="W196" s="25" t="s">
        <v>141</v>
      </c>
      <c r="X196" s="26">
        <v>41989</v>
      </c>
      <c r="Y196" s="27">
        <v>12.5</v>
      </c>
      <c r="Z196" s="28" t="s">
        <v>177</v>
      </c>
      <c r="AA196" s="29">
        <v>47.5</v>
      </c>
      <c r="AB196" s="30">
        <v>60</v>
      </c>
      <c r="AC196" s="31" t="s">
        <v>177</v>
      </c>
      <c r="AD196" s="32">
        <v>20.83</v>
      </c>
      <c r="AE196" s="33">
        <v>20</v>
      </c>
      <c r="AF196" s="34" t="s">
        <v>1582</v>
      </c>
      <c r="AG196" s="35" t="s">
        <v>1188</v>
      </c>
      <c r="AH196" s="36">
        <v>1.25</v>
      </c>
      <c r="AI196" s="37" t="s">
        <v>1551</v>
      </c>
      <c r="AJ196" s="38" t="s">
        <v>1518</v>
      </c>
      <c r="AK196" s="39" t="s">
        <v>1551</v>
      </c>
      <c r="AL196" s="40" t="s">
        <v>141</v>
      </c>
      <c r="AM196" s="41" t="s">
        <v>170</v>
      </c>
      <c r="AN196" s="42" t="s">
        <v>2386</v>
      </c>
      <c r="AO196" s="43">
        <v>12.5</v>
      </c>
      <c r="AP196" s="44" t="s">
        <v>145</v>
      </c>
      <c r="AQ196" s="45" t="s">
        <v>141</v>
      </c>
      <c r="AR196" s="46" t="s">
        <v>141</v>
      </c>
      <c r="AS196" s="47" t="s">
        <v>141</v>
      </c>
      <c r="AT196" s="48" t="s">
        <v>141</v>
      </c>
      <c r="AU196" s="49" t="s">
        <v>141</v>
      </c>
      <c r="AV196" s="50" t="s">
        <v>141</v>
      </c>
      <c r="AW196" s="51" t="s">
        <v>141</v>
      </c>
      <c r="AX196" s="52" t="s">
        <v>141</v>
      </c>
      <c r="AY196" s="53" t="s">
        <v>141</v>
      </c>
      <c r="AZ196" s="54" t="s">
        <v>141</v>
      </c>
      <c r="BA196" s="55" t="s">
        <v>146</v>
      </c>
      <c r="BB196" s="56" t="s">
        <v>263</v>
      </c>
      <c r="BC196" s="57" t="s">
        <v>132</v>
      </c>
      <c r="BD196" s="58">
        <v>17</v>
      </c>
      <c r="BE196" s="59">
        <v>2</v>
      </c>
      <c r="BF196" s="60" t="s">
        <v>2387</v>
      </c>
      <c r="BG196" s="61">
        <v>2</v>
      </c>
      <c r="BH196" s="62" t="s">
        <v>141</v>
      </c>
      <c r="BI196" s="63" t="s">
        <v>141</v>
      </c>
      <c r="BJ196" s="64" t="s">
        <v>141</v>
      </c>
      <c r="BK196" s="65" t="s">
        <v>2388</v>
      </c>
      <c r="BL196" s="66" t="s">
        <v>2389</v>
      </c>
      <c r="BM196" s="67" t="s">
        <v>2390</v>
      </c>
      <c r="BN196" s="68" t="s">
        <v>141</v>
      </c>
      <c r="BO196" s="69" t="s">
        <v>141</v>
      </c>
      <c r="BP196" s="70" t="s">
        <v>141</v>
      </c>
      <c r="BQ196" s="71" t="s">
        <v>141</v>
      </c>
      <c r="BR196" s="72" t="s">
        <v>2391</v>
      </c>
      <c r="BS196" s="73" t="s">
        <v>2391</v>
      </c>
      <c r="BT196" s="74" t="s">
        <v>141</v>
      </c>
      <c r="BU196" s="75" t="s">
        <v>141</v>
      </c>
      <c r="BV196" s="76" t="s">
        <v>141</v>
      </c>
      <c r="BW196" s="77" t="s">
        <v>141</v>
      </c>
      <c r="BX196" s="78" t="s">
        <v>141</v>
      </c>
      <c r="BY196" s="79" t="s">
        <v>141</v>
      </c>
      <c r="BZ196" s="80" t="s">
        <v>141</v>
      </c>
      <c r="CA196" s="81" t="s">
        <v>141</v>
      </c>
      <c r="CB196" s="82" t="s">
        <v>141</v>
      </c>
      <c r="CC196" s="83" t="s">
        <v>141</v>
      </c>
      <c r="CD196" s="84" t="s">
        <v>141</v>
      </c>
      <c r="CE196" s="85" t="s">
        <v>141</v>
      </c>
      <c r="CF196" s="86" t="s">
        <v>141</v>
      </c>
      <c r="CG196" s="87" t="s">
        <v>141</v>
      </c>
      <c r="CH196" s="88" t="s">
        <v>141</v>
      </c>
      <c r="CI196" s="89" t="s">
        <v>141</v>
      </c>
      <c r="CJ196" s="90" t="s">
        <v>141</v>
      </c>
      <c r="CK196" s="91" t="s">
        <v>141</v>
      </c>
      <c r="CL196" s="92" t="s">
        <v>141</v>
      </c>
      <c r="CM196" s="93" t="s">
        <v>141</v>
      </c>
      <c r="CN196" s="94" t="s">
        <v>141</v>
      </c>
      <c r="CO196" s="95" t="s">
        <v>141</v>
      </c>
      <c r="CP196" s="96" t="s">
        <v>141</v>
      </c>
      <c r="CQ196" s="97" t="s">
        <v>141</v>
      </c>
      <c r="CR196" s="98" t="s">
        <v>141</v>
      </c>
      <c r="CS196" s="99" t="s">
        <v>141</v>
      </c>
      <c r="CT196" s="100" t="s">
        <v>141</v>
      </c>
      <c r="CU196" s="101" t="s">
        <v>141</v>
      </c>
      <c r="CV196" s="102" t="s">
        <v>141</v>
      </c>
      <c r="CW196" s="103" t="s">
        <v>141</v>
      </c>
      <c r="CX196" s="104">
        <v>50</v>
      </c>
      <c r="CY196" s="105" t="s">
        <v>150</v>
      </c>
      <c r="CZ196" s="106" t="s">
        <v>1429</v>
      </c>
      <c r="DA196" s="107" t="s">
        <v>152</v>
      </c>
      <c r="DB196" s="108" t="s">
        <v>153</v>
      </c>
      <c r="DC196" s="109" t="s">
        <v>1430</v>
      </c>
      <c r="DD196" s="110" t="s">
        <v>182</v>
      </c>
      <c r="DE196" s="111" t="s">
        <v>2383</v>
      </c>
      <c r="DF196" s="112" t="s">
        <v>157</v>
      </c>
      <c r="DG196" s="113">
        <v>2012</v>
      </c>
      <c r="DH196" s="114" t="s">
        <v>2384</v>
      </c>
      <c r="DI196" s="227" t="str">
        <f>HYPERLINK("https://my.pitchbook.com?c=40507-75T", "View company online")</f>
        <v>View company online</v>
      </c>
    </row>
    <row r="197" spans="1:113" x14ac:dyDescent="0.2">
      <c r="A197" s="115" t="s">
        <v>2392</v>
      </c>
      <c r="B197" s="116" t="s">
        <v>2366</v>
      </c>
      <c r="C197" s="117" t="s">
        <v>2367</v>
      </c>
      <c r="D197" s="118" t="s">
        <v>2368</v>
      </c>
      <c r="E197" s="119" t="s">
        <v>2369</v>
      </c>
      <c r="F197" s="120" t="s">
        <v>164</v>
      </c>
      <c r="G197" s="121" t="s">
        <v>165</v>
      </c>
      <c r="H197" s="122" t="s">
        <v>418</v>
      </c>
      <c r="I197" s="123" t="s">
        <v>2370</v>
      </c>
      <c r="J197" s="124" t="s">
        <v>130</v>
      </c>
      <c r="K197" s="125" t="s">
        <v>2371</v>
      </c>
      <c r="L197" s="126" t="s">
        <v>345</v>
      </c>
      <c r="M197" s="127" t="s">
        <v>133</v>
      </c>
      <c r="N197" s="128" t="s">
        <v>170</v>
      </c>
      <c r="O197" s="129" t="s">
        <v>2393</v>
      </c>
      <c r="P197" s="130" t="s">
        <v>2394</v>
      </c>
      <c r="Q197" s="131" t="s">
        <v>141</v>
      </c>
      <c r="R197" s="132" t="s">
        <v>141</v>
      </c>
      <c r="S197" s="133" t="s">
        <v>2395</v>
      </c>
      <c r="T197" s="134" t="s">
        <v>2396</v>
      </c>
      <c r="U197" s="135">
        <v>3</v>
      </c>
      <c r="V197" s="136" t="s">
        <v>2392</v>
      </c>
      <c r="W197" s="137">
        <v>42633</v>
      </c>
      <c r="X197" s="138">
        <v>42642</v>
      </c>
      <c r="Y197" s="139">
        <v>10.7</v>
      </c>
      <c r="Z197" s="140" t="s">
        <v>177</v>
      </c>
      <c r="AA197" s="141" t="s">
        <v>141</v>
      </c>
      <c r="AB197" s="142" t="s">
        <v>141</v>
      </c>
      <c r="AC197" s="143" t="s">
        <v>141</v>
      </c>
      <c r="AD197" s="144" t="s">
        <v>141</v>
      </c>
      <c r="AE197" s="145">
        <v>30.7</v>
      </c>
      <c r="AF197" s="146" t="s">
        <v>1516</v>
      </c>
      <c r="AG197" s="147" t="s">
        <v>141</v>
      </c>
      <c r="AH197" s="148" t="s">
        <v>141</v>
      </c>
      <c r="AI197" s="149" t="s">
        <v>141</v>
      </c>
      <c r="AJ197" s="150" t="s">
        <v>1518</v>
      </c>
      <c r="AK197" s="151" t="s">
        <v>141</v>
      </c>
      <c r="AL197" s="152" t="s">
        <v>141</v>
      </c>
      <c r="AM197" s="153" t="s">
        <v>170</v>
      </c>
      <c r="AN197" s="154" t="s">
        <v>2397</v>
      </c>
      <c r="AO197" s="155">
        <v>10.7</v>
      </c>
      <c r="AP197" s="156" t="s">
        <v>145</v>
      </c>
      <c r="AQ197" s="157" t="s">
        <v>141</v>
      </c>
      <c r="AR197" s="158" t="s">
        <v>141</v>
      </c>
      <c r="AS197" s="159" t="s">
        <v>141</v>
      </c>
      <c r="AT197" s="160" t="s">
        <v>141</v>
      </c>
      <c r="AU197" s="161" t="s">
        <v>141</v>
      </c>
      <c r="AV197" s="162" t="s">
        <v>141</v>
      </c>
      <c r="AW197" s="163" t="s">
        <v>141</v>
      </c>
      <c r="AX197" s="164" t="s">
        <v>141</v>
      </c>
      <c r="AY197" s="165" t="s">
        <v>141</v>
      </c>
      <c r="AZ197" s="166" t="s">
        <v>141</v>
      </c>
      <c r="BA197" s="167" t="s">
        <v>146</v>
      </c>
      <c r="BB197" s="168" t="s">
        <v>133</v>
      </c>
      <c r="BC197" s="169" t="s">
        <v>132</v>
      </c>
      <c r="BD197" s="170" t="s">
        <v>141</v>
      </c>
      <c r="BE197" s="171">
        <v>2</v>
      </c>
      <c r="BF197" s="172" t="s">
        <v>2398</v>
      </c>
      <c r="BG197" s="173">
        <v>2</v>
      </c>
      <c r="BH197" s="174" t="s">
        <v>141</v>
      </c>
      <c r="BI197" s="175" t="s">
        <v>141</v>
      </c>
      <c r="BJ197" s="176" t="s">
        <v>141</v>
      </c>
      <c r="BK197" s="177" t="s">
        <v>2399</v>
      </c>
      <c r="BL197" s="178" t="s">
        <v>2400</v>
      </c>
      <c r="BM197" s="179" t="s">
        <v>141</v>
      </c>
      <c r="BN197" s="180" t="s">
        <v>141</v>
      </c>
      <c r="BO197" s="181" t="s">
        <v>141</v>
      </c>
      <c r="BP197" s="182" t="s">
        <v>141</v>
      </c>
      <c r="BQ197" s="183" t="s">
        <v>141</v>
      </c>
      <c r="BR197" s="184" t="s">
        <v>141</v>
      </c>
      <c r="BS197" s="185" t="s">
        <v>141</v>
      </c>
      <c r="BT197" s="186" t="s">
        <v>141</v>
      </c>
      <c r="BU197" s="187" t="s">
        <v>141</v>
      </c>
      <c r="BV197" s="188" t="s">
        <v>141</v>
      </c>
      <c r="BW197" s="189" t="s">
        <v>141</v>
      </c>
      <c r="BX197" s="190" t="s">
        <v>141</v>
      </c>
      <c r="BY197" s="191" t="s">
        <v>141</v>
      </c>
      <c r="BZ197" s="192" t="s">
        <v>141</v>
      </c>
      <c r="CA197" s="193" t="s">
        <v>141</v>
      </c>
      <c r="CB197" s="194" t="s">
        <v>141</v>
      </c>
      <c r="CC197" s="195" t="s">
        <v>141</v>
      </c>
      <c r="CD197" s="196" t="s">
        <v>141</v>
      </c>
      <c r="CE197" s="197" t="s">
        <v>141</v>
      </c>
      <c r="CF197" s="198" t="s">
        <v>141</v>
      </c>
      <c r="CG197" s="199" t="s">
        <v>141</v>
      </c>
      <c r="CH197" s="200" t="s">
        <v>141</v>
      </c>
      <c r="CI197" s="201" t="s">
        <v>141</v>
      </c>
      <c r="CJ197" s="202" t="s">
        <v>141</v>
      </c>
      <c r="CK197" s="203" t="s">
        <v>141</v>
      </c>
      <c r="CL197" s="204" t="s">
        <v>141</v>
      </c>
      <c r="CM197" s="205" t="s">
        <v>141</v>
      </c>
      <c r="CN197" s="206" t="s">
        <v>141</v>
      </c>
      <c r="CO197" s="207" t="s">
        <v>141</v>
      </c>
      <c r="CP197" s="208" t="s">
        <v>141</v>
      </c>
      <c r="CQ197" s="209" t="s">
        <v>141</v>
      </c>
      <c r="CR197" s="210" t="s">
        <v>141</v>
      </c>
      <c r="CS197" s="211" t="s">
        <v>141</v>
      </c>
      <c r="CT197" s="212" t="s">
        <v>141</v>
      </c>
      <c r="CU197" s="213" t="s">
        <v>141</v>
      </c>
      <c r="CV197" s="214" t="s">
        <v>141</v>
      </c>
      <c r="CW197" s="215" t="s">
        <v>141</v>
      </c>
      <c r="CX197" s="216">
        <v>50</v>
      </c>
      <c r="CY197" s="217" t="s">
        <v>150</v>
      </c>
      <c r="CZ197" s="218" t="s">
        <v>1429</v>
      </c>
      <c r="DA197" s="219" t="s">
        <v>152</v>
      </c>
      <c r="DB197" s="220" t="s">
        <v>153</v>
      </c>
      <c r="DC197" s="221" t="s">
        <v>1430</v>
      </c>
      <c r="DD197" s="222" t="s">
        <v>182</v>
      </c>
      <c r="DE197" s="223" t="s">
        <v>2383</v>
      </c>
      <c r="DF197" s="224" t="s">
        <v>157</v>
      </c>
      <c r="DG197" s="225">
        <v>2012</v>
      </c>
      <c r="DH197" s="226" t="s">
        <v>2384</v>
      </c>
      <c r="DI197" s="228" t="str">
        <f>HYPERLINK("https://my.pitchbook.com?c=76439-89T", "View company online")</f>
        <v>View company online</v>
      </c>
    </row>
    <row r="198" spans="1:113" x14ac:dyDescent="0.2">
      <c r="A198" s="3" t="s">
        <v>2401</v>
      </c>
      <c r="B198" s="4" t="s">
        <v>2402</v>
      </c>
      <c r="C198" s="5" t="s">
        <v>2403</v>
      </c>
      <c r="D198" s="6" t="s">
        <v>2404</v>
      </c>
      <c r="E198" s="7" t="s">
        <v>2405</v>
      </c>
      <c r="F198" s="8" t="s">
        <v>126</v>
      </c>
      <c r="G198" s="9" t="s">
        <v>340</v>
      </c>
      <c r="H198" s="10" t="s">
        <v>341</v>
      </c>
      <c r="I198" s="11" t="s">
        <v>2406</v>
      </c>
      <c r="J198" s="12" t="s">
        <v>2407</v>
      </c>
      <c r="K198" s="13" t="s">
        <v>2408</v>
      </c>
      <c r="L198" s="14" t="s">
        <v>345</v>
      </c>
      <c r="M198" s="15" t="s">
        <v>133</v>
      </c>
      <c r="N198" s="16" t="s">
        <v>170</v>
      </c>
      <c r="O198" s="17" t="s">
        <v>2409</v>
      </c>
      <c r="P198" s="18" t="s">
        <v>2410</v>
      </c>
      <c r="Q198" s="19" t="s">
        <v>141</v>
      </c>
      <c r="R198" s="20" t="s">
        <v>141</v>
      </c>
      <c r="S198" s="21" t="s">
        <v>2411</v>
      </c>
      <c r="T198" s="22" t="s">
        <v>141</v>
      </c>
      <c r="U198" s="23">
        <v>1</v>
      </c>
      <c r="V198" s="24" t="s">
        <v>2401</v>
      </c>
      <c r="W198" s="25" t="s">
        <v>141</v>
      </c>
      <c r="X198" s="26">
        <v>42548</v>
      </c>
      <c r="Y198" s="27">
        <v>20.100000000000001</v>
      </c>
      <c r="Z198" s="28" t="s">
        <v>177</v>
      </c>
      <c r="AA198" s="29">
        <v>40</v>
      </c>
      <c r="AB198" s="30">
        <v>60.1</v>
      </c>
      <c r="AC198" s="31" t="s">
        <v>177</v>
      </c>
      <c r="AD198" s="32">
        <v>33.44</v>
      </c>
      <c r="AE198" s="33">
        <v>20.100000000000001</v>
      </c>
      <c r="AF198" s="34" t="s">
        <v>1571</v>
      </c>
      <c r="AG198" s="35" t="s">
        <v>141</v>
      </c>
      <c r="AH198" s="36">
        <v>3.12</v>
      </c>
      <c r="AI198" s="37" t="s">
        <v>1517</v>
      </c>
      <c r="AJ198" s="38" t="s">
        <v>1518</v>
      </c>
      <c r="AK198" s="39" t="s">
        <v>1517</v>
      </c>
      <c r="AL198" s="40" t="s">
        <v>141</v>
      </c>
      <c r="AM198" s="41" t="s">
        <v>170</v>
      </c>
      <c r="AN198" s="42" t="s">
        <v>2412</v>
      </c>
      <c r="AO198" s="43">
        <v>20.100000000000001</v>
      </c>
      <c r="AP198" s="44" t="s">
        <v>145</v>
      </c>
      <c r="AQ198" s="45" t="s">
        <v>141</v>
      </c>
      <c r="AR198" s="46" t="s">
        <v>141</v>
      </c>
      <c r="AS198" s="47" t="s">
        <v>141</v>
      </c>
      <c r="AT198" s="48" t="s">
        <v>141</v>
      </c>
      <c r="AU198" s="49" t="s">
        <v>141</v>
      </c>
      <c r="AV198" s="50" t="s">
        <v>141</v>
      </c>
      <c r="AW198" s="51" t="s">
        <v>141</v>
      </c>
      <c r="AX198" s="52" t="s">
        <v>141</v>
      </c>
      <c r="AY198" s="53" t="s">
        <v>141</v>
      </c>
      <c r="AZ198" s="54" t="s">
        <v>141</v>
      </c>
      <c r="BA198" s="55" t="s">
        <v>146</v>
      </c>
      <c r="BB198" s="56" t="s">
        <v>263</v>
      </c>
      <c r="BC198" s="57" t="s">
        <v>132</v>
      </c>
      <c r="BD198" s="58">
        <v>81</v>
      </c>
      <c r="BE198" s="59">
        <v>3</v>
      </c>
      <c r="BF198" s="60" t="s">
        <v>2413</v>
      </c>
      <c r="BG198" s="61">
        <v>3</v>
      </c>
      <c r="BH198" s="62" t="s">
        <v>141</v>
      </c>
      <c r="BI198" s="63" t="s">
        <v>141</v>
      </c>
      <c r="BJ198" s="64" t="s">
        <v>141</v>
      </c>
      <c r="BK198" s="65" t="s">
        <v>1508</v>
      </c>
      <c r="BL198" s="66" t="s">
        <v>2414</v>
      </c>
      <c r="BM198" s="67" t="s">
        <v>141</v>
      </c>
      <c r="BN198" s="68" t="s">
        <v>2415</v>
      </c>
      <c r="BO198" s="69" t="s">
        <v>141</v>
      </c>
      <c r="BP198" s="70" t="s">
        <v>141</v>
      </c>
      <c r="BQ198" s="71" t="s">
        <v>141</v>
      </c>
      <c r="BR198" s="72" t="s">
        <v>2416</v>
      </c>
      <c r="BS198" s="73" t="s">
        <v>2416</v>
      </c>
      <c r="BT198" s="74" t="s">
        <v>2417</v>
      </c>
      <c r="BU198" s="75" t="s">
        <v>141</v>
      </c>
      <c r="BV198" s="76" t="s">
        <v>141</v>
      </c>
      <c r="BW198" s="77" t="s">
        <v>141</v>
      </c>
      <c r="BX198" s="78" t="s">
        <v>141</v>
      </c>
      <c r="BY198" s="79" t="s">
        <v>141</v>
      </c>
      <c r="BZ198" s="80" t="s">
        <v>141</v>
      </c>
      <c r="CA198" s="81" t="s">
        <v>141</v>
      </c>
      <c r="CB198" s="82" t="s">
        <v>141</v>
      </c>
      <c r="CC198" s="83" t="s">
        <v>141</v>
      </c>
      <c r="CD198" s="84" t="s">
        <v>141</v>
      </c>
      <c r="CE198" s="85" t="s">
        <v>141</v>
      </c>
      <c r="CF198" s="86" t="s">
        <v>141</v>
      </c>
      <c r="CG198" s="87" t="s">
        <v>141</v>
      </c>
      <c r="CH198" s="88" t="s">
        <v>141</v>
      </c>
      <c r="CI198" s="89" t="s">
        <v>141</v>
      </c>
      <c r="CJ198" s="90" t="s">
        <v>141</v>
      </c>
      <c r="CK198" s="91" t="s">
        <v>141</v>
      </c>
      <c r="CL198" s="92" t="s">
        <v>141</v>
      </c>
      <c r="CM198" s="93" t="s">
        <v>141</v>
      </c>
      <c r="CN198" s="94" t="s">
        <v>141</v>
      </c>
      <c r="CO198" s="95" t="s">
        <v>141</v>
      </c>
      <c r="CP198" s="96" t="s">
        <v>141</v>
      </c>
      <c r="CQ198" s="97" t="s">
        <v>141</v>
      </c>
      <c r="CR198" s="98" t="s">
        <v>141</v>
      </c>
      <c r="CS198" s="99" t="s">
        <v>141</v>
      </c>
      <c r="CT198" s="100" t="s">
        <v>141</v>
      </c>
      <c r="CU198" s="101" t="s">
        <v>141</v>
      </c>
      <c r="CV198" s="102" t="s">
        <v>141</v>
      </c>
      <c r="CW198" s="103" t="s">
        <v>141</v>
      </c>
      <c r="CX198" s="104">
        <v>270</v>
      </c>
      <c r="CY198" s="105" t="s">
        <v>150</v>
      </c>
      <c r="CZ198" s="106" t="s">
        <v>2418</v>
      </c>
      <c r="DA198" s="107" t="s">
        <v>152</v>
      </c>
      <c r="DB198" s="108" t="s">
        <v>153</v>
      </c>
      <c r="DC198" s="109" t="s">
        <v>2419</v>
      </c>
      <c r="DD198" s="110" t="s">
        <v>2420</v>
      </c>
      <c r="DE198" s="111" t="s">
        <v>2421</v>
      </c>
      <c r="DF198" s="112" t="s">
        <v>157</v>
      </c>
      <c r="DG198" s="113">
        <v>2014</v>
      </c>
      <c r="DH198" s="114" t="s">
        <v>2422</v>
      </c>
      <c r="DI198" s="227" t="str">
        <f>HYPERLINK("https://my.pitchbook.com?c=73400-86T", "View company online")</f>
        <v>View company online</v>
      </c>
    </row>
    <row r="199" spans="1:113" x14ac:dyDescent="0.2">
      <c r="A199" s="115" t="s">
        <v>2423</v>
      </c>
      <c r="B199" s="116" t="s">
        <v>2402</v>
      </c>
      <c r="C199" s="117" t="s">
        <v>2403</v>
      </c>
      <c r="D199" s="118" t="s">
        <v>2404</v>
      </c>
      <c r="E199" s="119" t="s">
        <v>2405</v>
      </c>
      <c r="F199" s="120" t="s">
        <v>126</v>
      </c>
      <c r="G199" s="121" t="s">
        <v>340</v>
      </c>
      <c r="H199" s="122" t="s">
        <v>341</v>
      </c>
      <c r="I199" s="123" t="s">
        <v>2406</v>
      </c>
      <c r="J199" s="124" t="s">
        <v>2407</v>
      </c>
      <c r="K199" s="125" t="s">
        <v>2408</v>
      </c>
      <c r="L199" s="126" t="s">
        <v>345</v>
      </c>
      <c r="M199" s="127" t="s">
        <v>133</v>
      </c>
      <c r="N199" s="128" t="s">
        <v>170</v>
      </c>
      <c r="O199" s="129" t="s">
        <v>2409</v>
      </c>
      <c r="P199" s="130" t="s">
        <v>2410</v>
      </c>
      <c r="Q199" s="131" t="s">
        <v>141</v>
      </c>
      <c r="R199" s="132" t="s">
        <v>141</v>
      </c>
      <c r="S199" s="133" t="s">
        <v>2411</v>
      </c>
      <c r="T199" s="134" t="s">
        <v>141</v>
      </c>
      <c r="U199" s="135">
        <v>2</v>
      </c>
      <c r="V199" s="136" t="s">
        <v>2423</v>
      </c>
      <c r="W199" s="137" t="s">
        <v>141</v>
      </c>
      <c r="X199" s="138">
        <v>42887</v>
      </c>
      <c r="Y199" s="139">
        <v>40</v>
      </c>
      <c r="Z199" s="140" t="s">
        <v>177</v>
      </c>
      <c r="AA199" s="141">
        <v>165</v>
      </c>
      <c r="AB199" s="142">
        <v>205</v>
      </c>
      <c r="AC199" s="143" t="s">
        <v>177</v>
      </c>
      <c r="AD199" s="144">
        <v>19.510000000000002</v>
      </c>
      <c r="AE199" s="145">
        <v>60.1</v>
      </c>
      <c r="AF199" s="146" t="s">
        <v>1582</v>
      </c>
      <c r="AG199" s="147" t="s">
        <v>1188</v>
      </c>
      <c r="AH199" s="148">
        <v>8.2100000000000009</v>
      </c>
      <c r="AI199" s="149" t="s">
        <v>1551</v>
      </c>
      <c r="AJ199" s="150" t="s">
        <v>1518</v>
      </c>
      <c r="AK199" s="151" t="s">
        <v>1551</v>
      </c>
      <c r="AL199" s="152" t="s">
        <v>141</v>
      </c>
      <c r="AM199" s="153" t="s">
        <v>170</v>
      </c>
      <c r="AN199" s="154" t="s">
        <v>2424</v>
      </c>
      <c r="AO199" s="155">
        <v>40</v>
      </c>
      <c r="AP199" s="156" t="s">
        <v>145</v>
      </c>
      <c r="AQ199" s="157" t="s">
        <v>141</v>
      </c>
      <c r="AR199" s="158" t="s">
        <v>141</v>
      </c>
      <c r="AS199" s="159" t="s">
        <v>141</v>
      </c>
      <c r="AT199" s="160" t="s">
        <v>141</v>
      </c>
      <c r="AU199" s="161" t="s">
        <v>141</v>
      </c>
      <c r="AV199" s="162" t="s">
        <v>141</v>
      </c>
      <c r="AW199" s="163" t="s">
        <v>141</v>
      </c>
      <c r="AX199" s="164" t="s">
        <v>141</v>
      </c>
      <c r="AY199" s="165" t="s">
        <v>141</v>
      </c>
      <c r="AZ199" s="166" t="s">
        <v>141</v>
      </c>
      <c r="BA199" s="167" t="s">
        <v>146</v>
      </c>
      <c r="BB199" s="168" t="s">
        <v>263</v>
      </c>
      <c r="BC199" s="169" t="s">
        <v>132</v>
      </c>
      <c r="BD199" s="170">
        <v>170</v>
      </c>
      <c r="BE199" s="171">
        <v>5</v>
      </c>
      <c r="BF199" s="172" t="s">
        <v>2425</v>
      </c>
      <c r="BG199" s="173">
        <v>2</v>
      </c>
      <c r="BH199" s="174" t="s">
        <v>2413</v>
      </c>
      <c r="BI199" s="175">
        <v>3</v>
      </c>
      <c r="BJ199" s="176" t="s">
        <v>141</v>
      </c>
      <c r="BK199" s="177" t="s">
        <v>2426</v>
      </c>
      <c r="BL199" s="178" t="s">
        <v>2427</v>
      </c>
      <c r="BM199" s="179" t="s">
        <v>2428</v>
      </c>
      <c r="BN199" s="180" t="s">
        <v>2429</v>
      </c>
      <c r="BO199" s="181" t="s">
        <v>141</v>
      </c>
      <c r="BP199" s="182" t="s">
        <v>141</v>
      </c>
      <c r="BQ199" s="183" t="s">
        <v>141</v>
      </c>
      <c r="BR199" s="184" t="s">
        <v>2416</v>
      </c>
      <c r="BS199" s="185" t="s">
        <v>2416</v>
      </c>
      <c r="BT199" s="186" t="s">
        <v>2417</v>
      </c>
      <c r="BU199" s="187" t="s">
        <v>141</v>
      </c>
      <c r="BV199" s="188" t="s">
        <v>141</v>
      </c>
      <c r="BW199" s="189" t="s">
        <v>141</v>
      </c>
      <c r="BX199" s="190" t="s">
        <v>141</v>
      </c>
      <c r="BY199" s="191" t="s">
        <v>141</v>
      </c>
      <c r="BZ199" s="192" t="s">
        <v>141</v>
      </c>
      <c r="CA199" s="193" t="s">
        <v>141</v>
      </c>
      <c r="CB199" s="194" t="s">
        <v>141</v>
      </c>
      <c r="CC199" s="195" t="s">
        <v>141</v>
      </c>
      <c r="CD199" s="196" t="s">
        <v>141</v>
      </c>
      <c r="CE199" s="197" t="s">
        <v>141</v>
      </c>
      <c r="CF199" s="198" t="s">
        <v>141</v>
      </c>
      <c r="CG199" s="199" t="s">
        <v>141</v>
      </c>
      <c r="CH199" s="200" t="s">
        <v>141</v>
      </c>
      <c r="CI199" s="201" t="s">
        <v>141</v>
      </c>
      <c r="CJ199" s="202" t="s">
        <v>141</v>
      </c>
      <c r="CK199" s="203" t="s">
        <v>141</v>
      </c>
      <c r="CL199" s="204" t="s">
        <v>141</v>
      </c>
      <c r="CM199" s="205" t="s">
        <v>141</v>
      </c>
      <c r="CN199" s="206" t="s">
        <v>141</v>
      </c>
      <c r="CO199" s="207" t="s">
        <v>141</v>
      </c>
      <c r="CP199" s="208" t="s">
        <v>141</v>
      </c>
      <c r="CQ199" s="209" t="s">
        <v>141</v>
      </c>
      <c r="CR199" s="210" t="s">
        <v>141</v>
      </c>
      <c r="CS199" s="211" t="s">
        <v>141</v>
      </c>
      <c r="CT199" s="212" t="s">
        <v>141</v>
      </c>
      <c r="CU199" s="213" t="s">
        <v>141</v>
      </c>
      <c r="CV199" s="214" t="s">
        <v>141</v>
      </c>
      <c r="CW199" s="215" t="s">
        <v>141</v>
      </c>
      <c r="CX199" s="216">
        <v>270</v>
      </c>
      <c r="CY199" s="217" t="s">
        <v>150</v>
      </c>
      <c r="CZ199" s="218" t="s">
        <v>2418</v>
      </c>
      <c r="DA199" s="219" t="s">
        <v>152</v>
      </c>
      <c r="DB199" s="220" t="s">
        <v>153</v>
      </c>
      <c r="DC199" s="221" t="s">
        <v>2419</v>
      </c>
      <c r="DD199" s="222" t="s">
        <v>2420</v>
      </c>
      <c r="DE199" s="223" t="s">
        <v>2421</v>
      </c>
      <c r="DF199" s="224" t="s">
        <v>157</v>
      </c>
      <c r="DG199" s="225">
        <v>2014</v>
      </c>
      <c r="DH199" s="226" t="s">
        <v>2422</v>
      </c>
      <c r="DI199" s="228" t="str">
        <f>HYPERLINK("https://my.pitchbook.com?c=88722-19T", "View company online")</f>
        <v>View company online</v>
      </c>
    </row>
    <row r="200" spans="1:113" x14ac:dyDescent="0.2">
      <c r="A200" s="3" t="s">
        <v>2430</v>
      </c>
      <c r="B200" s="4" t="s">
        <v>2431</v>
      </c>
      <c r="C200" s="5" t="s">
        <v>2432</v>
      </c>
      <c r="D200" s="6" t="s">
        <v>2433</v>
      </c>
      <c r="E200" s="7" t="s">
        <v>2434</v>
      </c>
      <c r="F200" s="8" t="s">
        <v>126</v>
      </c>
      <c r="G200" s="9" t="s">
        <v>127</v>
      </c>
      <c r="H200" s="10" t="s">
        <v>128</v>
      </c>
      <c r="I200" s="11" t="s">
        <v>129</v>
      </c>
      <c r="J200" s="12" t="s">
        <v>773</v>
      </c>
      <c r="K200" s="13" t="s">
        <v>2435</v>
      </c>
      <c r="L200" s="14" t="s">
        <v>132</v>
      </c>
      <c r="M200" s="15" t="s">
        <v>133</v>
      </c>
      <c r="N200" s="16" t="s">
        <v>170</v>
      </c>
      <c r="O200" s="17" t="s">
        <v>2436</v>
      </c>
      <c r="P200" s="18" t="s">
        <v>2437</v>
      </c>
      <c r="Q200" s="19" t="s">
        <v>2438</v>
      </c>
      <c r="R200" s="20" t="s">
        <v>141</v>
      </c>
      <c r="S200" s="21" t="s">
        <v>2439</v>
      </c>
      <c r="T200" s="22" t="s">
        <v>141</v>
      </c>
      <c r="U200" s="23">
        <v>1</v>
      </c>
      <c r="V200" s="24" t="s">
        <v>2430</v>
      </c>
      <c r="W200" s="25" t="s">
        <v>141</v>
      </c>
      <c r="X200" s="26">
        <v>41640</v>
      </c>
      <c r="Y200" s="27" t="s">
        <v>141</v>
      </c>
      <c r="Z200" s="28" t="s">
        <v>141</v>
      </c>
      <c r="AA200" s="29" t="s">
        <v>141</v>
      </c>
      <c r="AB200" s="30" t="s">
        <v>141</v>
      </c>
      <c r="AC200" s="31" t="s">
        <v>141</v>
      </c>
      <c r="AD200" s="32" t="s">
        <v>141</v>
      </c>
      <c r="AE200" s="33" t="s">
        <v>141</v>
      </c>
      <c r="AF200" s="34" t="s">
        <v>1571</v>
      </c>
      <c r="AG200" s="35" t="s">
        <v>141</v>
      </c>
      <c r="AH200" s="36" t="s">
        <v>141</v>
      </c>
      <c r="AI200" s="37" t="s">
        <v>141</v>
      </c>
      <c r="AJ200" s="38" t="s">
        <v>1518</v>
      </c>
      <c r="AK200" s="39" t="s">
        <v>141</v>
      </c>
      <c r="AL200" s="40" t="s">
        <v>141</v>
      </c>
      <c r="AM200" s="41" t="s">
        <v>170</v>
      </c>
      <c r="AN200" s="42" t="s">
        <v>2434</v>
      </c>
      <c r="AO200" s="43" t="s">
        <v>141</v>
      </c>
      <c r="AP200" s="44" t="s">
        <v>145</v>
      </c>
      <c r="AQ200" s="45" t="s">
        <v>141</v>
      </c>
      <c r="AR200" s="46" t="s">
        <v>141</v>
      </c>
      <c r="AS200" s="47" t="s">
        <v>141</v>
      </c>
      <c r="AT200" s="48" t="s">
        <v>141</v>
      </c>
      <c r="AU200" s="49" t="s">
        <v>141</v>
      </c>
      <c r="AV200" s="50" t="s">
        <v>141</v>
      </c>
      <c r="AW200" s="51" t="s">
        <v>141</v>
      </c>
      <c r="AX200" s="52" t="s">
        <v>141</v>
      </c>
      <c r="AY200" s="53" t="s">
        <v>141</v>
      </c>
      <c r="AZ200" s="54" t="s">
        <v>141</v>
      </c>
      <c r="BA200" s="55" t="s">
        <v>146</v>
      </c>
      <c r="BB200" s="56" t="s">
        <v>263</v>
      </c>
      <c r="BC200" s="57" t="s">
        <v>132</v>
      </c>
      <c r="BD200" s="58" t="s">
        <v>141</v>
      </c>
      <c r="BE200" s="59">
        <v>1</v>
      </c>
      <c r="BF200" s="60" t="s">
        <v>2440</v>
      </c>
      <c r="BG200" s="61">
        <v>1</v>
      </c>
      <c r="BH200" s="62" t="s">
        <v>141</v>
      </c>
      <c r="BI200" s="63" t="s">
        <v>141</v>
      </c>
      <c r="BJ200" s="64" t="s">
        <v>141</v>
      </c>
      <c r="BK200" s="65" t="s">
        <v>2441</v>
      </c>
      <c r="BL200" s="66" t="s">
        <v>2442</v>
      </c>
      <c r="BM200" s="67" t="s">
        <v>2442</v>
      </c>
      <c r="BN200" s="68" t="s">
        <v>141</v>
      </c>
      <c r="BO200" s="69" t="s">
        <v>141</v>
      </c>
      <c r="BP200" s="70" t="s">
        <v>141</v>
      </c>
      <c r="BQ200" s="71" t="s">
        <v>141</v>
      </c>
      <c r="BR200" s="72" t="s">
        <v>141</v>
      </c>
      <c r="BS200" s="73" t="s">
        <v>141</v>
      </c>
      <c r="BT200" s="74" t="s">
        <v>141</v>
      </c>
      <c r="BU200" s="75" t="s">
        <v>141</v>
      </c>
      <c r="BV200" s="76" t="s">
        <v>141</v>
      </c>
      <c r="BW200" s="77" t="s">
        <v>141</v>
      </c>
      <c r="BX200" s="78" t="s">
        <v>141</v>
      </c>
      <c r="BY200" s="79" t="s">
        <v>141</v>
      </c>
      <c r="BZ200" s="80" t="s">
        <v>141</v>
      </c>
      <c r="CA200" s="81" t="s">
        <v>141</v>
      </c>
      <c r="CB200" s="82" t="s">
        <v>141</v>
      </c>
      <c r="CC200" s="83" t="s">
        <v>141</v>
      </c>
      <c r="CD200" s="84" t="s">
        <v>141</v>
      </c>
      <c r="CE200" s="85" t="s">
        <v>141</v>
      </c>
      <c r="CF200" s="86" t="s">
        <v>141</v>
      </c>
      <c r="CG200" s="87" t="s">
        <v>141</v>
      </c>
      <c r="CH200" s="88" t="s">
        <v>141</v>
      </c>
      <c r="CI200" s="89" t="s">
        <v>141</v>
      </c>
      <c r="CJ200" s="90" t="s">
        <v>141</v>
      </c>
      <c r="CK200" s="91" t="s">
        <v>141</v>
      </c>
      <c r="CL200" s="92" t="s">
        <v>141</v>
      </c>
      <c r="CM200" s="93" t="s">
        <v>141</v>
      </c>
      <c r="CN200" s="94" t="s">
        <v>141</v>
      </c>
      <c r="CO200" s="95" t="s">
        <v>141</v>
      </c>
      <c r="CP200" s="96" t="s">
        <v>141</v>
      </c>
      <c r="CQ200" s="97" t="s">
        <v>141</v>
      </c>
      <c r="CR200" s="98" t="s">
        <v>141</v>
      </c>
      <c r="CS200" s="99" t="s">
        <v>141</v>
      </c>
      <c r="CT200" s="100" t="s">
        <v>141</v>
      </c>
      <c r="CU200" s="101" t="s">
        <v>141</v>
      </c>
      <c r="CV200" s="102" t="s">
        <v>141</v>
      </c>
      <c r="CW200" s="103" t="s">
        <v>141</v>
      </c>
      <c r="CX200" s="104" t="s">
        <v>141</v>
      </c>
      <c r="CY200" s="105" t="s">
        <v>150</v>
      </c>
      <c r="CZ200" s="106" t="s">
        <v>327</v>
      </c>
      <c r="DA200" s="107" t="s">
        <v>152</v>
      </c>
      <c r="DB200" s="108" t="s">
        <v>153</v>
      </c>
      <c r="DC200" s="109" t="s">
        <v>328</v>
      </c>
      <c r="DD200" s="110" t="s">
        <v>329</v>
      </c>
      <c r="DE200" s="111" t="s">
        <v>2443</v>
      </c>
      <c r="DF200" s="112" t="s">
        <v>157</v>
      </c>
      <c r="DG200" s="113">
        <v>2014</v>
      </c>
      <c r="DH200" s="114" t="s">
        <v>2444</v>
      </c>
      <c r="DI200" s="227" t="str">
        <f>HYPERLINK("https://my.pitchbook.com?c=125146-90T", "View company online")</f>
        <v>View company online</v>
      </c>
    </row>
    <row r="201" spans="1:113" x14ac:dyDescent="0.2">
      <c r="A201" s="115" t="s">
        <v>2445</v>
      </c>
      <c r="B201" s="116" t="s">
        <v>2446</v>
      </c>
      <c r="C201" s="117" t="s">
        <v>2447</v>
      </c>
      <c r="D201" s="118" t="s">
        <v>2448</v>
      </c>
      <c r="E201" s="119" t="s">
        <v>2449</v>
      </c>
      <c r="F201" s="120" t="s">
        <v>164</v>
      </c>
      <c r="G201" s="121" t="s">
        <v>165</v>
      </c>
      <c r="H201" s="122" t="s">
        <v>190</v>
      </c>
      <c r="I201" s="123" t="s">
        <v>2450</v>
      </c>
      <c r="J201" s="124" t="s">
        <v>2451</v>
      </c>
      <c r="K201" s="125" t="s">
        <v>2452</v>
      </c>
      <c r="L201" s="126" t="s">
        <v>740</v>
      </c>
      <c r="M201" s="127" t="s">
        <v>133</v>
      </c>
      <c r="N201" s="128" t="s">
        <v>741</v>
      </c>
      <c r="O201" s="129" t="s">
        <v>2453</v>
      </c>
      <c r="P201" s="130" t="s">
        <v>2454</v>
      </c>
      <c r="Q201" s="131" t="s">
        <v>2455</v>
      </c>
      <c r="R201" s="132" t="s">
        <v>141</v>
      </c>
      <c r="S201" s="133" t="s">
        <v>2456</v>
      </c>
      <c r="T201" s="134" t="s">
        <v>2457</v>
      </c>
      <c r="U201" s="135">
        <v>2</v>
      </c>
      <c r="V201" s="136" t="s">
        <v>2445</v>
      </c>
      <c r="W201" s="137" t="s">
        <v>141</v>
      </c>
      <c r="X201" s="138">
        <v>40373</v>
      </c>
      <c r="Y201" s="139">
        <v>15</v>
      </c>
      <c r="Z201" s="140" t="s">
        <v>177</v>
      </c>
      <c r="AA201" s="141">
        <v>64.72</v>
      </c>
      <c r="AB201" s="142">
        <v>79.72</v>
      </c>
      <c r="AC201" s="143" t="s">
        <v>177</v>
      </c>
      <c r="AD201" s="144">
        <v>15.56</v>
      </c>
      <c r="AE201" s="145">
        <v>20.079999999999998</v>
      </c>
      <c r="AF201" s="146" t="s">
        <v>1582</v>
      </c>
      <c r="AG201" s="147" t="s">
        <v>1188</v>
      </c>
      <c r="AH201" s="148">
        <v>2.75</v>
      </c>
      <c r="AI201" s="149" t="s">
        <v>1551</v>
      </c>
      <c r="AJ201" s="150" t="s">
        <v>1518</v>
      </c>
      <c r="AK201" s="151" t="s">
        <v>1551</v>
      </c>
      <c r="AL201" s="152" t="s">
        <v>141</v>
      </c>
      <c r="AM201" s="153" t="s">
        <v>170</v>
      </c>
      <c r="AN201" s="154" t="s">
        <v>2458</v>
      </c>
      <c r="AO201" s="155">
        <v>15</v>
      </c>
      <c r="AP201" s="156" t="s">
        <v>145</v>
      </c>
      <c r="AQ201" s="157" t="s">
        <v>141</v>
      </c>
      <c r="AR201" s="158" t="s">
        <v>141</v>
      </c>
      <c r="AS201" s="159" t="s">
        <v>141</v>
      </c>
      <c r="AT201" s="160" t="s">
        <v>141</v>
      </c>
      <c r="AU201" s="161" t="s">
        <v>141</v>
      </c>
      <c r="AV201" s="162" t="s">
        <v>141</v>
      </c>
      <c r="AW201" s="163" t="s">
        <v>141</v>
      </c>
      <c r="AX201" s="164" t="s">
        <v>141</v>
      </c>
      <c r="AY201" s="165" t="s">
        <v>141</v>
      </c>
      <c r="AZ201" s="166" t="s">
        <v>141</v>
      </c>
      <c r="BA201" s="167" t="s">
        <v>146</v>
      </c>
      <c r="BB201" s="168" t="s">
        <v>263</v>
      </c>
      <c r="BC201" s="169" t="s">
        <v>132</v>
      </c>
      <c r="BD201" s="170" t="s">
        <v>141</v>
      </c>
      <c r="BE201" s="171">
        <v>9</v>
      </c>
      <c r="BF201" s="172" t="s">
        <v>2459</v>
      </c>
      <c r="BG201" s="173">
        <v>6</v>
      </c>
      <c r="BH201" s="174" t="s">
        <v>2460</v>
      </c>
      <c r="BI201" s="175">
        <v>3</v>
      </c>
      <c r="BJ201" s="176" t="s">
        <v>141</v>
      </c>
      <c r="BK201" s="177" t="s">
        <v>2461</v>
      </c>
      <c r="BL201" s="178" t="s">
        <v>2462</v>
      </c>
      <c r="BM201" s="179" t="s">
        <v>2463</v>
      </c>
      <c r="BN201" s="180" t="s">
        <v>2464</v>
      </c>
      <c r="BO201" s="181" t="s">
        <v>141</v>
      </c>
      <c r="BP201" s="182" t="s">
        <v>141</v>
      </c>
      <c r="BQ201" s="183" t="s">
        <v>141</v>
      </c>
      <c r="BR201" s="184" t="s">
        <v>141</v>
      </c>
      <c r="BS201" s="185" t="s">
        <v>141</v>
      </c>
      <c r="BT201" s="186" t="s">
        <v>141</v>
      </c>
      <c r="BU201" s="187" t="s">
        <v>141</v>
      </c>
      <c r="BV201" s="188" t="s">
        <v>141</v>
      </c>
      <c r="BW201" s="189" t="s">
        <v>141</v>
      </c>
      <c r="BX201" s="190">
        <v>1.1200000000000001</v>
      </c>
      <c r="BY201" s="191" t="s">
        <v>141</v>
      </c>
      <c r="BZ201" s="192" t="s">
        <v>141</v>
      </c>
      <c r="CA201" s="193" t="s">
        <v>141</v>
      </c>
      <c r="CB201" s="194" t="s">
        <v>141</v>
      </c>
      <c r="CC201" s="195" t="s">
        <v>141</v>
      </c>
      <c r="CD201" s="196" t="s">
        <v>141</v>
      </c>
      <c r="CE201" s="197">
        <v>2010</v>
      </c>
      <c r="CF201" s="198" t="s">
        <v>141</v>
      </c>
      <c r="CG201" s="199" t="s">
        <v>141</v>
      </c>
      <c r="CH201" s="200" t="s">
        <v>141</v>
      </c>
      <c r="CI201" s="201">
        <v>71.19</v>
      </c>
      <c r="CJ201" s="202" t="s">
        <v>141</v>
      </c>
      <c r="CK201" s="203" t="s">
        <v>141</v>
      </c>
      <c r="CL201" s="204" t="s">
        <v>141</v>
      </c>
      <c r="CM201" s="205" t="s">
        <v>141</v>
      </c>
      <c r="CN201" s="206">
        <v>13.39</v>
      </c>
      <c r="CO201" s="207" t="s">
        <v>141</v>
      </c>
      <c r="CP201" s="208" t="s">
        <v>141</v>
      </c>
      <c r="CQ201" s="209" t="s">
        <v>141</v>
      </c>
      <c r="CR201" s="210" t="s">
        <v>141</v>
      </c>
      <c r="CS201" s="211" t="s">
        <v>141</v>
      </c>
      <c r="CT201" s="212" t="s">
        <v>141</v>
      </c>
      <c r="CU201" s="213" t="s">
        <v>141</v>
      </c>
      <c r="CV201" s="214" t="s">
        <v>141</v>
      </c>
      <c r="CW201" s="215" t="s">
        <v>141</v>
      </c>
      <c r="CX201" s="216">
        <v>270</v>
      </c>
      <c r="CY201" s="217" t="s">
        <v>150</v>
      </c>
      <c r="CZ201" s="218" t="s">
        <v>2465</v>
      </c>
      <c r="DA201" s="219" t="s">
        <v>152</v>
      </c>
      <c r="DB201" s="220" t="s">
        <v>153</v>
      </c>
      <c r="DC201" s="221" t="s">
        <v>2466</v>
      </c>
      <c r="DD201" s="222" t="s">
        <v>182</v>
      </c>
      <c r="DE201" s="223" t="s">
        <v>2467</v>
      </c>
      <c r="DF201" s="224" t="s">
        <v>157</v>
      </c>
      <c r="DG201" s="225">
        <v>2009</v>
      </c>
      <c r="DH201" s="226" t="s">
        <v>2468</v>
      </c>
      <c r="DI201" s="228" t="str">
        <f>HYPERLINK("https://my.pitchbook.com?c=17366-86T", "View company online")</f>
        <v>View company online</v>
      </c>
    </row>
    <row r="202" spans="1:113" x14ac:dyDescent="0.2">
      <c r="A202" s="3" t="s">
        <v>2469</v>
      </c>
      <c r="B202" s="4" t="s">
        <v>2446</v>
      </c>
      <c r="C202" s="5" t="s">
        <v>2447</v>
      </c>
      <c r="D202" s="6" t="s">
        <v>2448</v>
      </c>
      <c r="E202" s="7" t="s">
        <v>2449</v>
      </c>
      <c r="F202" s="8" t="s">
        <v>164</v>
      </c>
      <c r="G202" s="9" t="s">
        <v>165</v>
      </c>
      <c r="H202" s="10" t="s">
        <v>190</v>
      </c>
      <c r="I202" s="11" t="s">
        <v>2450</v>
      </c>
      <c r="J202" s="12" t="s">
        <v>2451</v>
      </c>
      <c r="K202" s="13" t="s">
        <v>2452</v>
      </c>
      <c r="L202" s="14" t="s">
        <v>740</v>
      </c>
      <c r="M202" s="15" t="s">
        <v>133</v>
      </c>
      <c r="N202" s="16" t="s">
        <v>741</v>
      </c>
      <c r="O202" s="17" t="s">
        <v>2453</v>
      </c>
      <c r="P202" s="18" t="s">
        <v>2454</v>
      </c>
      <c r="Q202" s="19" t="s">
        <v>2455</v>
      </c>
      <c r="R202" s="20" t="s">
        <v>141</v>
      </c>
      <c r="S202" s="21" t="s">
        <v>2456</v>
      </c>
      <c r="T202" s="22" t="s">
        <v>2457</v>
      </c>
      <c r="U202" s="23">
        <v>1</v>
      </c>
      <c r="V202" s="24" t="s">
        <v>2469</v>
      </c>
      <c r="W202" s="25" t="s">
        <v>141</v>
      </c>
      <c r="X202" s="26">
        <v>40179</v>
      </c>
      <c r="Y202" s="27">
        <v>5.08</v>
      </c>
      <c r="Z202" s="28" t="s">
        <v>177</v>
      </c>
      <c r="AA202" s="29">
        <v>8.18</v>
      </c>
      <c r="AB202" s="30">
        <v>13.26</v>
      </c>
      <c r="AC202" s="31" t="s">
        <v>177</v>
      </c>
      <c r="AD202" s="32">
        <v>38.299999999999997</v>
      </c>
      <c r="AE202" s="33">
        <v>5.08</v>
      </c>
      <c r="AF202" s="34" t="s">
        <v>1571</v>
      </c>
      <c r="AG202" s="35" t="s">
        <v>141</v>
      </c>
      <c r="AH202" s="36">
        <v>2.82</v>
      </c>
      <c r="AI202" s="37" t="s">
        <v>1517</v>
      </c>
      <c r="AJ202" s="38" t="s">
        <v>1518</v>
      </c>
      <c r="AK202" s="39" t="s">
        <v>1517</v>
      </c>
      <c r="AL202" s="40" t="s">
        <v>141</v>
      </c>
      <c r="AM202" s="41" t="s">
        <v>170</v>
      </c>
      <c r="AN202" s="42" t="s">
        <v>2470</v>
      </c>
      <c r="AO202" s="43">
        <v>5.08</v>
      </c>
      <c r="AP202" s="44" t="s">
        <v>145</v>
      </c>
      <c r="AQ202" s="45" t="s">
        <v>141</v>
      </c>
      <c r="AR202" s="46" t="s">
        <v>141</v>
      </c>
      <c r="AS202" s="47" t="s">
        <v>141</v>
      </c>
      <c r="AT202" s="48" t="s">
        <v>141</v>
      </c>
      <c r="AU202" s="49" t="s">
        <v>141</v>
      </c>
      <c r="AV202" s="50" t="s">
        <v>141</v>
      </c>
      <c r="AW202" s="51" t="s">
        <v>141</v>
      </c>
      <c r="AX202" s="52" t="s">
        <v>141</v>
      </c>
      <c r="AY202" s="53" t="s">
        <v>141</v>
      </c>
      <c r="AZ202" s="54" t="s">
        <v>141</v>
      </c>
      <c r="BA202" s="55" t="s">
        <v>146</v>
      </c>
      <c r="BB202" s="56" t="s">
        <v>263</v>
      </c>
      <c r="BC202" s="57" t="s">
        <v>132</v>
      </c>
      <c r="BD202" s="58" t="s">
        <v>141</v>
      </c>
      <c r="BE202" s="59">
        <v>6</v>
      </c>
      <c r="BF202" s="60" t="s">
        <v>2471</v>
      </c>
      <c r="BG202" s="61">
        <v>6</v>
      </c>
      <c r="BH202" s="62" t="s">
        <v>141</v>
      </c>
      <c r="BI202" s="63" t="s">
        <v>141</v>
      </c>
      <c r="BJ202" s="64" t="s">
        <v>141</v>
      </c>
      <c r="BK202" s="65" t="s">
        <v>2472</v>
      </c>
      <c r="BL202" s="66" t="s">
        <v>2473</v>
      </c>
      <c r="BM202" s="67" t="s">
        <v>141</v>
      </c>
      <c r="BN202" s="68" t="s">
        <v>2474</v>
      </c>
      <c r="BO202" s="69" t="s">
        <v>141</v>
      </c>
      <c r="BP202" s="70" t="s">
        <v>141</v>
      </c>
      <c r="BQ202" s="71" t="s">
        <v>141</v>
      </c>
      <c r="BR202" s="72" t="s">
        <v>141</v>
      </c>
      <c r="BS202" s="73" t="s">
        <v>141</v>
      </c>
      <c r="BT202" s="74" t="s">
        <v>141</v>
      </c>
      <c r="BU202" s="75" t="s">
        <v>141</v>
      </c>
      <c r="BV202" s="76" t="s">
        <v>141</v>
      </c>
      <c r="BW202" s="77" t="s">
        <v>141</v>
      </c>
      <c r="BX202" s="78" t="s">
        <v>141</v>
      </c>
      <c r="BY202" s="79" t="s">
        <v>141</v>
      </c>
      <c r="BZ202" s="80" t="s">
        <v>141</v>
      </c>
      <c r="CA202" s="81" t="s">
        <v>141</v>
      </c>
      <c r="CB202" s="82" t="s">
        <v>141</v>
      </c>
      <c r="CC202" s="83" t="s">
        <v>141</v>
      </c>
      <c r="CD202" s="84" t="s">
        <v>141</v>
      </c>
      <c r="CE202" s="85" t="s">
        <v>141</v>
      </c>
      <c r="CF202" s="86" t="s">
        <v>141</v>
      </c>
      <c r="CG202" s="87" t="s">
        <v>141</v>
      </c>
      <c r="CH202" s="88" t="s">
        <v>141</v>
      </c>
      <c r="CI202" s="89" t="s">
        <v>141</v>
      </c>
      <c r="CJ202" s="90" t="s">
        <v>141</v>
      </c>
      <c r="CK202" s="91" t="s">
        <v>141</v>
      </c>
      <c r="CL202" s="92" t="s">
        <v>141</v>
      </c>
      <c r="CM202" s="93" t="s">
        <v>141</v>
      </c>
      <c r="CN202" s="94" t="s">
        <v>141</v>
      </c>
      <c r="CO202" s="95" t="s">
        <v>141</v>
      </c>
      <c r="CP202" s="96" t="s">
        <v>141</v>
      </c>
      <c r="CQ202" s="97" t="s">
        <v>141</v>
      </c>
      <c r="CR202" s="98" t="s">
        <v>141</v>
      </c>
      <c r="CS202" s="99" t="s">
        <v>141</v>
      </c>
      <c r="CT202" s="100" t="s">
        <v>141</v>
      </c>
      <c r="CU202" s="101" t="s">
        <v>141</v>
      </c>
      <c r="CV202" s="102" t="s">
        <v>141</v>
      </c>
      <c r="CW202" s="103" t="s">
        <v>141</v>
      </c>
      <c r="CX202" s="104">
        <v>270</v>
      </c>
      <c r="CY202" s="105" t="s">
        <v>150</v>
      </c>
      <c r="CZ202" s="106" t="s">
        <v>2465</v>
      </c>
      <c r="DA202" s="107" t="s">
        <v>152</v>
      </c>
      <c r="DB202" s="108" t="s">
        <v>153</v>
      </c>
      <c r="DC202" s="109" t="s">
        <v>2466</v>
      </c>
      <c r="DD202" s="110" t="s">
        <v>182</v>
      </c>
      <c r="DE202" s="111" t="s">
        <v>2467</v>
      </c>
      <c r="DF202" s="112" t="s">
        <v>157</v>
      </c>
      <c r="DG202" s="113">
        <v>2009</v>
      </c>
      <c r="DH202" s="114" t="s">
        <v>2468</v>
      </c>
      <c r="DI202" s="227" t="str">
        <f>HYPERLINK("https://my.pitchbook.com?c=17367-04T", "View company online")</f>
        <v>View company online</v>
      </c>
    </row>
    <row r="203" spans="1:113" x14ac:dyDescent="0.2">
      <c r="A203" s="115" t="s">
        <v>2475</v>
      </c>
      <c r="B203" s="116" t="s">
        <v>2476</v>
      </c>
      <c r="C203" s="117" t="s">
        <v>2477</v>
      </c>
      <c r="D203" s="118" t="s">
        <v>2478</v>
      </c>
      <c r="E203" s="119" t="s">
        <v>2479</v>
      </c>
      <c r="F203" s="120" t="s">
        <v>126</v>
      </c>
      <c r="G203" s="121" t="s">
        <v>127</v>
      </c>
      <c r="H203" s="122" t="s">
        <v>128</v>
      </c>
      <c r="I203" s="123" t="s">
        <v>1224</v>
      </c>
      <c r="J203" s="124" t="s">
        <v>459</v>
      </c>
      <c r="K203" s="125" t="s">
        <v>2480</v>
      </c>
      <c r="L203" s="126" t="s">
        <v>132</v>
      </c>
      <c r="M203" s="127" t="s">
        <v>133</v>
      </c>
      <c r="N203" s="128" t="s">
        <v>134</v>
      </c>
      <c r="O203" s="129" t="s">
        <v>141</v>
      </c>
      <c r="P203" s="130" t="s">
        <v>141</v>
      </c>
      <c r="Q203" s="131" t="s">
        <v>141</v>
      </c>
      <c r="R203" s="132" t="s">
        <v>141</v>
      </c>
      <c r="S203" s="133" t="s">
        <v>141</v>
      </c>
      <c r="T203" s="134" t="s">
        <v>141</v>
      </c>
      <c r="U203" s="135">
        <v>1</v>
      </c>
      <c r="V203" s="136" t="s">
        <v>2475</v>
      </c>
      <c r="W203" s="137" t="s">
        <v>141</v>
      </c>
      <c r="X203" s="138">
        <v>41144</v>
      </c>
      <c r="Y203" s="139">
        <v>1.1299999999999999</v>
      </c>
      <c r="Z203" s="140" t="s">
        <v>177</v>
      </c>
      <c r="AA203" s="141">
        <v>2.57</v>
      </c>
      <c r="AB203" s="142">
        <v>3.69</v>
      </c>
      <c r="AC203" s="143" t="s">
        <v>177</v>
      </c>
      <c r="AD203" s="144">
        <v>30.46</v>
      </c>
      <c r="AE203" s="145">
        <v>1.1299999999999999</v>
      </c>
      <c r="AF203" s="146" t="s">
        <v>1571</v>
      </c>
      <c r="AG203" s="147" t="s">
        <v>141</v>
      </c>
      <c r="AH203" s="148">
        <v>1.7</v>
      </c>
      <c r="AI203" s="149" t="s">
        <v>1517</v>
      </c>
      <c r="AJ203" s="150" t="s">
        <v>1518</v>
      </c>
      <c r="AK203" s="151" t="s">
        <v>1517</v>
      </c>
      <c r="AL203" s="152" t="s">
        <v>141</v>
      </c>
      <c r="AM203" s="153" t="s">
        <v>170</v>
      </c>
      <c r="AN203" s="154" t="s">
        <v>2481</v>
      </c>
      <c r="AO203" s="155">
        <v>1.1299999999999999</v>
      </c>
      <c r="AP203" s="156" t="s">
        <v>145</v>
      </c>
      <c r="AQ203" s="157" t="s">
        <v>141</v>
      </c>
      <c r="AR203" s="158" t="s">
        <v>141</v>
      </c>
      <c r="AS203" s="159" t="s">
        <v>141</v>
      </c>
      <c r="AT203" s="160" t="s">
        <v>141</v>
      </c>
      <c r="AU203" s="161" t="s">
        <v>141</v>
      </c>
      <c r="AV203" s="162" t="s">
        <v>141</v>
      </c>
      <c r="AW203" s="163" t="s">
        <v>141</v>
      </c>
      <c r="AX203" s="164" t="s">
        <v>141</v>
      </c>
      <c r="AY203" s="165" t="s">
        <v>141</v>
      </c>
      <c r="AZ203" s="166" t="s">
        <v>141</v>
      </c>
      <c r="BA203" s="167" t="s">
        <v>146</v>
      </c>
      <c r="BB203" s="168" t="s">
        <v>263</v>
      </c>
      <c r="BC203" s="169" t="s">
        <v>132</v>
      </c>
      <c r="BD203" s="170" t="s">
        <v>141</v>
      </c>
      <c r="BE203" s="171">
        <v>7</v>
      </c>
      <c r="BF203" s="172" t="s">
        <v>2482</v>
      </c>
      <c r="BG203" s="173">
        <v>7</v>
      </c>
      <c r="BH203" s="174" t="s">
        <v>141</v>
      </c>
      <c r="BI203" s="175" t="s">
        <v>141</v>
      </c>
      <c r="BJ203" s="176" t="s">
        <v>141</v>
      </c>
      <c r="BK203" s="177" t="s">
        <v>2483</v>
      </c>
      <c r="BL203" s="178" t="s">
        <v>2484</v>
      </c>
      <c r="BM203" s="179" t="s">
        <v>141</v>
      </c>
      <c r="BN203" s="180" t="s">
        <v>141</v>
      </c>
      <c r="BO203" s="181" t="s">
        <v>141</v>
      </c>
      <c r="BP203" s="182" t="s">
        <v>141</v>
      </c>
      <c r="BQ203" s="183" t="s">
        <v>141</v>
      </c>
      <c r="BR203" s="184" t="s">
        <v>372</v>
      </c>
      <c r="BS203" s="185" t="s">
        <v>372</v>
      </c>
      <c r="BT203" s="186" t="s">
        <v>141</v>
      </c>
      <c r="BU203" s="187" t="s">
        <v>141</v>
      </c>
      <c r="BV203" s="188" t="s">
        <v>141</v>
      </c>
      <c r="BW203" s="189" t="s">
        <v>141</v>
      </c>
      <c r="BX203" s="190" t="s">
        <v>141</v>
      </c>
      <c r="BY203" s="191" t="s">
        <v>141</v>
      </c>
      <c r="BZ203" s="192" t="s">
        <v>141</v>
      </c>
      <c r="CA203" s="193" t="s">
        <v>141</v>
      </c>
      <c r="CB203" s="194" t="s">
        <v>141</v>
      </c>
      <c r="CC203" s="195" t="s">
        <v>141</v>
      </c>
      <c r="CD203" s="196" t="s">
        <v>141</v>
      </c>
      <c r="CE203" s="197" t="s">
        <v>141</v>
      </c>
      <c r="CF203" s="198" t="s">
        <v>141</v>
      </c>
      <c r="CG203" s="199" t="s">
        <v>141</v>
      </c>
      <c r="CH203" s="200" t="s">
        <v>141</v>
      </c>
      <c r="CI203" s="201" t="s">
        <v>141</v>
      </c>
      <c r="CJ203" s="202" t="s">
        <v>141</v>
      </c>
      <c r="CK203" s="203" t="s">
        <v>141</v>
      </c>
      <c r="CL203" s="204" t="s">
        <v>141</v>
      </c>
      <c r="CM203" s="205" t="s">
        <v>141</v>
      </c>
      <c r="CN203" s="206" t="s">
        <v>141</v>
      </c>
      <c r="CO203" s="207" t="s">
        <v>141</v>
      </c>
      <c r="CP203" s="208" t="s">
        <v>141</v>
      </c>
      <c r="CQ203" s="209" t="s">
        <v>141</v>
      </c>
      <c r="CR203" s="210" t="s">
        <v>141</v>
      </c>
      <c r="CS203" s="211" t="s">
        <v>141</v>
      </c>
      <c r="CT203" s="212" t="s">
        <v>141</v>
      </c>
      <c r="CU203" s="213" t="s">
        <v>141</v>
      </c>
      <c r="CV203" s="214" t="s">
        <v>141</v>
      </c>
      <c r="CW203" s="215" t="s">
        <v>141</v>
      </c>
      <c r="CX203" s="216">
        <v>35</v>
      </c>
      <c r="CY203" s="217" t="s">
        <v>150</v>
      </c>
      <c r="CZ203" s="218" t="s">
        <v>1774</v>
      </c>
      <c r="DA203" s="219" t="s">
        <v>152</v>
      </c>
      <c r="DB203" s="220" t="s">
        <v>153</v>
      </c>
      <c r="DC203" s="221" t="s">
        <v>1775</v>
      </c>
      <c r="DD203" s="222" t="s">
        <v>946</v>
      </c>
      <c r="DE203" s="223" t="s">
        <v>2485</v>
      </c>
      <c r="DF203" s="224" t="s">
        <v>157</v>
      </c>
      <c r="DG203" s="225">
        <v>2011</v>
      </c>
      <c r="DH203" s="226" t="s">
        <v>2486</v>
      </c>
      <c r="DI203" s="228" t="str">
        <f>HYPERLINK("https://my.pitchbook.com?c=22185-73T", "View company online")</f>
        <v>View company online</v>
      </c>
    </row>
    <row r="204" spans="1:113" x14ac:dyDescent="0.2">
      <c r="A204" s="3" t="s">
        <v>2487</v>
      </c>
      <c r="B204" s="4" t="s">
        <v>2476</v>
      </c>
      <c r="C204" s="5" t="s">
        <v>2477</v>
      </c>
      <c r="D204" s="6" t="s">
        <v>2478</v>
      </c>
      <c r="E204" s="7" t="s">
        <v>2479</v>
      </c>
      <c r="F204" s="8" t="s">
        <v>126</v>
      </c>
      <c r="G204" s="9" t="s">
        <v>127</v>
      </c>
      <c r="H204" s="10" t="s">
        <v>128</v>
      </c>
      <c r="I204" s="11" t="s">
        <v>1224</v>
      </c>
      <c r="J204" s="12" t="s">
        <v>459</v>
      </c>
      <c r="K204" s="13" t="s">
        <v>2480</v>
      </c>
      <c r="L204" s="14" t="s">
        <v>132</v>
      </c>
      <c r="M204" s="15" t="s">
        <v>133</v>
      </c>
      <c r="N204" s="16" t="s">
        <v>134</v>
      </c>
      <c r="O204" s="17" t="s">
        <v>141</v>
      </c>
      <c r="P204" s="18" t="s">
        <v>141</v>
      </c>
      <c r="Q204" s="19" t="s">
        <v>141</v>
      </c>
      <c r="R204" s="20" t="s">
        <v>141</v>
      </c>
      <c r="S204" s="21" t="s">
        <v>141</v>
      </c>
      <c r="T204" s="22" t="s">
        <v>141</v>
      </c>
      <c r="U204" s="23">
        <v>2</v>
      </c>
      <c r="V204" s="24" t="s">
        <v>2487</v>
      </c>
      <c r="W204" s="25">
        <v>41799</v>
      </c>
      <c r="X204" s="26">
        <v>41823</v>
      </c>
      <c r="Y204" s="27">
        <v>4.4400000000000004</v>
      </c>
      <c r="Z204" s="28" t="s">
        <v>177</v>
      </c>
      <c r="AA204" s="29">
        <v>8.9499999999999993</v>
      </c>
      <c r="AB204" s="30">
        <v>13.39</v>
      </c>
      <c r="AC204" s="31" t="s">
        <v>177</v>
      </c>
      <c r="AD204" s="32">
        <v>35.01</v>
      </c>
      <c r="AE204" s="33">
        <v>5.56</v>
      </c>
      <c r="AF204" s="34" t="s">
        <v>1582</v>
      </c>
      <c r="AG204" s="35" t="s">
        <v>1188</v>
      </c>
      <c r="AH204" s="36">
        <v>2.98</v>
      </c>
      <c r="AI204" s="37" t="s">
        <v>1911</v>
      </c>
      <c r="AJ204" s="38" t="s">
        <v>1518</v>
      </c>
      <c r="AK204" s="39" t="s">
        <v>1911</v>
      </c>
      <c r="AL204" s="40" t="s">
        <v>141</v>
      </c>
      <c r="AM204" s="41" t="s">
        <v>170</v>
      </c>
      <c r="AN204" s="42" t="s">
        <v>2488</v>
      </c>
      <c r="AO204" s="43">
        <v>4.4400000000000004</v>
      </c>
      <c r="AP204" s="44" t="s">
        <v>145</v>
      </c>
      <c r="AQ204" s="45" t="s">
        <v>141</v>
      </c>
      <c r="AR204" s="46" t="s">
        <v>141</v>
      </c>
      <c r="AS204" s="47" t="s">
        <v>141</v>
      </c>
      <c r="AT204" s="48" t="s">
        <v>141</v>
      </c>
      <c r="AU204" s="49" t="s">
        <v>141</v>
      </c>
      <c r="AV204" s="50" t="s">
        <v>141</v>
      </c>
      <c r="AW204" s="51" t="s">
        <v>141</v>
      </c>
      <c r="AX204" s="52" t="s">
        <v>141</v>
      </c>
      <c r="AY204" s="53" t="s">
        <v>141</v>
      </c>
      <c r="AZ204" s="54" t="s">
        <v>141</v>
      </c>
      <c r="BA204" s="55" t="s">
        <v>146</v>
      </c>
      <c r="BB204" s="56" t="s">
        <v>263</v>
      </c>
      <c r="BC204" s="57" t="s">
        <v>132</v>
      </c>
      <c r="BD204" s="58" t="s">
        <v>141</v>
      </c>
      <c r="BE204" s="59">
        <v>10</v>
      </c>
      <c r="BF204" s="60" t="s">
        <v>2489</v>
      </c>
      <c r="BG204" s="61">
        <v>8</v>
      </c>
      <c r="BH204" s="62" t="s">
        <v>2490</v>
      </c>
      <c r="BI204" s="63">
        <v>2</v>
      </c>
      <c r="BJ204" s="64" t="s">
        <v>141</v>
      </c>
      <c r="BK204" s="65" t="s">
        <v>2491</v>
      </c>
      <c r="BL204" s="66" t="s">
        <v>2492</v>
      </c>
      <c r="BM204" s="67" t="s">
        <v>141</v>
      </c>
      <c r="BN204" s="68" t="s">
        <v>2493</v>
      </c>
      <c r="BO204" s="69" t="s">
        <v>141</v>
      </c>
      <c r="BP204" s="70" t="s">
        <v>141</v>
      </c>
      <c r="BQ204" s="71" t="s">
        <v>141</v>
      </c>
      <c r="BR204" s="72" t="s">
        <v>2494</v>
      </c>
      <c r="BS204" s="73" t="s">
        <v>141</v>
      </c>
      <c r="BT204" s="74" t="s">
        <v>141</v>
      </c>
      <c r="BU204" s="75" t="s">
        <v>2494</v>
      </c>
      <c r="BV204" s="76" t="s">
        <v>141</v>
      </c>
      <c r="BW204" s="77" t="s">
        <v>141</v>
      </c>
      <c r="BX204" s="78" t="s">
        <v>141</v>
      </c>
      <c r="BY204" s="79" t="s">
        <v>141</v>
      </c>
      <c r="BZ204" s="80" t="s">
        <v>141</v>
      </c>
      <c r="CA204" s="81" t="s">
        <v>141</v>
      </c>
      <c r="CB204" s="82" t="s">
        <v>141</v>
      </c>
      <c r="CC204" s="83" t="s">
        <v>141</v>
      </c>
      <c r="CD204" s="84" t="s">
        <v>141</v>
      </c>
      <c r="CE204" s="85" t="s">
        <v>141</v>
      </c>
      <c r="CF204" s="86" t="s">
        <v>141</v>
      </c>
      <c r="CG204" s="87" t="s">
        <v>141</v>
      </c>
      <c r="CH204" s="88" t="s">
        <v>141</v>
      </c>
      <c r="CI204" s="89" t="s">
        <v>141</v>
      </c>
      <c r="CJ204" s="90" t="s">
        <v>141</v>
      </c>
      <c r="CK204" s="91" t="s">
        <v>141</v>
      </c>
      <c r="CL204" s="92" t="s">
        <v>141</v>
      </c>
      <c r="CM204" s="93" t="s">
        <v>141</v>
      </c>
      <c r="CN204" s="94" t="s">
        <v>141</v>
      </c>
      <c r="CO204" s="95" t="s">
        <v>141</v>
      </c>
      <c r="CP204" s="96" t="s">
        <v>141</v>
      </c>
      <c r="CQ204" s="97" t="s">
        <v>141</v>
      </c>
      <c r="CR204" s="98" t="s">
        <v>141</v>
      </c>
      <c r="CS204" s="99" t="s">
        <v>141</v>
      </c>
      <c r="CT204" s="100" t="s">
        <v>141</v>
      </c>
      <c r="CU204" s="101" t="s">
        <v>141</v>
      </c>
      <c r="CV204" s="102" t="s">
        <v>141</v>
      </c>
      <c r="CW204" s="103" t="s">
        <v>141</v>
      </c>
      <c r="CX204" s="104">
        <v>35</v>
      </c>
      <c r="CY204" s="105" t="s">
        <v>150</v>
      </c>
      <c r="CZ204" s="106" t="s">
        <v>1774</v>
      </c>
      <c r="DA204" s="107" t="s">
        <v>152</v>
      </c>
      <c r="DB204" s="108" t="s">
        <v>153</v>
      </c>
      <c r="DC204" s="109" t="s">
        <v>1775</v>
      </c>
      <c r="DD204" s="110" t="s">
        <v>946</v>
      </c>
      <c r="DE204" s="111" t="s">
        <v>2485</v>
      </c>
      <c r="DF204" s="112" t="s">
        <v>157</v>
      </c>
      <c r="DG204" s="113">
        <v>2011</v>
      </c>
      <c r="DH204" s="114" t="s">
        <v>2486</v>
      </c>
      <c r="DI204" s="227" t="str">
        <f>HYPERLINK("https://my.pitchbook.com?c=35380-72T", "View company online")</f>
        <v>View company online</v>
      </c>
    </row>
    <row r="205" spans="1:113" x14ac:dyDescent="0.2">
      <c r="A205" s="115" t="s">
        <v>2495</v>
      </c>
      <c r="B205" s="116" t="s">
        <v>930</v>
      </c>
      <c r="C205" s="117" t="s">
        <v>931</v>
      </c>
      <c r="D205" s="118" t="s">
        <v>932</v>
      </c>
      <c r="E205" s="119" t="s">
        <v>933</v>
      </c>
      <c r="F205" s="120" t="s">
        <v>126</v>
      </c>
      <c r="G205" s="121" t="s">
        <v>127</v>
      </c>
      <c r="H205" s="122" t="s">
        <v>128</v>
      </c>
      <c r="I205" s="123" t="s">
        <v>318</v>
      </c>
      <c r="J205" s="124" t="s">
        <v>652</v>
      </c>
      <c r="K205" s="125" t="s">
        <v>934</v>
      </c>
      <c r="L205" s="126" t="s">
        <v>132</v>
      </c>
      <c r="M205" s="127" t="s">
        <v>133</v>
      </c>
      <c r="N205" s="128" t="s">
        <v>170</v>
      </c>
      <c r="O205" s="129" t="s">
        <v>935</v>
      </c>
      <c r="P205" s="130" t="s">
        <v>936</v>
      </c>
      <c r="Q205" s="131" t="s">
        <v>937</v>
      </c>
      <c r="R205" s="132" t="s">
        <v>938</v>
      </c>
      <c r="S205" s="133" t="s">
        <v>939</v>
      </c>
      <c r="T205" s="134" t="s">
        <v>141</v>
      </c>
      <c r="U205" s="135">
        <v>2</v>
      </c>
      <c r="V205" s="136" t="s">
        <v>2495</v>
      </c>
      <c r="W205" s="137">
        <v>43542</v>
      </c>
      <c r="X205" s="138">
        <v>43542</v>
      </c>
      <c r="Y205" s="139" t="s">
        <v>141</v>
      </c>
      <c r="Z205" s="140" t="s">
        <v>141</v>
      </c>
      <c r="AA205" s="141" t="s">
        <v>141</v>
      </c>
      <c r="AB205" s="142" t="s">
        <v>141</v>
      </c>
      <c r="AC205" s="143" t="s">
        <v>141</v>
      </c>
      <c r="AD205" s="144" t="s">
        <v>141</v>
      </c>
      <c r="AE205" s="145" t="s">
        <v>141</v>
      </c>
      <c r="AF205" s="146" t="s">
        <v>1571</v>
      </c>
      <c r="AG205" s="147" t="s">
        <v>141</v>
      </c>
      <c r="AH205" s="148" t="s">
        <v>141</v>
      </c>
      <c r="AI205" s="149" t="s">
        <v>141</v>
      </c>
      <c r="AJ205" s="150" t="s">
        <v>1518</v>
      </c>
      <c r="AK205" s="151" t="s">
        <v>141</v>
      </c>
      <c r="AL205" s="152" t="s">
        <v>141</v>
      </c>
      <c r="AM205" s="153" t="s">
        <v>170</v>
      </c>
      <c r="AN205" s="154" t="s">
        <v>933</v>
      </c>
      <c r="AO205" s="155" t="s">
        <v>141</v>
      </c>
      <c r="AP205" s="156" t="s">
        <v>145</v>
      </c>
      <c r="AQ205" s="157" t="s">
        <v>141</v>
      </c>
      <c r="AR205" s="158" t="s">
        <v>141</v>
      </c>
      <c r="AS205" s="159" t="s">
        <v>141</v>
      </c>
      <c r="AT205" s="160" t="s">
        <v>141</v>
      </c>
      <c r="AU205" s="161" t="s">
        <v>141</v>
      </c>
      <c r="AV205" s="162" t="s">
        <v>141</v>
      </c>
      <c r="AW205" s="163" t="s">
        <v>141</v>
      </c>
      <c r="AX205" s="164" t="s">
        <v>141</v>
      </c>
      <c r="AY205" s="165" t="s">
        <v>141</v>
      </c>
      <c r="AZ205" s="166" t="s">
        <v>141</v>
      </c>
      <c r="BA205" s="167" t="s">
        <v>146</v>
      </c>
      <c r="BB205" s="168" t="s">
        <v>133</v>
      </c>
      <c r="BC205" s="169" t="s">
        <v>132</v>
      </c>
      <c r="BD205" s="170" t="s">
        <v>141</v>
      </c>
      <c r="BE205" s="171">
        <v>1</v>
      </c>
      <c r="BF205" s="172" t="s">
        <v>2496</v>
      </c>
      <c r="BG205" s="173">
        <v>1</v>
      </c>
      <c r="BH205" s="174" t="s">
        <v>141</v>
      </c>
      <c r="BI205" s="175" t="s">
        <v>141</v>
      </c>
      <c r="BJ205" s="176" t="s">
        <v>141</v>
      </c>
      <c r="BK205" s="177" t="s">
        <v>2497</v>
      </c>
      <c r="BL205" s="178" t="s">
        <v>2498</v>
      </c>
      <c r="BM205" s="179" t="s">
        <v>2498</v>
      </c>
      <c r="BN205" s="180" t="s">
        <v>2499</v>
      </c>
      <c r="BO205" s="181" t="s">
        <v>141</v>
      </c>
      <c r="BP205" s="182" t="s">
        <v>141</v>
      </c>
      <c r="BQ205" s="183" t="s">
        <v>141</v>
      </c>
      <c r="BR205" s="184" t="s">
        <v>141</v>
      </c>
      <c r="BS205" s="185" t="s">
        <v>141</v>
      </c>
      <c r="BT205" s="186" t="s">
        <v>141</v>
      </c>
      <c r="BU205" s="187" t="s">
        <v>141</v>
      </c>
      <c r="BV205" s="188" t="s">
        <v>141</v>
      </c>
      <c r="BW205" s="189" t="s">
        <v>141</v>
      </c>
      <c r="BX205" s="190" t="s">
        <v>141</v>
      </c>
      <c r="BY205" s="191" t="s">
        <v>141</v>
      </c>
      <c r="BZ205" s="192" t="s">
        <v>141</v>
      </c>
      <c r="CA205" s="193" t="s">
        <v>141</v>
      </c>
      <c r="CB205" s="194" t="s">
        <v>141</v>
      </c>
      <c r="CC205" s="195" t="s">
        <v>141</v>
      </c>
      <c r="CD205" s="196" t="s">
        <v>141</v>
      </c>
      <c r="CE205" s="197" t="s">
        <v>141</v>
      </c>
      <c r="CF205" s="198" t="s">
        <v>141</v>
      </c>
      <c r="CG205" s="199" t="s">
        <v>141</v>
      </c>
      <c r="CH205" s="200" t="s">
        <v>141</v>
      </c>
      <c r="CI205" s="201" t="s">
        <v>141</v>
      </c>
      <c r="CJ205" s="202" t="s">
        <v>141</v>
      </c>
      <c r="CK205" s="203" t="s">
        <v>141</v>
      </c>
      <c r="CL205" s="204" t="s">
        <v>141</v>
      </c>
      <c r="CM205" s="205" t="s">
        <v>141</v>
      </c>
      <c r="CN205" s="206" t="s">
        <v>141</v>
      </c>
      <c r="CO205" s="207" t="s">
        <v>141</v>
      </c>
      <c r="CP205" s="208" t="s">
        <v>141</v>
      </c>
      <c r="CQ205" s="209" t="s">
        <v>141</v>
      </c>
      <c r="CR205" s="210" t="s">
        <v>141</v>
      </c>
      <c r="CS205" s="211" t="s">
        <v>141</v>
      </c>
      <c r="CT205" s="212" t="s">
        <v>141</v>
      </c>
      <c r="CU205" s="213" t="s">
        <v>141</v>
      </c>
      <c r="CV205" s="214" t="s">
        <v>141</v>
      </c>
      <c r="CW205" s="215" t="s">
        <v>141</v>
      </c>
      <c r="CX205" s="216" t="s">
        <v>141</v>
      </c>
      <c r="CY205" s="217" t="s">
        <v>150</v>
      </c>
      <c r="CZ205" s="218" t="s">
        <v>944</v>
      </c>
      <c r="DA205" s="219" t="s">
        <v>152</v>
      </c>
      <c r="DB205" s="220" t="s">
        <v>153</v>
      </c>
      <c r="DC205" s="221" t="s">
        <v>945</v>
      </c>
      <c r="DD205" s="222" t="s">
        <v>946</v>
      </c>
      <c r="DE205" s="223" t="s">
        <v>947</v>
      </c>
      <c r="DF205" s="224" t="s">
        <v>157</v>
      </c>
      <c r="DG205" s="225" t="s">
        <v>141</v>
      </c>
      <c r="DH205" s="226" t="s">
        <v>948</v>
      </c>
      <c r="DI205" s="228" t="str">
        <f>HYPERLINK("https://my.pitchbook.com?c=117484-39T", "View company online")</f>
        <v>View company online</v>
      </c>
    </row>
    <row r="206" spans="1:113" x14ac:dyDescent="0.2">
      <c r="A206" s="3" t="s">
        <v>2500</v>
      </c>
      <c r="B206" s="4" t="s">
        <v>950</v>
      </c>
      <c r="C206" s="5" t="s">
        <v>951</v>
      </c>
      <c r="D206" s="6" t="s">
        <v>952</v>
      </c>
      <c r="E206" s="7" t="s">
        <v>953</v>
      </c>
      <c r="F206" s="8" t="s">
        <v>126</v>
      </c>
      <c r="G206" s="9" t="s">
        <v>954</v>
      </c>
      <c r="H206" s="10" t="s">
        <v>955</v>
      </c>
      <c r="I206" s="11" t="s">
        <v>956</v>
      </c>
      <c r="J206" s="12" t="s">
        <v>130</v>
      </c>
      <c r="K206" s="13" t="s">
        <v>957</v>
      </c>
      <c r="L206" s="14" t="s">
        <v>132</v>
      </c>
      <c r="M206" s="15" t="s">
        <v>133</v>
      </c>
      <c r="N206" s="16" t="s">
        <v>134</v>
      </c>
      <c r="O206" s="17" t="s">
        <v>2501</v>
      </c>
      <c r="P206" s="18" t="s">
        <v>2502</v>
      </c>
      <c r="Q206" s="19" t="s">
        <v>960</v>
      </c>
      <c r="R206" s="20" t="s">
        <v>2503</v>
      </c>
      <c r="S206" s="21" t="s">
        <v>2504</v>
      </c>
      <c r="T206" s="22" t="s">
        <v>2505</v>
      </c>
      <c r="U206" s="23">
        <v>3</v>
      </c>
      <c r="V206" s="24" t="s">
        <v>2500</v>
      </c>
      <c r="W206" s="25">
        <v>42725</v>
      </c>
      <c r="X206" s="26">
        <v>42826</v>
      </c>
      <c r="Y206" s="27">
        <v>7.54</v>
      </c>
      <c r="Z206" s="28" t="s">
        <v>177</v>
      </c>
      <c r="AA206" s="29">
        <v>6</v>
      </c>
      <c r="AB206" s="30">
        <v>13.54</v>
      </c>
      <c r="AC206" s="31" t="s">
        <v>177</v>
      </c>
      <c r="AD206" s="32">
        <v>55.67</v>
      </c>
      <c r="AE206" s="33">
        <v>7.54</v>
      </c>
      <c r="AF206" s="34" t="s">
        <v>1571</v>
      </c>
      <c r="AG206" s="35" t="s">
        <v>141</v>
      </c>
      <c r="AH206" s="36">
        <v>0.96</v>
      </c>
      <c r="AI206" s="37" t="s">
        <v>1517</v>
      </c>
      <c r="AJ206" s="38" t="s">
        <v>1518</v>
      </c>
      <c r="AK206" s="39" t="s">
        <v>1517</v>
      </c>
      <c r="AL206" s="40" t="s">
        <v>2506</v>
      </c>
      <c r="AM206" s="41" t="s">
        <v>170</v>
      </c>
      <c r="AN206" s="42" t="s">
        <v>2507</v>
      </c>
      <c r="AO206" s="43">
        <v>7.54</v>
      </c>
      <c r="AP206" s="44" t="s">
        <v>145</v>
      </c>
      <c r="AQ206" s="45" t="s">
        <v>141</v>
      </c>
      <c r="AR206" s="46" t="s">
        <v>141</v>
      </c>
      <c r="AS206" s="47" t="s">
        <v>141</v>
      </c>
      <c r="AT206" s="48" t="s">
        <v>141</v>
      </c>
      <c r="AU206" s="49" t="s">
        <v>141</v>
      </c>
      <c r="AV206" s="50" t="s">
        <v>141</v>
      </c>
      <c r="AW206" s="51" t="s">
        <v>141</v>
      </c>
      <c r="AX206" s="52" t="s">
        <v>141</v>
      </c>
      <c r="AY206" s="53" t="s">
        <v>141</v>
      </c>
      <c r="AZ206" s="54" t="s">
        <v>141</v>
      </c>
      <c r="BA206" s="55" t="s">
        <v>146</v>
      </c>
      <c r="BB206" s="56" t="s">
        <v>133</v>
      </c>
      <c r="BC206" s="57" t="s">
        <v>132</v>
      </c>
      <c r="BD206" s="58" t="s">
        <v>141</v>
      </c>
      <c r="BE206" s="59">
        <v>6</v>
      </c>
      <c r="BF206" s="60" t="s">
        <v>2508</v>
      </c>
      <c r="BG206" s="61">
        <v>6</v>
      </c>
      <c r="BH206" s="62" t="s">
        <v>141</v>
      </c>
      <c r="BI206" s="63" t="s">
        <v>141</v>
      </c>
      <c r="BJ206" s="64" t="s">
        <v>141</v>
      </c>
      <c r="BK206" s="65" t="s">
        <v>2509</v>
      </c>
      <c r="BL206" s="66" t="s">
        <v>2510</v>
      </c>
      <c r="BM206" s="67" t="s">
        <v>2511</v>
      </c>
      <c r="BN206" s="68" t="s">
        <v>2512</v>
      </c>
      <c r="BO206" s="69" t="s">
        <v>141</v>
      </c>
      <c r="BP206" s="70" t="s">
        <v>141</v>
      </c>
      <c r="BQ206" s="71" t="s">
        <v>141</v>
      </c>
      <c r="BR206" s="72" t="s">
        <v>2513</v>
      </c>
      <c r="BS206" s="73" t="s">
        <v>141</v>
      </c>
      <c r="BT206" s="74" t="s">
        <v>141</v>
      </c>
      <c r="BU206" s="75" t="s">
        <v>2513</v>
      </c>
      <c r="BV206" s="76" t="s">
        <v>141</v>
      </c>
      <c r="BW206" s="77" t="s">
        <v>141</v>
      </c>
      <c r="BX206" s="78" t="s">
        <v>141</v>
      </c>
      <c r="BY206" s="79" t="s">
        <v>141</v>
      </c>
      <c r="BZ206" s="80" t="s">
        <v>141</v>
      </c>
      <c r="CA206" s="81" t="s">
        <v>141</v>
      </c>
      <c r="CB206" s="82" t="s">
        <v>141</v>
      </c>
      <c r="CC206" s="83" t="s">
        <v>141</v>
      </c>
      <c r="CD206" s="84" t="s">
        <v>141</v>
      </c>
      <c r="CE206" s="85" t="s">
        <v>141</v>
      </c>
      <c r="CF206" s="86" t="s">
        <v>141</v>
      </c>
      <c r="CG206" s="87" t="s">
        <v>141</v>
      </c>
      <c r="CH206" s="88" t="s">
        <v>141</v>
      </c>
      <c r="CI206" s="89" t="s">
        <v>141</v>
      </c>
      <c r="CJ206" s="90" t="s">
        <v>141</v>
      </c>
      <c r="CK206" s="91" t="s">
        <v>141</v>
      </c>
      <c r="CL206" s="92" t="s">
        <v>141</v>
      </c>
      <c r="CM206" s="93" t="s">
        <v>141</v>
      </c>
      <c r="CN206" s="94" t="s">
        <v>141</v>
      </c>
      <c r="CO206" s="95" t="s">
        <v>141</v>
      </c>
      <c r="CP206" s="96" t="s">
        <v>141</v>
      </c>
      <c r="CQ206" s="97" t="s">
        <v>141</v>
      </c>
      <c r="CR206" s="98" t="s">
        <v>141</v>
      </c>
      <c r="CS206" s="99" t="s">
        <v>141</v>
      </c>
      <c r="CT206" s="100" t="s">
        <v>141</v>
      </c>
      <c r="CU206" s="101" t="s">
        <v>141</v>
      </c>
      <c r="CV206" s="102" t="s">
        <v>141</v>
      </c>
      <c r="CW206" s="103" t="s">
        <v>141</v>
      </c>
      <c r="CX206" s="104">
        <v>200</v>
      </c>
      <c r="CY206" s="105" t="s">
        <v>150</v>
      </c>
      <c r="CZ206" s="106" t="s">
        <v>967</v>
      </c>
      <c r="DA206" s="107" t="s">
        <v>152</v>
      </c>
      <c r="DB206" s="108" t="s">
        <v>153</v>
      </c>
      <c r="DC206" s="109" t="s">
        <v>968</v>
      </c>
      <c r="DD206" s="110" t="s">
        <v>155</v>
      </c>
      <c r="DE206" s="111" t="s">
        <v>969</v>
      </c>
      <c r="DF206" s="112" t="s">
        <v>157</v>
      </c>
      <c r="DG206" s="113">
        <v>2014</v>
      </c>
      <c r="DH206" s="114" t="s">
        <v>970</v>
      </c>
      <c r="DI206" s="227" t="str">
        <f>HYPERLINK("https://my.pitchbook.com?c=82415-71T", "View company online")</f>
        <v>View company online</v>
      </c>
    </row>
    <row r="207" spans="1:113" x14ac:dyDescent="0.2">
      <c r="A207" s="115" t="s">
        <v>2514</v>
      </c>
      <c r="B207" s="116" t="s">
        <v>950</v>
      </c>
      <c r="C207" s="117" t="s">
        <v>951</v>
      </c>
      <c r="D207" s="118" t="s">
        <v>952</v>
      </c>
      <c r="E207" s="119" t="s">
        <v>953</v>
      </c>
      <c r="F207" s="120" t="s">
        <v>126</v>
      </c>
      <c r="G207" s="121" t="s">
        <v>954</v>
      </c>
      <c r="H207" s="122" t="s">
        <v>955</v>
      </c>
      <c r="I207" s="123" t="s">
        <v>956</v>
      </c>
      <c r="J207" s="124" t="s">
        <v>130</v>
      </c>
      <c r="K207" s="125" t="s">
        <v>957</v>
      </c>
      <c r="L207" s="126" t="s">
        <v>132</v>
      </c>
      <c r="M207" s="127" t="s">
        <v>133</v>
      </c>
      <c r="N207" s="128" t="s">
        <v>134</v>
      </c>
      <c r="O207" s="129" t="s">
        <v>2501</v>
      </c>
      <c r="P207" s="130" t="s">
        <v>2502</v>
      </c>
      <c r="Q207" s="131" t="s">
        <v>960</v>
      </c>
      <c r="R207" s="132" t="s">
        <v>2503</v>
      </c>
      <c r="S207" s="133" t="s">
        <v>2504</v>
      </c>
      <c r="T207" s="134" t="s">
        <v>2505</v>
      </c>
      <c r="U207" s="135">
        <v>5</v>
      </c>
      <c r="V207" s="136" t="s">
        <v>2514</v>
      </c>
      <c r="W207" s="137" t="s">
        <v>141</v>
      </c>
      <c r="X207" s="138">
        <v>43252</v>
      </c>
      <c r="Y207" s="139">
        <v>9.5</v>
      </c>
      <c r="Z207" s="140" t="s">
        <v>887</v>
      </c>
      <c r="AA207" s="141">
        <v>13.54</v>
      </c>
      <c r="AB207" s="142">
        <v>23.04</v>
      </c>
      <c r="AC207" s="143" t="s">
        <v>177</v>
      </c>
      <c r="AD207" s="144">
        <v>41.24</v>
      </c>
      <c r="AE207" s="145">
        <v>17.04</v>
      </c>
      <c r="AF207" s="146" t="s">
        <v>1582</v>
      </c>
      <c r="AG207" s="147" t="s">
        <v>1846</v>
      </c>
      <c r="AH207" s="148">
        <v>0.96</v>
      </c>
      <c r="AI207" s="149" t="s">
        <v>1517</v>
      </c>
      <c r="AJ207" s="150" t="s">
        <v>1518</v>
      </c>
      <c r="AK207" s="151" t="s">
        <v>1517</v>
      </c>
      <c r="AL207" s="152" t="s">
        <v>141</v>
      </c>
      <c r="AM207" s="153" t="s">
        <v>170</v>
      </c>
      <c r="AN207" s="154" t="s">
        <v>2515</v>
      </c>
      <c r="AO207" s="155">
        <v>9.5</v>
      </c>
      <c r="AP207" s="156" t="s">
        <v>145</v>
      </c>
      <c r="AQ207" s="157" t="s">
        <v>141</v>
      </c>
      <c r="AR207" s="158" t="s">
        <v>141</v>
      </c>
      <c r="AS207" s="159" t="s">
        <v>141</v>
      </c>
      <c r="AT207" s="160" t="s">
        <v>141</v>
      </c>
      <c r="AU207" s="161" t="s">
        <v>141</v>
      </c>
      <c r="AV207" s="162" t="s">
        <v>141</v>
      </c>
      <c r="AW207" s="163" t="s">
        <v>141</v>
      </c>
      <c r="AX207" s="164" t="s">
        <v>141</v>
      </c>
      <c r="AY207" s="165" t="s">
        <v>141</v>
      </c>
      <c r="AZ207" s="166" t="s">
        <v>141</v>
      </c>
      <c r="BA207" s="167" t="s">
        <v>146</v>
      </c>
      <c r="BB207" s="168" t="s">
        <v>133</v>
      </c>
      <c r="BC207" s="169" t="s">
        <v>132</v>
      </c>
      <c r="BD207" s="170" t="s">
        <v>141</v>
      </c>
      <c r="BE207" s="171">
        <v>8</v>
      </c>
      <c r="BF207" s="172" t="s">
        <v>2516</v>
      </c>
      <c r="BG207" s="173">
        <v>6</v>
      </c>
      <c r="BH207" s="174" t="s">
        <v>2517</v>
      </c>
      <c r="BI207" s="175">
        <v>2</v>
      </c>
      <c r="BJ207" s="176" t="s">
        <v>141</v>
      </c>
      <c r="BK207" s="177" t="s">
        <v>2518</v>
      </c>
      <c r="BL207" s="178" t="s">
        <v>2519</v>
      </c>
      <c r="BM207" s="179" t="s">
        <v>2511</v>
      </c>
      <c r="BN207" s="180" t="s">
        <v>2520</v>
      </c>
      <c r="BO207" s="181" t="s">
        <v>141</v>
      </c>
      <c r="BP207" s="182" t="s">
        <v>141</v>
      </c>
      <c r="BQ207" s="183" t="s">
        <v>141</v>
      </c>
      <c r="BR207" s="184" t="s">
        <v>141</v>
      </c>
      <c r="BS207" s="185" t="s">
        <v>141</v>
      </c>
      <c r="BT207" s="186" t="s">
        <v>141</v>
      </c>
      <c r="BU207" s="187" t="s">
        <v>141</v>
      </c>
      <c r="BV207" s="188" t="s">
        <v>141</v>
      </c>
      <c r="BW207" s="189" t="s">
        <v>141</v>
      </c>
      <c r="BX207" s="190" t="s">
        <v>141</v>
      </c>
      <c r="BY207" s="191" t="s">
        <v>141</v>
      </c>
      <c r="BZ207" s="192" t="s">
        <v>141</v>
      </c>
      <c r="CA207" s="193" t="s">
        <v>141</v>
      </c>
      <c r="CB207" s="194" t="s">
        <v>141</v>
      </c>
      <c r="CC207" s="195" t="s">
        <v>141</v>
      </c>
      <c r="CD207" s="196" t="s">
        <v>141</v>
      </c>
      <c r="CE207" s="197" t="s">
        <v>141</v>
      </c>
      <c r="CF207" s="198" t="s">
        <v>141</v>
      </c>
      <c r="CG207" s="199" t="s">
        <v>141</v>
      </c>
      <c r="CH207" s="200" t="s">
        <v>141</v>
      </c>
      <c r="CI207" s="201" t="s">
        <v>141</v>
      </c>
      <c r="CJ207" s="202" t="s">
        <v>141</v>
      </c>
      <c r="CK207" s="203" t="s">
        <v>141</v>
      </c>
      <c r="CL207" s="204" t="s">
        <v>141</v>
      </c>
      <c r="CM207" s="205" t="s">
        <v>141</v>
      </c>
      <c r="CN207" s="206" t="s">
        <v>141</v>
      </c>
      <c r="CO207" s="207" t="s">
        <v>141</v>
      </c>
      <c r="CP207" s="208" t="s">
        <v>141</v>
      </c>
      <c r="CQ207" s="209" t="s">
        <v>141</v>
      </c>
      <c r="CR207" s="210" t="s">
        <v>141</v>
      </c>
      <c r="CS207" s="211" t="s">
        <v>141</v>
      </c>
      <c r="CT207" s="212" t="s">
        <v>141</v>
      </c>
      <c r="CU207" s="213" t="s">
        <v>141</v>
      </c>
      <c r="CV207" s="214" t="s">
        <v>141</v>
      </c>
      <c r="CW207" s="215" t="s">
        <v>141</v>
      </c>
      <c r="CX207" s="216">
        <v>200</v>
      </c>
      <c r="CY207" s="217" t="s">
        <v>150</v>
      </c>
      <c r="CZ207" s="218" t="s">
        <v>967</v>
      </c>
      <c r="DA207" s="219" t="s">
        <v>152</v>
      </c>
      <c r="DB207" s="220" t="s">
        <v>153</v>
      </c>
      <c r="DC207" s="221" t="s">
        <v>968</v>
      </c>
      <c r="DD207" s="222" t="s">
        <v>155</v>
      </c>
      <c r="DE207" s="223" t="s">
        <v>969</v>
      </c>
      <c r="DF207" s="224" t="s">
        <v>157</v>
      </c>
      <c r="DG207" s="225">
        <v>2014</v>
      </c>
      <c r="DH207" s="226" t="s">
        <v>970</v>
      </c>
      <c r="DI207" s="228" t="str">
        <f>HYPERLINK("https://my.pitchbook.com?c=108496-63T", "View company online")</f>
        <v>View company online</v>
      </c>
    </row>
    <row r="208" spans="1:113" x14ac:dyDescent="0.2">
      <c r="A208" s="3" t="s">
        <v>2521</v>
      </c>
      <c r="B208" s="4" t="s">
        <v>950</v>
      </c>
      <c r="C208" s="5" t="s">
        <v>951</v>
      </c>
      <c r="D208" s="6" t="s">
        <v>952</v>
      </c>
      <c r="E208" s="7" t="s">
        <v>953</v>
      </c>
      <c r="F208" s="8" t="s">
        <v>126</v>
      </c>
      <c r="G208" s="9" t="s">
        <v>954</v>
      </c>
      <c r="H208" s="10" t="s">
        <v>955</v>
      </c>
      <c r="I208" s="11" t="s">
        <v>956</v>
      </c>
      <c r="J208" s="12" t="s">
        <v>130</v>
      </c>
      <c r="K208" s="13" t="s">
        <v>957</v>
      </c>
      <c r="L208" s="14" t="s">
        <v>132</v>
      </c>
      <c r="M208" s="15" t="s">
        <v>133</v>
      </c>
      <c r="N208" s="16" t="s">
        <v>134</v>
      </c>
      <c r="O208" s="17" t="s">
        <v>2501</v>
      </c>
      <c r="P208" s="18" t="s">
        <v>2502</v>
      </c>
      <c r="Q208" s="19" t="s">
        <v>960</v>
      </c>
      <c r="R208" s="20" t="s">
        <v>2503</v>
      </c>
      <c r="S208" s="21" t="s">
        <v>2504</v>
      </c>
      <c r="T208" s="22" t="s">
        <v>2505</v>
      </c>
      <c r="U208" s="23">
        <v>7</v>
      </c>
      <c r="V208" s="24" t="s">
        <v>2521</v>
      </c>
      <c r="W208" s="25" t="s">
        <v>141</v>
      </c>
      <c r="X208" s="26">
        <v>43642</v>
      </c>
      <c r="Y208" s="27">
        <v>10</v>
      </c>
      <c r="Z208" s="28" t="s">
        <v>177</v>
      </c>
      <c r="AA208" s="29">
        <v>6</v>
      </c>
      <c r="AB208" s="30">
        <v>16</v>
      </c>
      <c r="AC208" s="31" t="s">
        <v>177</v>
      </c>
      <c r="AD208" s="32">
        <v>62.5</v>
      </c>
      <c r="AE208" s="33">
        <v>27.04</v>
      </c>
      <c r="AF208" s="34" t="s">
        <v>1516</v>
      </c>
      <c r="AG208" s="35" t="s">
        <v>1846</v>
      </c>
      <c r="AH208" s="36">
        <v>0.96</v>
      </c>
      <c r="AI208" s="37" t="s">
        <v>1517</v>
      </c>
      <c r="AJ208" s="38" t="s">
        <v>1518</v>
      </c>
      <c r="AK208" s="39" t="s">
        <v>1517</v>
      </c>
      <c r="AL208" s="40" t="s">
        <v>141</v>
      </c>
      <c r="AM208" s="41" t="s">
        <v>170</v>
      </c>
      <c r="AN208" s="42" t="s">
        <v>2522</v>
      </c>
      <c r="AO208" s="43">
        <v>10</v>
      </c>
      <c r="AP208" s="44" t="s">
        <v>145</v>
      </c>
      <c r="AQ208" s="45" t="s">
        <v>141</v>
      </c>
      <c r="AR208" s="46" t="s">
        <v>141</v>
      </c>
      <c r="AS208" s="47" t="s">
        <v>141</v>
      </c>
      <c r="AT208" s="48" t="s">
        <v>141</v>
      </c>
      <c r="AU208" s="49" t="s">
        <v>141</v>
      </c>
      <c r="AV208" s="50" t="s">
        <v>141</v>
      </c>
      <c r="AW208" s="51" t="s">
        <v>141</v>
      </c>
      <c r="AX208" s="52" t="s">
        <v>141</v>
      </c>
      <c r="AY208" s="53" t="s">
        <v>141</v>
      </c>
      <c r="AZ208" s="54" t="s">
        <v>141</v>
      </c>
      <c r="BA208" s="55" t="s">
        <v>146</v>
      </c>
      <c r="BB208" s="56" t="s">
        <v>133</v>
      </c>
      <c r="BC208" s="57" t="s">
        <v>132</v>
      </c>
      <c r="BD208" s="58">
        <v>150</v>
      </c>
      <c r="BE208" s="59">
        <v>7</v>
      </c>
      <c r="BF208" s="60" t="s">
        <v>2523</v>
      </c>
      <c r="BG208" s="61">
        <v>4</v>
      </c>
      <c r="BH208" s="62" t="s">
        <v>2524</v>
      </c>
      <c r="BI208" s="63">
        <v>3</v>
      </c>
      <c r="BJ208" s="64" t="s">
        <v>141</v>
      </c>
      <c r="BK208" s="65" t="s">
        <v>2525</v>
      </c>
      <c r="BL208" s="66" t="s">
        <v>2526</v>
      </c>
      <c r="BM208" s="67" t="s">
        <v>2527</v>
      </c>
      <c r="BN208" s="68" t="s">
        <v>2528</v>
      </c>
      <c r="BO208" s="69" t="s">
        <v>141</v>
      </c>
      <c r="BP208" s="70" t="s">
        <v>141</v>
      </c>
      <c r="BQ208" s="71" t="s">
        <v>141</v>
      </c>
      <c r="BR208" s="72" t="s">
        <v>2529</v>
      </c>
      <c r="BS208" s="73" t="s">
        <v>141</v>
      </c>
      <c r="BT208" s="74" t="s">
        <v>141</v>
      </c>
      <c r="BU208" s="75" t="s">
        <v>2529</v>
      </c>
      <c r="BV208" s="76" t="s">
        <v>141</v>
      </c>
      <c r="BW208" s="77" t="s">
        <v>141</v>
      </c>
      <c r="BX208" s="78" t="s">
        <v>141</v>
      </c>
      <c r="BY208" s="79" t="s">
        <v>141</v>
      </c>
      <c r="BZ208" s="80" t="s">
        <v>141</v>
      </c>
      <c r="CA208" s="81" t="s">
        <v>141</v>
      </c>
      <c r="CB208" s="82" t="s">
        <v>141</v>
      </c>
      <c r="CC208" s="83" t="s">
        <v>141</v>
      </c>
      <c r="CD208" s="84" t="s">
        <v>141</v>
      </c>
      <c r="CE208" s="85" t="s">
        <v>141</v>
      </c>
      <c r="CF208" s="86" t="s">
        <v>141</v>
      </c>
      <c r="CG208" s="87" t="s">
        <v>141</v>
      </c>
      <c r="CH208" s="88" t="s">
        <v>141</v>
      </c>
      <c r="CI208" s="89" t="s">
        <v>141</v>
      </c>
      <c r="CJ208" s="90" t="s">
        <v>141</v>
      </c>
      <c r="CK208" s="91" t="s">
        <v>141</v>
      </c>
      <c r="CL208" s="92" t="s">
        <v>141</v>
      </c>
      <c r="CM208" s="93" t="s">
        <v>141</v>
      </c>
      <c r="CN208" s="94" t="s">
        <v>141</v>
      </c>
      <c r="CO208" s="95" t="s">
        <v>141</v>
      </c>
      <c r="CP208" s="96" t="s">
        <v>141</v>
      </c>
      <c r="CQ208" s="97" t="s">
        <v>141</v>
      </c>
      <c r="CR208" s="98" t="s">
        <v>141</v>
      </c>
      <c r="CS208" s="99" t="s">
        <v>141</v>
      </c>
      <c r="CT208" s="100" t="s">
        <v>141</v>
      </c>
      <c r="CU208" s="101" t="s">
        <v>141</v>
      </c>
      <c r="CV208" s="102" t="s">
        <v>141</v>
      </c>
      <c r="CW208" s="103" t="s">
        <v>141</v>
      </c>
      <c r="CX208" s="104">
        <v>200</v>
      </c>
      <c r="CY208" s="105" t="s">
        <v>150</v>
      </c>
      <c r="CZ208" s="106" t="s">
        <v>967</v>
      </c>
      <c r="DA208" s="107" t="s">
        <v>152</v>
      </c>
      <c r="DB208" s="108" t="s">
        <v>153</v>
      </c>
      <c r="DC208" s="109" t="s">
        <v>968</v>
      </c>
      <c r="DD208" s="110" t="s">
        <v>155</v>
      </c>
      <c r="DE208" s="111" t="s">
        <v>969</v>
      </c>
      <c r="DF208" s="112" t="s">
        <v>157</v>
      </c>
      <c r="DG208" s="113">
        <v>2014</v>
      </c>
      <c r="DH208" s="114" t="s">
        <v>970</v>
      </c>
      <c r="DI208" s="227" t="str">
        <f>HYPERLINK("https://my.pitchbook.com?c=120128-23T", "View company online")</f>
        <v>View company online</v>
      </c>
    </row>
    <row r="209" spans="1:113" x14ac:dyDescent="0.2">
      <c r="A209" s="115" t="s">
        <v>2530</v>
      </c>
      <c r="B209" s="116" t="s">
        <v>994</v>
      </c>
      <c r="C209" s="117" t="s">
        <v>995</v>
      </c>
      <c r="D209" s="118" t="s">
        <v>996</v>
      </c>
      <c r="E209" s="119" t="s">
        <v>997</v>
      </c>
      <c r="F209" s="120" t="s">
        <v>126</v>
      </c>
      <c r="G209" s="121" t="s">
        <v>127</v>
      </c>
      <c r="H209" s="122" t="s">
        <v>128</v>
      </c>
      <c r="I209" s="123" t="s">
        <v>129</v>
      </c>
      <c r="J209" s="124" t="s">
        <v>998</v>
      </c>
      <c r="K209" s="125" t="s">
        <v>999</v>
      </c>
      <c r="L209" s="126" t="s">
        <v>132</v>
      </c>
      <c r="M209" s="127" t="s">
        <v>133</v>
      </c>
      <c r="N209" s="128" t="s">
        <v>170</v>
      </c>
      <c r="O209" s="129" t="s">
        <v>1000</v>
      </c>
      <c r="P209" s="130" t="s">
        <v>1001</v>
      </c>
      <c r="Q209" s="131" t="s">
        <v>1002</v>
      </c>
      <c r="R209" s="132" t="s">
        <v>1003</v>
      </c>
      <c r="S209" s="133" t="s">
        <v>1004</v>
      </c>
      <c r="T209" s="134" t="s">
        <v>1005</v>
      </c>
      <c r="U209" s="135">
        <v>2</v>
      </c>
      <c r="V209" s="136" t="s">
        <v>2530</v>
      </c>
      <c r="W209" s="137" t="s">
        <v>141</v>
      </c>
      <c r="X209" s="138">
        <v>42736</v>
      </c>
      <c r="Y209" s="139">
        <v>6</v>
      </c>
      <c r="Z209" s="140" t="s">
        <v>887</v>
      </c>
      <c r="AA209" s="141">
        <v>14.5</v>
      </c>
      <c r="AB209" s="142">
        <v>20.5</v>
      </c>
      <c r="AC209" s="143" t="s">
        <v>177</v>
      </c>
      <c r="AD209" s="144">
        <v>29.27</v>
      </c>
      <c r="AE209" s="145">
        <v>9.6</v>
      </c>
      <c r="AF209" s="146" t="s">
        <v>1582</v>
      </c>
      <c r="AG209" s="147" t="s">
        <v>141</v>
      </c>
      <c r="AH209" s="148">
        <v>0.73</v>
      </c>
      <c r="AI209" s="149" t="s">
        <v>1517</v>
      </c>
      <c r="AJ209" s="150" t="s">
        <v>1518</v>
      </c>
      <c r="AK209" s="151" t="s">
        <v>1517</v>
      </c>
      <c r="AL209" s="152" t="s">
        <v>141</v>
      </c>
      <c r="AM209" s="153" t="s">
        <v>170</v>
      </c>
      <c r="AN209" s="154" t="s">
        <v>2531</v>
      </c>
      <c r="AO209" s="155">
        <v>6</v>
      </c>
      <c r="AP209" s="156" t="s">
        <v>145</v>
      </c>
      <c r="AQ209" s="157" t="s">
        <v>141</v>
      </c>
      <c r="AR209" s="158" t="s">
        <v>141</v>
      </c>
      <c r="AS209" s="159" t="s">
        <v>141</v>
      </c>
      <c r="AT209" s="160" t="s">
        <v>141</v>
      </c>
      <c r="AU209" s="161" t="s">
        <v>141</v>
      </c>
      <c r="AV209" s="162" t="s">
        <v>141</v>
      </c>
      <c r="AW209" s="163" t="s">
        <v>141</v>
      </c>
      <c r="AX209" s="164" t="s">
        <v>141</v>
      </c>
      <c r="AY209" s="165" t="s">
        <v>141</v>
      </c>
      <c r="AZ209" s="166" t="s">
        <v>141</v>
      </c>
      <c r="BA209" s="167" t="s">
        <v>146</v>
      </c>
      <c r="BB209" s="168" t="s">
        <v>133</v>
      </c>
      <c r="BC209" s="169" t="s">
        <v>132</v>
      </c>
      <c r="BD209" s="170" t="s">
        <v>141</v>
      </c>
      <c r="BE209" s="171">
        <v>3</v>
      </c>
      <c r="BF209" s="172" t="s">
        <v>2532</v>
      </c>
      <c r="BG209" s="173">
        <v>3</v>
      </c>
      <c r="BH209" s="174" t="s">
        <v>141</v>
      </c>
      <c r="BI209" s="175" t="s">
        <v>141</v>
      </c>
      <c r="BJ209" s="176" t="s">
        <v>141</v>
      </c>
      <c r="BK209" s="177" t="s">
        <v>2533</v>
      </c>
      <c r="BL209" s="178" t="s">
        <v>2534</v>
      </c>
      <c r="BM209" s="179" t="s">
        <v>2535</v>
      </c>
      <c r="BN209" s="180" t="s">
        <v>2536</v>
      </c>
      <c r="BO209" s="181" t="s">
        <v>141</v>
      </c>
      <c r="BP209" s="182" t="s">
        <v>141</v>
      </c>
      <c r="BQ209" s="183" t="s">
        <v>141</v>
      </c>
      <c r="BR209" s="184" t="s">
        <v>141</v>
      </c>
      <c r="BS209" s="185" t="s">
        <v>141</v>
      </c>
      <c r="BT209" s="186" t="s">
        <v>141</v>
      </c>
      <c r="BU209" s="187" t="s">
        <v>141</v>
      </c>
      <c r="BV209" s="188" t="s">
        <v>141</v>
      </c>
      <c r="BW209" s="189" t="s">
        <v>141</v>
      </c>
      <c r="BX209" s="190" t="s">
        <v>141</v>
      </c>
      <c r="BY209" s="191" t="s">
        <v>141</v>
      </c>
      <c r="BZ209" s="192" t="s">
        <v>141</v>
      </c>
      <c r="CA209" s="193" t="s">
        <v>141</v>
      </c>
      <c r="CB209" s="194" t="s">
        <v>141</v>
      </c>
      <c r="CC209" s="195" t="s">
        <v>141</v>
      </c>
      <c r="CD209" s="196" t="s">
        <v>141</v>
      </c>
      <c r="CE209" s="197" t="s">
        <v>141</v>
      </c>
      <c r="CF209" s="198" t="s">
        <v>141</v>
      </c>
      <c r="CG209" s="199" t="s">
        <v>141</v>
      </c>
      <c r="CH209" s="200" t="s">
        <v>141</v>
      </c>
      <c r="CI209" s="201" t="s">
        <v>141</v>
      </c>
      <c r="CJ209" s="202" t="s">
        <v>141</v>
      </c>
      <c r="CK209" s="203" t="s">
        <v>141</v>
      </c>
      <c r="CL209" s="204" t="s">
        <v>141</v>
      </c>
      <c r="CM209" s="205" t="s">
        <v>141</v>
      </c>
      <c r="CN209" s="206" t="s">
        <v>141</v>
      </c>
      <c r="CO209" s="207" t="s">
        <v>141</v>
      </c>
      <c r="CP209" s="208" t="s">
        <v>141</v>
      </c>
      <c r="CQ209" s="209" t="s">
        <v>141</v>
      </c>
      <c r="CR209" s="210" t="s">
        <v>141</v>
      </c>
      <c r="CS209" s="211" t="s">
        <v>141</v>
      </c>
      <c r="CT209" s="212" t="s">
        <v>141</v>
      </c>
      <c r="CU209" s="213" t="s">
        <v>141</v>
      </c>
      <c r="CV209" s="214" t="s">
        <v>141</v>
      </c>
      <c r="CW209" s="215" t="s">
        <v>141</v>
      </c>
      <c r="CX209" s="216">
        <v>85</v>
      </c>
      <c r="CY209" s="217" t="s">
        <v>150</v>
      </c>
      <c r="CZ209" s="218" t="s">
        <v>180</v>
      </c>
      <c r="DA209" s="219" t="s">
        <v>152</v>
      </c>
      <c r="DB209" s="220" t="s">
        <v>153</v>
      </c>
      <c r="DC209" s="221" t="s">
        <v>181</v>
      </c>
      <c r="DD209" s="222" t="s">
        <v>182</v>
      </c>
      <c r="DE209" s="223" t="s">
        <v>183</v>
      </c>
      <c r="DF209" s="224" t="s">
        <v>157</v>
      </c>
      <c r="DG209" s="225">
        <v>2015</v>
      </c>
      <c r="DH209" s="226" t="s">
        <v>1007</v>
      </c>
      <c r="DI209" s="228" t="str">
        <f>HYPERLINK("https://my.pitchbook.com?c=101775-43T", "View company online")</f>
        <v>View company online</v>
      </c>
    </row>
    <row r="210" spans="1:113" x14ac:dyDescent="0.2">
      <c r="A210" s="3" t="s">
        <v>2537</v>
      </c>
      <c r="B210" s="4" t="s">
        <v>994</v>
      </c>
      <c r="C210" s="5" t="s">
        <v>995</v>
      </c>
      <c r="D210" s="6" t="s">
        <v>996</v>
      </c>
      <c r="E210" s="7" t="s">
        <v>997</v>
      </c>
      <c r="F210" s="8" t="s">
        <v>126</v>
      </c>
      <c r="G210" s="9" t="s">
        <v>127</v>
      </c>
      <c r="H210" s="10" t="s">
        <v>128</v>
      </c>
      <c r="I210" s="11" t="s">
        <v>129</v>
      </c>
      <c r="J210" s="12" t="s">
        <v>998</v>
      </c>
      <c r="K210" s="13" t="s">
        <v>999</v>
      </c>
      <c r="L210" s="14" t="s">
        <v>132</v>
      </c>
      <c r="M210" s="15" t="s">
        <v>133</v>
      </c>
      <c r="N210" s="16" t="s">
        <v>170</v>
      </c>
      <c r="O210" s="17" t="s">
        <v>1000</v>
      </c>
      <c r="P210" s="18" t="s">
        <v>1001</v>
      </c>
      <c r="Q210" s="19" t="s">
        <v>1002</v>
      </c>
      <c r="R210" s="20" t="s">
        <v>1003</v>
      </c>
      <c r="S210" s="21" t="s">
        <v>1004</v>
      </c>
      <c r="T210" s="22" t="s">
        <v>1005</v>
      </c>
      <c r="U210" s="23">
        <v>4</v>
      </c>
      <c r="V210" s="24" t="s">
        <v>2537</v>
      </c>
      <c r="W210" s="25" t="s">
        <v>141</v>
      </c>
      <c r="X210" s="26">
        <v>43572</v>
      </c>
      <c r="Y210" s="27">
        <v>20</v>
      </c>
      <c r="Z210" s="28" t="s">
        <v>177</v>
      </c>
      <c r="AA210" s="29">
        <v>33.5</v>
      </c>
      <c r="AB210" s="30">
        <v>53.5</v>
      </c>
      <c r="AC210" s="31" t="s">
        <v>177</v>
      </c>
      <c r="AD210" s="32" t="s">
        <v>141</v>
      </c>
      <c r="AE210" s="33">
        <v>29.6</v>
      </c>
      <c r="AF210" s="34" t="s">
        <v>1516</v>
      </c>
      <c r="AG210" s="35" t="s">
        <v>1188</v>
      </c>
      <c r="AH210" s="36">
        <v>1.19</v>
      </c>
      <c r="AI210" s="37" t="s">
        <v>1551</v>
      </c>
      <c r="AJ210" s="38" t="s">
        <v>1518</v>
      </c>
      <c r="AK210" s="39" t="s">
        <v>1551</v>
      </c>
      <c r="AL210" s="40" t="s">
        <v>141</v>
      </c>
      <c r="AM210" s="41" t="s">
        <v>170</v>
      </c>
      <c r="AN210" s="42" t="s">
        <v>2538</v>
      </c>
      <c r="AO210" s="43">
        <v>20</v>
      </c>
      <c r="AP210" s="44" t="s">
        <v>145</v>
      </c>
      <c r="AQ210" s="45" t="s">
        <v>141</v>
      </c>
      <c r="AR210" s="46" t="s">
        <v>141</v>
      </c>
      <c r="AS210" s="47" t="s">
        <v>141</v>
      </c>
      <c r="AT210" s="48" t="s">
        <v>141</v>
      </c>
      <c r="AU210" s="49" t="s">
        <v>141</v>
      </c>
      <c r="AV210" s="50" t="s">
        <v>141</v>
      </c>
      <c r="AW210" s="51" t="s">
        <v>141</v>
      </c>
      <c r="AX210" s="52" t="s">
        <v>141</v>
      </c>
      <c r="AY210" s="53" t="s">
        <v>141</v>
      </c>
      <c r="AZ210" s="54" t="s">
        <v>141</v>
      </c>
      <c r="BA210" s="55" t="s">
        <v>146</v>
      </c>
      <c r="BB210" s="56" t="s">
        <v>133</v>
      </c>
      <c r="BC210" s="57" t="s">
        <v>132</v>
      </c>
      <c r="BD210" s="58" t="s">
        <v>141</v>
      </c>
      <c r="BE210" s="59">
        <v>8</v>
      </c>
      <c r="BF210" s="60" t="s">
        <v>2539</v>
      </c>
      <c r="BG210" s="61">
        <v>5</v>
      </c>
      <c r="BH210" s="62" t="s">
        <v>2532</v>
      </c>
      <c r="BI210" s="63">
        <v>3</v>
      </c>
      <c r="BJ210" s="64" t="s">
        <v>141</v>
      </c>
      <c r="BK210" s="65" t="s">
        <v>2540</v>
      </c>
      <c r="BL210" s="66" t="s">
        <v>2541</v>
      </c>
      <c r="BM210" s="67" t="s">
        <v>2542</v>
      </c>
      <c r="BN210" s="68" t="s">
        <v>2543</v>
      </c>
      <c r="BO210" s="69" t="s">
        <v>141</v>
      </c>
      <c r="BP210" s="70" t="s">
        <v>141</v>
      </c>
      <c r="BQ210" s="71" t="s">
        <v>141</v>
      </c>
      <c r="BR210" s="72" t="s">
        <v>2544</v>
      </c>
      <c r="BS210" s="73" t="s">
        <v>2544</v>
      </c>
      <c r="BT210" s="74" t="s">
        <v>141</v>
      </c>
      <c r="BU210" s="75" t="s">
        <v>141</v>
      </c>
      <c r="BV210" s="76" t="s">
        <v>141</v>
      </c>
      <c r="BW210" s="77" t="s">
        <v>141</v>
      </c>
      <c r="BX210" s="78" t="s">
        <v>141</v>
      </c>
      <c r="BY210" s="79" t="s">
        <v>141</v>
      </c>
      <c r="BZ210" s="80" t="s">
        <v>141</v>
      </c>
      <c r="CA210" s="81" t="s">
        <v>141</v>
      </c>
      <c r="CB210" s="82" t="s">
        <v>141</v>
      </c>
      <c r="CC210" s="83" t="s">
        <v>141</v>
      </c>
      <c r="CD210" s="84" t="s">
        <v>141</v>
      </c>
      <c r="CE210" s="85" t="s">
        <v>141</v>
      </c>
      <c r="CF210" s="86" t="s">
        <v>141</v>
      </c>
      <c r="CG210" s="87" t="s">
        <v>141</v>
      </c>
      <c r="CH210" s="88" t="s">
        <v>141</v>
      </c>
      <c r="CI210" s="89" t="s">
        <v>141</v>
      </c>
      <c r="CJ210" s="90" t="s">
        <v>141</v>
      </c>
      <c r="CK210" s="91" t="s">
        <v>141</v>
      </c>
      <c r="CL210" s="92" t="s">
        <v>141</v>
      </c>
      <c r="CM210" s="93" t="s">
        <v>141</v>
      </c>
      <c r="CN210" s="94" t="s">
        <v>141</v>
      </c>
      <c r="CO210" s="95" t="s">
        <v>141</v>
      </c>
      <c r="CP210" s="96" t="s">
        <v>141</v>
      </c>
      <c r="CQ210" s="97" t="s">
        <v>141</v>
      </c>
      <c r="CR210" s="98" t="s">
        <v>141</v>
      </c>
      <c r="CS210" s="99" t="s">
        <v>141</v>
      </c>
      <c r="CT210" s="100" t="s">
        <v>141</v>
      </c>
      <c r="CU210" s="101" t="s">
        <v>141</v>
      </c>
      <c r="CV210" s="102" t="s">
        <v>141</v>
      </c>
      <c r="CW210" s="103" t="s">
        <v>141</v>
      </c>
      <c r="CX210" s="104">
        <v>85</v>
      </c>
      <c r="CY210" s="105" t="s">
        <v>150</v>
      </c>
      <c r="CZ210" s="106" t="s">
        <v>180</v>
      </c>
      <c r="DA210" s="107" t="s">
        <v>152</v>
      </c>
      <c r="DB210" s="108" t="s">
        <v>153</v>
      </c>
      <c r="DC210" s="109" t="s">
        <v>181</v>
      </c>
      <c r="DD210" s="110" t="s">
        <v>182</v>
      </c>
      <c r="DE210" s="111" t="s">
        <v>183</v>
      </c>
      <c r="DF210" s="112" t="s">
        <v>157</v>
      </c>
      <c r="DG210" s="113">
        <v>2015</v>
      </c>
      <c r="DH210" s="114" t="s">
        <v>1007</v>
      </c>
      <c r="DI210" s="227" t="str">
        <f>HYPERLINK("https://my.pitchbook.com?c=115410-43T", "View company online")</f>
        <v>View company online</v>
      </c>
    </row>
    <row r="211" spans="1:113" x14ac:dyDescent="0.2">
      <c r="A211" s="115" t="s">
        <v>2545</v>
      </c>
      <c r="B211" s="116" t="s">
        <v>2546</v>
      </c>
      <c r="C211" s="117" t="s">
        <v>2547</v>
      </c>
      <c r="D211" s="118" t="s">
        <v>2548</v>
      </c>
      <c r="E211" s="119" t="s">
        <v>2549</v>
      </c>
      <c r="F211" s="120" t="s">
        <v>126</v>
      </c>
      <c r="G211" s="121" t="s">
        <v>127</v>
      </c>
      <c r="H211" s="122" t="s">
        <v>128</v>
      </c>
      <c r="I211" s="123" t="s">
        <v>2550</v>
      </c>
      <c r="J211" s="124" t="s">
        <v>2551</v>
      </c>
      <c r="K211" s="125" t="s">
        <v>2552</v>
      </c>
      <c r="L211" s="126" t="s">
        <v>132</v>
      </c>
      <c r="M211" s="127" t="s">
        <v>133</v>
      </c>
      <c r="N211" s="128" t="s">
        <v>170</v>
      </c>
      <c r="O211" s="129" t="s">
        <v>2553</v>
      </c>
      <c r="P211" s="130" t="s">
        <v>2554</v>
      </c>
      <c r="Q211" s="131" t="s">
        <v>2555</v>
      </c>
      <c r="R211" s="132" t="s">
        <v>2556</v>
      </c>
      <c r="S211" s="133" t="s">
        <v>2557</v>
      </c>
      <c r="T211" s="134" t="s">
        <v>2558</v>
      </c>
      <c r="U211" s="135">
        <v>1</v>
      </c>
      <c r="V211" s="136" t="s">
        <v>2545</v>
      </c>
      <c r="W211" s="137" t="s">
        <v>141</v>
      </c>
      <c r="X211" s="138">
        <v>41390</v>
      </c>
      <c r="Y211" s="139">
        <v>2.5</v>
      </c>
      <c r="Z211" s="140" t="s">
        <v>177</v>
      </c>
      <c r="AA211" s="141" t="s">
        <v>141</v>
      </c>
      <c r="AB211" s="142" t="s">
        <v>141</v>
      </c>
      <c r="AC211" s="143" t="s">
        <v>141</v>
      </c>
      <c r="AD211" s="144" t="s">
        <v>141</v>
      </c>
      <c r="AE211" s="145">
        <v>2.5</v>
      </c>
      <c r="AF211" s="146" t="s">
        <v>1571</v>
      </c>
      <c r="AG211" s="147" t="s">
        <v>141</v>
      </c>
      <c r="AH211" s="148" t="s">
        <v>141</v>
      </c>
      <c r="AI211" s="149" t="s">
        <v>1517</v>
      </c>
      <c r="AJ211" s="150" t="s">
        <v>1518</v>
      </c>
      <c r="AK211" s="151" t="s">
        <v>1517</v>
      </c>
      <c r="AL211" s="152" t="s">
        <v>141</v>
      </c>
      <c r="AM211" s="153" t="s">
        <v>170</v>
      </c>
      <c r="AN211" s="154" t="s">
        <v>2549</v>
      </c>
      <c r="AO211" s="155">
        <v>2.5</v>
      </c>
      <c r="AP211" s="156" t="s">
        <v>145</v>
      </c>
      <c r="AQ211" s="157" t="s">
        <v>141</v>
      </c>
      <c r="AR211" s="158" t="s">
        <v>141</v>
      </c>
      <c r="AS211" s="159" t="s">
        <v>141</v>
      </c>
      <c r="AT211" s="160" t="s">
        <v>141</v>
      </c>
      <c r="AU211" s="161" t="s">
        <v>141</v>
      </c>
      <c r="AV211" s="162" t="s">
        <v>141</v>
      </c>
      <c r="AW211" s="163" t="s">
        <v>141</v>
      </c>
      <c r="AX211" s="164" t="s">
        <v>141</v>
      </c>
      <c r="AY211" s="165" t="s">
        <v>141</v>
      </c>
      <c r="AZ211" s="166" t="s">
        <v>141</v>
      </c>
      <c r="BA211" s="167" t="s">
        <v>146</v>
      </c>
      <c r="BB211" s="168" t="s">
        <v>133</v>
      </c>
      <c r="BC211" s="169" t="s">
        <v>132</v>
      </c>
      <c r="BD211" s="170">
        <v>9</v>
      </c>
      <c r="BE211" s="171">
        <v>1</v>
      </c>
      <c r="BF211" s="172" t="s">
        <v>2559</v>
      </c>
      <c r="BG211" s="173">
        <v>1</v>
      </c>
      <c r="BH211" s="174" t="s">
        <v>141</v>
      </c>
      <c r="BI211" s="175" t="s">
        <v>141</v>
      </c>
      <c r="BJ211" s="176" t="s">
        <v>141</v>
      </c>
      <c r="BK211" s="177" t="s">
        <v>2560</v>
      </c>
      <c r="BL211" s="178" t="s">
        <v>2559</v>
      </c>
      <c r="BM211" s="179" t="s">
        <v>2559</v>
      </c>
      <c r="BN211" s="180" t="s">
        <v>2561</v>
      </c>
      <c r="BO211" s="181" t="s">
        <v>141</v>
      </c>
      <c r="BP211" s="182" t="s">
        <v>141</v>
      </c>
      <c r="BQ211" s="183" t="s">
        <v>141</v>
      </c>
      <c r="BR211" s="184" t="s">
        <v>141</v>
      </c>
      <c r="BS211" s="185" t="s">
        <v>141</v>
      </c>
      <c r="BT211" s="186" t="s">
        <v>141</v>
      </c>
      <c r="BU211" s="187" t="s">
        <v>141</v>
      </c>
      <c r="BV211" s="188" t="s">
        <v>141</v>
      </c>
      <c r="BW211" s="189" t="s">
        <v>141</v>
      </c>
      <c r="BX211" s="190" t="s">
        <v>141</v>
      </c>
      <c r="BY211" s="191" t="s">
        <v>141</v>
      </c>
      <c r="BZ211" s="192" t="s">
        <v>141</v>
      </c>
      <c r="CA211" s="193" t="s">
        <v>141</v>
      </c>
      <c r="CB211" s="194" t="s">
        <v>141</v>
      </c>
      <c r="CC211" s="195" t="s">
        <v>141</v>
      </c>
      <c r="CD211" s="196" t="s">
        <v>141</v>
      </c>
      <c r="CE211" s="197" t="s">
        <v>141</v>
      </c>
      <c r="CF211" s="198" t="s">
        <v>141</v>
      </c>
      <c r="CG211" s="199" t="s">
        <v>141</v>
      </c>
      <c r="CH211" s="200" t="s">
        <v>141</v>
      </c>
      <c r="CI211" s="201" t="s">
        <v>141</v>
      </c>
      <c r="CJ211" s="202" t="s">
        <v>141</v>
      </c>
      <c r="CK211" s="203" t="s">
        <v>141</v>
      </c>
      <c r="CL211" s="204" t="s">
        <v>141</v>
      </c>
      <c r="CM211" s="205" t="s">
        <v>141</v>
      </c>
      <c r="CN211" s="206" t="s">
        <v>141</v>
      </c>
      <c r="CO211" s="207" t="s">
        <v>141</v>
      </c>
      <c r="CP211" s="208" t="s">
        <v>141</v>
      </c>
      <c r="CQ211" s="209" t="s">
        <v>141</v>
      </c>
      <c r="CR211" s="210" t="s">
        <v>141</v>
      </c>
      <c r="CS211" s="211" t="s">
        <v>141</v>
      </c>
      <c r="CT211" s="212" t="s">
        <v>141</v>
      </c>
      <c r="CU211" s="213" t="s">
        <v>141</v>
      </c>
      <c r="CV211" s="214" t="s">
        <v>141</v>
      </c>
      <c r="CW211" s="215" t="s">
        <v>141</v>
      </c>
      <c r="CX211" s="216">
        <v>13</v>
      </c>
      <c r="CY211" s="217" t="s">
        <v>150</v>
      </c>
      <c r="CZ211" s="218" t="s">
        <v>200</v>
      </c>
      <c r="DA211" s="219" t="s">
        <v>152</v>
      </c>
      <c r="DB211" s="220" t="s">
        <v>153</v>
      </c>
      <c r="DC211" s="221" t="s">
        <v>201</v>
      </c>
      <c r="DD211" s="222" t="s">
        <v>201</v>
      </c>
      <c r="DE211" s="223" t="s">
        <v>2562</v>
      </c>
      <c r="DF211" s="224" t="s">
        <v>157</v>
      </c>
      <c r="DG211" s="225">
        <v>2010</v>
      </c>
      <c r="DH211" s="226" t="s">
        <v>2563</v>
      </c>
      <c r="DI211" s="228" t="str">
        <f>HYPERLINK("https://my.pitchbook.com?c=25661-98T", "View company online")</f>
        <v>View company online</v>
      </c>
    </row>
    <row r="212" spans="1:113" x14ac:dyDescent="0.2">
      <c r="A212" s="3" t="s">
        <v>2564</v>
      </c>
      <c r="B212" s="4" t="s">
        <v>2565</v>
      </c>
      <c r="C212" s="5" t="s">
        <v>2566</v>
      </c>
      <c r="D212" s="6" t="s">
        <v>2567</v>
      </c>
      <c r="E212" s="7" t="s">
        <v>2568</v>
      </c>
      <c r="F212" s="8" t="s">
        <v>126</v>
      </c>
      <c r="G212" s="9" t="s">
        <v>127</v>
      </c>
      <c r="H212" s="10" t="s">
        <v>128</v>
      </c>
      <c r="I212" s="11" t="s">
        <v>318</v>
      </c>
      <c r="J212" s="12" t="s">
        <v>130</v>
      </c>
      <c r="K212" s="13" t="s">
        <v>2569</v>
      </c>
      <c r="L212" s="14" t="s">
        <v>132</v>
      </c>
      <c r="M212" s="15" t="s">
        <v>133</v>
      </c>
      <c r="N212" s="16" t="s">
        <v>741</v>
      </c>
      <c r="O212" s="17" t="s">
        <v>2570</v>
      </c>
      <c r="P212" s="18" t="s">
        <v>2571</v>
      </c>
      <c r="Q212" s="19" t="s">
        <v>2572</v>
      </c>
      <c r="R212" s="20" t="s">
        <v>2573</v>
      </c>
      <c r="S212" s="21" t="s">
        <v>2574</v>
      </c>
      <c r="T212" s="22" t="s">
        <v>2575</v>
      </c>
      <c r="U212" s="23">
        <v>2</v>
      </c>
      <c r="V212" s="24" t="s">
        <v>2564</v>
      </c>
      <c r="W212" s="25" t="s">
        <v>141</v>
      </c>
      <c r="X212" s="26">
        <v>41936</v>
      </c>
      <c r="Y212" s="27">
        <v>7.08</v>
      </c>
      <c r="Z212" s="28" t="s">
        <v>177</v>
      </c>
      <c r="AA212" s="29">
        <v>15.92</v>
      </c>
      <c r="AB212" s="30">
        <v>23</v>
      </c>
      <c r="AC212" s="31" t="s">
        <v>177</v>
      </c>
      <c r="AD212" s="32">
        <v>30.78</v>
      </c>
      <c r="AE212" s="33">
        <v>11.97</v>
      </c>
      <c r="AF212" s="34" t="s">
        <v>1582</v>
      </c>
      <c r="AG212" s="35" t="s">
        <v>1846</v>
      </c>
      <c r="AH212" s="36">
        <v>1</v>
      </c>
      <c r="AI212" s="37" t="s">
        <v>1517</v>
      </c>
      <c r="AJ212" s="38" t="s">
        <v>1518</v>
      </c>
      <c r="AK212" s="39" t="s">
        <v>1517</v>
      </c>
      <c r="AL212" s="40" t="s">
        <v>141</v>
      </c>
      <c r="AM212" s="41" t="s">
        <v>170</v>
      </c>
      <c r="AN212" s="42" t="s">
        <v>2576</v>
      </c>
      <c r="AO212" s="43">
        <v>7.08</v>
      </c>
      <c r="AP212" s="44" t="s">
        <v>145</v>
      </c>
      <c r="AQ212" s="45" t="s">
        <v>141</v>
      </c>
      <c r="AR212" s="46" t="s">
        <v>141</v>
      </c>
      <c r="AS212" s="47" t="s">
        <v>141</v>
      </c>
      <c r="AT212" s="48" t="s">
        <v>141</v>
      </c>
      <c r="AU212" s="49" t="s">
        <v>141</v>
      </c>
      <c r="AV212" s="50" t="s">
        <v>141</v>
      </c>
      <c r="AW212" s="51" t="s">
        <v>141</v>
      </c>
      <c r="AX212" s="52" t="s">
        <v>141</v>
      </c>
      <c r="AY212" s="53" t="s">
        <v>141</v>
      </c>
      <c r="AZ212" s="54" t="s">
        <v>141</v>
      </c>
      <c r="BA212" s="55" t="s">
        <v>146</v>
      </c>
      <c r="BB212" s="56" t="s">
        <v>133</v>
      </c>
      <c r="BC212" s="57" t="s">
        <v>132</v>
      </c>
      <c r="BD212" s="58">
        <v>49</v>
      </c>
      <c r="BE212" s="59">
        <v>7</v>
      </c>
      <c r="BF212" s="60" t="s">
        <v>2577</v>
      </c>
      <c r="BG212" s="61">
        <v>6</v>
      </c>
      <c r="BH212" s="62" t="s">
        <v>2578</v>
      </c>
      <c r="BI212" s="63">
        <v>1</v>
      </c>
      <c r="BJ212" s="64" t="s">
        <v>141</v>
      </c>
      <c r="BK212" s="65" t="s">
        <v>2579</v>
      </c>
      <c r="BL212" s="66" t="s">
        <v>2580</v>
      </c>
      <c r="BM212" s="67" t="s">
        <v>2581</v>
      </c>
      <c r="BN212" s="68" t="s">
        <v>2582</v>
      </c>
      <c r="BO212" s="69" t="s">
        <v>141</v>
      </c>
      <c r="BP212" s="70" t="s">
        <v>141</v>
      </c>
      <c r="BQ212" s="71" t="s">
        <v>141</v>
      </c>
      <c r="BR212" s="72" t="s">
        <v>2583</v>
      </c>
      <c r="BS212" s="73" t="s">
        <v>141</v>
      </c>
      <c r="BT212" s="74" t="s">
        <v>141</v>
      </c>
      <c r="BU212" s="75" t="s">
        <v>2583</v>
      </c>
      <c r="BV212" s="76" t="s">
        <v>141</v>
      </c>
      <c r="BW212" s="77" t="s">
        <v>141</v>
      </c>
      <c r="BX212" s="78" t="s">
        <v>141</v>
      </c>
      <c r="BY212" s="79" t="s">
        <v>141</v>
      </c>
      <c r="BZ212" s="80" t="s">
        <v>141</v>
      </c>
      <c r="CA212" s="81" t="s">
        <v>141</v>
      </c>
      <c r="CB212" s="82" t="s">
        <v>141</v>
      </c>
      <c r="CC212" s="83" t="s">
        <v>141</v>
      </c>
      <c r="CD212" s="84" t="s">
        <v>141</v>
      </c>
      <c r="CE212" s="85" t="s">
        <v>141</v>
      </c>
      <c r="CF212" s="86" t="s">
        <v>141</v>
      </c>
      <c r="CG212" s="87" t="s">
        <v>141</v>
      </c>
      <c r="CH212" s="88" t="s">
        <v>141</v>
      </c>
      <c r="CI212" s="89" t="s">
        <v>141</v>
      </c>
      <c r="CJ212" s="90" t="s">
        <v>141</v>
      </c>
      <c r="CK212" s="91" t="s">
        <v>141</v>
      </c>
      <c r="CL212" s="92" t="s">
        <v>141</v>
      </c>
      <c r="CM212" s="93" t="s">
        <v>141</v>
      </c>
      <c r="CN212" s="94" t="s">
        <v>141</v>
      </c>
      <c r="CO212" s="95" t="s">
        <v>141</v>
      </c>
      <c r="CP212" s="96" t="s">
        <v>141</v>
      </c>
      <c r="CQ212" s="97" t="s">
        <v>141</v>
      </c>
      <c r="CR212" s="98" t="s">
        <v>141</v>
      </c>
      <c r="CS212" s="99" t="s">
        <v>141</v>
      </c>
      <c r="CT212" s="100" t="s">
        <v>141</v>
      </c>
      <c r="CU212" s="101" t="s">
        <v>141</v>
      </c>
      <c r="CV212" s="102" t="s">
        <v>141</v>
      </c>
      <c r="CW212" s="103" t="s">
        <v>141</v>
      </c>
      <c r="CX212" s="104">
        <v>105</v>
      </c>
      <c r="CY212" s="105" t="s">
        <v>150</v>
      </c>
      <c r="CZ212" s="106" t="s">
        <v>2584</v>
      </c>
      <c r="DA212" s="107" t="s">
        <v>152</v>
      </c>
      <c r="DB212" s="108" t="s">
        <v>153</v>
      </c>
      <c r="DC212" s="109" t="s">
        <v>2585</v>
      </c>
      <c r="DD212" s="110" t="s">
        <v>910</v>
      </c>
      <c r="DE212" s="111" t="s">
        <v>2586</v>
      </c>
      <c r="DF212" s="112" t="s">
        <v>157</v>
      </c>
      <c r="DG212" s="113">
        <v>2011</v>
      </c>
      <c r="DH212" s="114" t="s">
        <v>2587</v>
      </c>
      <c r="DI212" s="227" t="str">
        <f>HYPERLINK("https://my.pitchbook.com?c=38723-41T", "View company online")</f>
        <v>View company online</v>
      </c>
    </row>
    <row r="213" spans="1:113" x14ac:dyDescent="0.2">
      <c r="A213" s="115" t="s">
        <v>2588</v>
      </c>
      <c r="B213" s="116" t="s">
        <v>2565</v>
      </c>
      <c r="C213" s="117" t="s">
        <v>2566</v>
      </c>
      <c r="D213" s="118" t="s">
        <v>2567</v>
      </c>
      <c r="E213" s="119" t="s">
        <v>2568</v>
      </c>
      <c r="F213" s="120" t="s">
        <v>126</v>
      </c>
      <c r="G213" s="121" t="s">
        <v>127</v>
      </c>
      <c r="H213" s="122" t="s">
        <v>128</v>
      </c>
      <c r="I213" s="123" t="s">
        <v>318</v>
      </c>
      <c r="J213" s="124" t="s">
        <v>130</v>
      </c>
      <c r="K213" s="125" t="s">
        <v>2569</v>
      </c>
      <c r="L213" s="126" t="s">
        <v>132</v>
      </c>
      <c r="M213" s="127" t="s">
        <v>133</v>
      </c>
      <c r="N213" s="128" t="s">
        <v>741</v>
      </c>
      <c r="O213" s="129" t="s">
        <v>2570</v>
      </c>
      <c r="P213" s="130" t="s">
        <v>2571</v>
      </c>
      <c r="Q213" s="131" t="s">
        <v>2572</v>
      </c>
      <c r="R213" s="132" t="s">
        <v>2573</v>
      </c>
      <c r="S213" s="133" t="s">
        <v>2574</v>
      </c>
      <c r="T213" s="134" t="s">
        <v>2575</v>
      </c>
      <c r="U213" s="135">
        <v>5</v>
      </c>
      <c r="V213" s="136" t="s">
        <v>2588</v>
      </c>
      <c r="W213" s="137">
        <v>42389</v>
      </c>
      <c r="X213" s="138">
        <v>42491</v>
      </c>
      <c r="Y213" s="139">
        <v>12</v>
      </c>
      <c r="Z213" s="140" t="s">
        <v>177</v>
      </c>
      <c r="AA213" s="141">
        <v>28</v>
      </c>
      <c r="AB213" s="142">
        <v>40</v>
      </c>
      <c r="AC213" s="143" t="s">
        <v>177</v>
      </c>
      <c r="AD213" s="144">
        <v>30</v>
      </c>
      <c r="AE213" s="145">
        <v>24.01</v>
      </c>
      <c r="AF213" s="146" t="s">
        <v>1550</v>
      </c>
      <c r="AG213" s="147" t="s">
        <v>141</v>
      </c>
      <c r="AH213" s="148">
        <v>1.46</v>
      </c>
      <c r="AI213" s="149" t="s">
        <v>1551</v>
      </c>
      <c r="AJ213" s="150" t="s">
        <v>1518</v>
      </c>
      <c r="AK213" s="151" t="s">
        <v>1551</v>
      </c>
      <c r="AL213" s="152" t="s">
        <v>141</v>
      </c>
      <c r="AM213" s="153" t="s">
        <v>170</v>
      </c>
      <c r="AN213" s="154" t="s">
        <v>2589</v>
      </c>
      <c r="AO213" s="155">
        <v>12</v>
      </c>
      <c r="AP213" s="156" t="s">
        <v>145</v>
      </c>
      <c r="AQ213" s="157" t="s">
        <v>141</v>
      </c>
      <c r="AR213" s="158" t="s">
        <v>141</v>
      </c>
      <c r="AS213" s="159" t="s">
        <v>141</v>
      </c>
      <c r="AT213" s="160" t="s">
        <v>141</v>
      </c>
      <c r="AU213" s="161" t="s">
        <v>141</v>
      </c>
      <c r="AV213" s="162" t="s">
        <v>141</v>
      </c>
      <c r="AW213" s="163" t="s">
        <v>141</v>
      </c>
      <c r="AX213" s="164" t="s">
        <v>141</v>
      </c>
      <c r="AY213" s="165" t="s">
        <v>141</v>
      </c>
      <c r="AZ213" s="166" t="s">
        <v>141</v>
      </c>
      <c r="BA213" s="167" t="s">
        <v>146</v>
      </c>
      <c r="BB213" s="168" t="s">
        <v>133</v>
      </c>
      <c r="BC213" s="169" t="s">
        <v>132</v>
      </c>
      <c r="BD213" s="170">
        <v>105</v>
      </c>
      <c r="BE213" s="171">
        <v>7</v>
      </c>
      <c r="BF213" s="172" t="s">
        <v>2590</v>
      </c>
      <c r="BG213" s="173">
        <v>4</v>
      </c>
      <c r="BH213" s="174" t="s">
        <v>2591</v>
      </c>
      <c r="BI213" s="175">
        <v>3</v>
      </c>
      <c r="BJ213" s="176" t="s">
        <v>141</v>
      </c>
      <c r="BK213" s="177" t="s">
        <v>2592</v>
      </c>
      <c r="BL213" s="178" t="s">
        <v>2593</v>
      </c>
      <c r="BM213" s="179" t="s">
        <v>2594</v>
      </c>
      <c r="BN213" s="180" t="s">
        <v>2595</v>
      </c>
      <c r="BO213" s="181" t="s">
        <v>141</v>
      </c>
      <c r="BP213" s="182" t="s">
        <v>141</v>
      </c>
      <c r="BQ213" s="183" t="s">
        <v>141</v>
      </c>
      <c r="BR213" s="184" t="s">
        <v>2596</v>
      </c>
      <c r="BS213" s="185" t="s">
        <v>1991</v>
      </c>
      <c r="BT213" s="186" t="s">
        <v>141</v>
      </c>
      <c r="BU213" s="187" t="s">
        <v>2597</v>
      </c>
      <c r="BV213" s="188" t="s">
        <v>141</v>
      </c>
      <c r="BW213" s="189" t="s">
        <v>141</v>
      </c>
      <c r="BX213" s="190" t="s">
        <v>141</v>
      </c>
      <c r="BY213" s="191" t="s">
        <v>141</v>
      </c>
      <c r="BZ213" s="192" t="s">
        <v>141</v>
      </c>
      <c r="CA213" s="193" t="s">
        <v>141</v>
      </c>
      <c r="CB213" s="194" t="s">
        <v>141</v>
      </c>
      <c r="CC213" s="195" t="s">
        <v>141</v>
      </c>
      <c r="CD213" s="196" t="s">
        <v>141</v>
      </c>
      <c r="CE213" s="197" t="s">
        <v>141</v>
      </c>
      <c r="CF213" s="198" t="s">
        <v>141</v>
      </c>
      <c r="CG213" s="199" t="s">
        <v>141</v>
      </c>
      <c r="CH213" s="200" t="s">
        <v>141</v>
      </c>
      <c r="CI213" s="201" t="s">
        <v>141</v>
      </c>
      <c r="CJ213" s="202" t="s">
        <v>141</v>
      </c>
      <c r="CK213" s="203" t="s">
        <v>141</v>
      </c>
      <c r="CL213" s="204" t="s">
        <v>141</v>
      </c>
      <c r="CM213" s="205" t="s">
        <v>141</v>
      </c>
      <c r="CN213" s="206" t="s">
        <v>141</v>
      </c>
      <c r="CO213" s="207" t="s">
        <v>141</v>
      </c>
      <c r="CP213" s="208" t="s">
        <v>141</v>
      </c>
      <c r="CQ213" s="209" t="s">
        <v>141</v>
      </c>
      <c r="CR213" s="210" t="s">
        <v>141</v>
      </c>
      <c r="CS213" s="211" t="s">
        <v>141</v>
      </c>
      <c r="CT213" s="212" t="s">
        <v>141</v>
      </c>
      <c r="CU213" s="213" t="s">
        <v>141</v>
      </c>
      <c r="CV213" s="214" t="s">
        <v>141</v>
      </c>
      <c r="CW213" s="215" t="s">
        <v>141</v>
      </c>
      <c r="CX213" s="216">
        <v>105</v>
      </c>
      <c r="CY213" s="217" t="s">
        <v>150</v>
      </c>
      <c r="CZ213" s="218" t="s">
        <v>2584</v>
      </c>
      <c r="DA213" s="219" t="s">
        <v>152</v>
      </c>
      <c r="DB213" s="220" t="s">
        <v>153</v>
      </c>
      <c r="DC213" s="221" t="s">
        <v>2585</v>
      </c>
      <c r="DD213" s="222" t="s">
        <v>910</v>
      </c>
      <c r="DE213" s="223" t="s">
        <v>2586</v>
      </c>
      <c r="DF213" s="224" t="s">
        <v>157</v>
      </c>
      <c r="DG213" s="225">
        <v>2011</v>
      </c>
      <c r="DH213" s="226" t="s">
        <v>2587</v>
      </c>
      <c r="DI213" s="228" t="str">
        <f>HYPERLINK("https://my.pitchbook.com?c=65724-31T", "View company online")</f>
        <v>View company online</v>
      </c>
    </row>
    <row r="214" spans="1:113" x14ac:dyDescent="0.2">
      <c r="A214" s="3" t="s">
        <v>2598</v>
      </c>
      <c r="B214" s="4" t="s">
        <v>2565</v>
      </c>
      <c r="C214" s="5" t="s">
        <v>2566</v>
      </c>
      <c r="D214" s="6" t="s">
        <v>2567</v>
      </c>
      <c r="E214" s="7" t="s">
        <v>2568</v>
      </c>
      <c r="F214" s="8" t="s">
        <v>126</v>
      </c>
      <c r="G214" s="9" t="s">
        <v>127</v>
      </c>
      <c r="H214" s="10" t="s">
        <v>128</v>
      </c>
      <c r="I214" s="11" t="s">
        <v>318</v>
      </c>
      <c r="J214" s="12" t="s">
        <v>130</v>
      </c>
      <c r="K214" s="13" t="s">
        <v>2569</v>
      </c>
      <c r="L214" s="14" t="s">
        <v>132</v>
      </c>
      <c r="M214" s="15" t="s">
        <v>133</v>
      </c>
      <c r="N214" s="16" t="s">
        <v>741</v>
      </c>
      <c r="O214" s="17" t="s">
        <v>2570</v>
      </c>
      <c r="P214" s="18" t="s">
        <v>2571</v>
      </c>
      <c r="Q214" s="19" t="s">
        <v>2572</v>
      </c>
      <c r="R214" s="20" t="s">
        <v>2573</v>
      </c>
      <c r="S214" s="21" t="s">
        <v>2574</v>
      </c>
      <c r="T214" s="22" t="s">
        <v>2575</v>
      </c>
      <c r="U214" s="23">
        <v>4</v>
      </c>
      <c r="V214" s="24" t="s">
        <v>2598</v>
      </c>
      <c r="W214" s="25" t="s">
        <v>141</v>
      </c>
      <c r="X214" s="26">
        <v>42418</v>
      </c>
      <c r="Y214" s="27">
        <v>0.04</v>
      </c>
      <c r="Z214" s="28" t="s">
        <v>177</v>
      </c>
      <c r="AA214" s="29" t="s">
        <v>141</v>
      </c>
      <c r="AB214" s="30" t="s">
        <v>141</v>
      </c>
      <c r="AC214" s="31" t="s">
        <v>141</v>
      </c>
      <c r="AD214" s="32" t="s">
        <v>141</v>
      </c>
      <c r="AE214" s="33">
        <v>12.01</v>
      </c>
      <c r="AF214" s="34" t="s">
        <v>1516</v>
      </c>
      <c r="AG214" s="35" t="s">
        <v>141</v>
      </c>
      <c r="AH214" s="36" t="s">
        <v>141</v>
      </c>
      <c r="AI214" s="37" t="s">
        <v>1517</v>
      </c>
      <c r="AJ214" s="38" t="s">
        <v>1518</v>
      </c>
      <c r="AK214" s="39" t="s">
        <v>1517</v>
      </c>
      <c r="AL214" s="40" t="s">
        <v>141</v>
      </c>
      <c r="AM214" s="41" t="s">
        <v>170</v>
      </c>
      <c r="AN214" s="42" t="s">
        <v>2599</v>
      </c>
      <c r="AO214" s="43">
        <v>0.04</v>
      </c>
      <c r="AP214" s="44" t="s">
        <v>145</v>
      </c>
      <c r="AQ214" s="45" t="s">
        <v>141</v>
      </c>
      <c r="AR214" s="46" t="s">
        <v>141</v>
      </c>
      <c r="AS214" s="47" t="s">
        <v>141</v>
      </c>
      <c r="AT214" s="48" t="s">
        <v>141</v>
      </c>
      <c r="AU214" s="49" t="s">
        <v>141</v>
      </c>
      <c r="AV214" s="50" t="s">
        <v>141</v>
      </c>
      <c r="AW214" s="51" t="s">
        <v>141</v>
      </c>
      <c r="AX214" s="52" t="s">
        <v>141</v>
      </c>
      <c r="AY214" s="53" t="s">
        <v>141</v>
      </c>
      <c r="AZ214" s="54" t="s">
        <v>141</v>
      </c>
      <c r="BA214" s="55" t="s">
        <v>146</v>
      </c>
      <c r="BB214" s="56" t="s">
        <v>133</v>
      </c>
      <c r="BC214" s="57" t="s">
        <v>132</v>
      </c>
      <c r="BD214" s="58">
        <v>105</v>
      </c>
      <c r="BE214" s="59">
        <v>1</v>
      </c>
      <c r="BF214" s="60" t="s">
        <v>141</v>
      </c>
      <c r="BG214" s="61" t="s">
        <v>141</v>
      </c>
      <c r="BH214" s="62" t="s">
        <v>2600</v>
      </c>
      <c r="BI214" s="63">
        <v>1</v>
      </c>
      <c r="BJ214" s="64" t="s">
        <v>141</v>
      </c>
      <c r="BK214" s="65" t="s">
        <v>2601</v>
      </c>
      <c r="BL214" s="66" t="s">
        <v>2600</v>
      </c>
      <c r="BM214" s="67" t="s">
        <v>2600</v>
      </c>
      <c r="BN214" s="68" t="s">
        <v>141</v>
      </c>
      <c r="BO214" s="69" t="s">
        <v>141</v>
      </c>
      <c r="BP214" s="70" t="s">
        <v>141</v>
      </c>
      <c r="BQ214" s="71" t="s">
        <v>141</v>
      </c>
      <c r="BR214" s="72" t="s">
        <v>141</v>
      </c>
      <c r="BS214" s="73" t="s">
        <v>141</v>
      </c>
      <c r="BT214" s="74" t="s">
        <v>141</v>
      </c>
      <c r="BU214" s="75" t="s">
        <v>141</v>
      </c>
      <c r="BV214" s="76" t="s">
        <v>141</v>
      </c>
      <c r="BW214" s="77" t="s">
        <v>141</v>
      </c>
      <c r="BX214" s="78" t="s">
        <v>141</v>
      </c>
      <c r="BY214" s="79" t="s">
        <v>141</v>
      </c>
      <c r="BZ214" s="80" t="s">
        <v>141</v>
      </c>
      <c r="CA214" s="81" t="s">
        <v>141</v>
      </c>
      <c r="CB214" s="82" t="s">
        <v>141</v>
      </c>
      <c r="CC214" s="83" t="s">
        <v>141</v>
      </c>
      <c r="CD214" s="84" t="s">
        <v>141</v>
      </c>
      <c r="CE214" s="85" t="s">
        <v>141</v>
      </c>
      <c r="CF214" s="86" t="s">
        <v>141</v>
      </c>
      <c r="CG214" s="87" t="s">
        <v>141</v>
      </c>
      <c r="CH214" s="88" t="s">
        <v>141</v>
      </c>
      <c r="CI214" s="89" t="s">
        <v>141</v>
      </c>
      <c r="CJ214" s="90" t="s">
        <v>141</v>
      </c>
      <c r="CK214" s="91" t="s">
        <v>141</v>
      </c>
      <c r="CL214" s="92" t="s">
        <v>141</v>
      </c>
      <c r="CM214" s="93" t="s">
        <v>141</v>
      </c>
      <c r="CN214" s="94" t="s">
        <v>141</v>
      </c>
      <c r="CO214" s="95" t="s">
        <v>141</v>
      </c>
      <c r="CP214" s="96" t="s">
        <v>141</v>
      </c>
      <c r="CQ214" s="97" t="s">
        <v>141</v>
      </c>
      <c r="CR214" s="98" t="s">
        <v>141</v>
      </c>
      <c r="CS214" s="99" t="s">
        <v>141</v>
      </c>
      <c r="CT214" s="100" t="s">
        <v>141</v>
      </c>
      <c r="CU214" s="101" t="s">
        <v>141</v>
      </c>
      <c r="CV214" s="102" t="s">
        <v>141</v>
      </c>
      <c r="CW214" s="103" t="s">
        <v>141</v>
      </c>
      <c r="CX214" s="104">
        <v>105</v>
      </c>
      <c r="CY214" s="105" t="s">
        <v>150</v>
      </c>
      <c r="CZ214" s="106" t="s">
        <v>2584</v>
      </c>
      <c r="DA214" s="107" t="s">
        <v>152</v>
      </c>
      <c r="DB214" s="108" t="s">
        <v>153</v>
      </c>
      <c r="DC214" s="109" t="s">
        <v>2585</v>
      </c>
      <c r="DD214" s="110" t="s">
        <v>910</v>
      </c>
      <c r="DE214" s="111" t="s">
        <v>2586</v>
      </c>
      <c r="DF214" s="112" t="s">
        <v>157</v>
      </c>
      <c r="DG214" s="113">
        <v>2011</v>
      </c>
      <c r="DH214" s="114" t="s">
        <v>2587</v>
      </c>
      <c r="DI214" s="227" t="str">
        <f>HYPERLINK("https://my.pitchbook.com?c=82816-21T", "View company online")</f>
        <v>View company online</v>
      </c>
    </row>
    <row r="215" spans="1:113" x14ac:dyDescent="0.2">
      <c r="A215" s="115" t="s">
        <v>2602</v>
      </c>
      <c r="B215" s="116" t="s">
        <v>2603</v>
      </c>
      <c r="C215" s="117" t="s">
        <v>2604</v>
      </c>
      <c r="D215" s="118" t="s">
        <v>2605</v>
      </c>
      <c r="E215" s="119" t="s">
        <v>2606</v>
      </c>
      <c r="F215" s="120" t="s">
        <v>126</v>
      </c>
      <c r="G215" s="121" t="s">
        <v>456</v>
      </c>
      <c r="H215" s="122" t="s">
        <v>457</v>
      </c>
      <c r="I215" s="123" t="s">
        <v>515</v>
      </c>
      <c r="J215" s="124" t="s">
        <v>2607</v>
      </c>
      <c r="K215" s="125" t="s">
        <v>2608</v>
      </c>
      <c r="L215" s="126" t="s">
        <v>132</v>
      </c>
      <c r="M215" s="127" t="s">
        <v>133</v>
      </c>
      <c r="N215" s="128" t="s">
        <v>170</v>
      </c>
      <c r="O215" s="129" t="s">
        <v>2609</v>
      </c>
      <c r="P215" s="130" t="s">
        <v>2610</v>
      </c>
      <c r="Q215" s="131" t="s">
        <v>2611</v>
      </c>
      <c r="R215" s="132" t="s">
        <v>2612</v>
      </c>
      <c r="S215" s="133" t="s">
        <v>2613</v>
      </c>
      <c r="T215" s="134" t="s">
        <v>2614</v>
      </c>
      <c r="U215" s="135">
        <v>3</v>
      </c>
      <c r="V215" s="136" t="s">
        <v>2602</v>
      </c>
      <c r="W215" s="137" t="s">
        <v>141</v>
      </c>
      <c r="X215" s="138" t="s">
        <v>141</v>
      </c>
      <c r="Y215" s="139">
        <v>8.35</v>
      </c>
      <c r="Z215" s="140" t="s">
        <v>177</v>
      </c>
      <c r="AA215" s="141" t="s">
        <v>141</v>
      </c>
      <c r="AB215" s="142" t="s">
        <v>141</v>
      </c>
      <c r="AC215" s="143" t="s">
        <v>141</v>
      </c>
      <c r="AD215" s="144" t="s">
        <v>141</v>
      </c>
      <c r="AE215" s="145">
        <v>9.35</v>
      </c>
      <c r="AF215" s="146" t="s">
        <v>1582</v>
      </c>
      <c r="AG215" s="147" t="s">
        <v>141</v>
      </c>
      <c r="AH215" s="148" t="s">
        <v>141</v>
      </c>
      <c r="AI215" s="149" t="s">
        <v>141</v>
      </c>
      <c r="AJ215" s="150" t="s">
        <v>1518</v>
      </c>
      <c r="AK215" s="151" t="s">
        <v>141</v>
      </c>
      <c r="AL215" s="152" t="s">
        <v>141</v>
      </c>
      <c r="AM215" s="153" t="s">
        <v>170</v>
      </c>
      <c r="AN215" s="154" t="s">
        <v>2615</v>
      </c>
      <c r="AO215" s="155">
        <v>8.35</v>
      </c>
      <c r="AP215" s="156" t="s">
        <v>145</v>
      </c>
      <c r="AQ215" s="157" t="s">
        <v>141</v>
      </c>
      <c r="AR215" s="158" t="s">
        <v>141</v>
      </c>
      <c r="AS215" s="159" t="s">
        <v>141</v>
      </c>
      <c r="AT215" s="160" t="s">
        <v>141</v>
      </c>
      <c r="AU215" s="161" t="s">
        <v>141</v>
      </c>
      <c r="AV215" s="162" t="s">
        <v>141</v>
      </c>
      <c r="AW215" s="163" t="s">
        <v>141</v>
      </c>
      <c r="AX215" s="164" t="s">
        <v>141</v>
      </c>
      <c r="AY215" s="165" t="s">
        <v>141</v>
      </c>
      <c r="AZ215" s="166" t="s">
        <v>141</v>
      </c>
      <c r="BA215" s="167" t="s">
        <v>146</v>
      </c>
      <c r="BB215" s="168" t="s">
        <v>133</v>
      </c>
      <c r="BC215" s="169" t="s">
        <v>132</v>
      </c>
      <c r="BD215" s="170">
        <v>78</v>
      </c>
      <c r="BE215" s="171">
        <v>2</v>
      </c>
      <c r="BF215" s="172" t="s">
        <v>2616</v>
      </c>
      <c r="BG215" s="173">
        <v>2</v>
      </c>
      <c r="BH215" s="174" t="s">
        <v>141</v>
      </c>
      <c r="BI215" s="175" t="s">
        <v>141</v>
      </c>
      <c r="BJ215" s="176" t="s">
        <v>141</v>
      </c>
      <c r="BK215" s="177" t="s">
        <v>2617</v>
      </c>
      <c r="BL215" s="178" t="s">
        <v>2618</v>
      </c>
      <c r="BM215" s="179" t="s">
        <v>141</v>
      </c>
      <c r="BN215" s="180" t="s">
        <v>141</v>
      </c>
      <c r="BO215" s="181" t="s">
        <v>141</v>
      </c>
      <c r="BP215" s="182" t="s">
        <v>141</v>
      </c>
      <c r="BQ215" s="183" t="s">
        <v>141</v>
      </c>
      <c r="BR215" s="184" t="s">
        <v>141</v>
      </c>
      <c r="BS215" s="185" t="s">
        <v>141</v>
      </c>
      <c r="BT215" s="186" t="s">
        <v>141</v>
      </c>
      <c r="BU215" s="187" t="s">
        <v>141</v>
      </c>
      <c r="BV215" s="188" t="s">
        <v>141</v>
      </c>
      <c r="BW215" s="189" t="s">
        <v>141</v>
      </c>
      <c r="BX215" s="190" t="s">
        <v>141</v>
      </c>
      <c r="BY215" s="191" t="s">
        <v>141</v>
      </c>
      <c r="BZ215" s="192" t="s">
        <v>141</v>
      </c>
      <c r="CA215" s="193" t="s">
        <v>141</v>
      </c>
      <c r="CB215" s="194" t="s">
        <v>141</v>
      </c>
      <c r="CC215" s="195" t="s">
        <v>141</v>
      </c>
      <c r="CD215" s="196" t="s">
        <v>141</v>
      </c>
      <c r="CE215" s="197" t="s">
        <v>141</v>
      </c>
      <c r="CF215" s="198" t="s">
        <v>141</v>
      </c>
      <c r="CG215" s="199" t="s">
        <v>141</v>
      </c>
      <c r="CH215" s="200" t="s">
        <v>141</v>
      </c>
      <c r="CI215" s="201" t="s">
        <v>141</v>
      </c>
      <c r="CJ215" s="202" t="s">
        <v>141</v>
      </c>
      <c r="CK215" s="203" t="s">
        <v>141</v>
      </c>
      <c r="CL215" s="204" t="s">
        <v>141</v>
      </c>
      <c r="CM215" s="205" t="s">
        <v>141</v>
      </c>
      <c r="CN215" s="206" t="s">
        <v>141</v>
      </c>
      <c r="CO215" s="207" t="s">
        <v>141</v>
      </c>
      <c r="CP215" s="208" t="s">
        <v>141</v>
      </c>
      <c r="CQ215" s="209" t="s">
        <v>141</v>
      </c>
      <c r="CR215" s="210" t="s">
        <v>141</v>
      </c>
      <c r="CS215" s="211" t="s">
        <v>141</v>
      </c>
      <c r="CT215" s="212" t="s">
        <v>141</v>
      </c>
      <c r="CU215" s="213" t="s">
        <v>141</v>
      </c>
      <c r="CV215" s="214" t="s">
        <v>141</v>
      </c>
      <c r="CW215" s="215" t="s">
        <v>141</v>
      </c>
      <c r="CX215" s="216">
        <v>400</v>
      </c>
      <c r="CY215" s="217" t="s">
        <v>150</v>
      </c>
      <c r="CZ215" s="218" t="s">
        <v>180</v>
      </c>
      <c r="DA215" s="219" t="s">
        <v>152</v>
      </c>
      <c r="DB215" s="220" t="s">
        <v>153</v>
      </c>
      <c r="DC215" s="221" t="s">
        <v>181</v>
      </c>
      <c r="DD215" s="222" t="s">
        <v>182</v>
      </c>
      <c r="DE215" s="223" t="s">
        <v>2619</v>
      </c>
      <c r="DF215" s="224" t="s">
        <v>157</v>
      </c>
      <c r="DG215" s="225">
        <v>2013</v>
      </c>
      <c r="DH215" s="226" t="s">
        <v>2620</v>
      </c>
      <c r="DI215" s="228" t="str">
        <f>HYPERLINK("https://my.pitchbook.com?c=101705-50T", "View company online")</f>
        <v>View company online</v>
      </c>
    </row>
    <row r="216" spans="1:113" x14ac:dyDescent="0.2">
      <c r="A216" s="3" t="s">
        <v>2621</v>
      </c>
      <c r="B216" s="4" t="s">
        <v>122</v>
      </c>
      <c r="C216" s="5" t="s">
        <v>123</v>
      </c>
      <c r="D216" s="6" t="s">
        <v>124</v>
      </c>
      <c r="E216" s="7" t="s">
        <v>125</v>
      </c>
      <c r="F216" s="8" t="s">
        <v>126</v>
      </c>
      <c r="G216" s="9" t="s">
        <v>127</v>
      </c>
      <c r="H216" s="10" t="s">
        <v>128</v>
      </c>
      <c r="I216" s="11" t="s">
        <v>129</v>
      </c>
      <c r="J216" s="12" t="s">
        <v>130</v>
      </c>
      <c r="K216" s="13" t="s">
        <v>131</v>
      </c>
      <c r="L216" s="14" t="s">
        <v>132</v>
      </c>
      <c r="M216" s="15" t="s">
        <v>133</v>
      </c>
      <c r="N216" s="16" t="s">
        <v>134</v>
      </c>
      <c r="O216" s="17" t="s">
        <v>135</v>
      </c>
      <c r="P216" s="18" t="s">
        <v>136</v>
      </c>
      <c r="Q216" s="19" t="s">
        <v>137</v>
      </c>
      <c r="R216" s="20" t="s">
        <v>138</v>
      </c>
      <c r="S216" s="21" t="s">
        <v>139</v>
      </c>
      <c r="T216" s="22" t="s">
        <v>140</v>
      </c>
      <c r="U216" s="23">
        <v>1</v>
      </c>
      <c r="V216" s="24" t="s">
        <v>2621</v>
      </c>
      <c r="W216" s="25" t="s">
        <v>141</v>
      </c>
      <c r="X216" s="26">
        <v>42622</v>
      </c>
      <c r="Y216" s="27">
        <v>0.4</v>
      </c>
      <c r="Z216" s="28" t="s">
        <v>177</v>
      </c>
      <c r="AA216" s="29">
        <v>1.5</v>
      </c>
      <c r="AB216" s="30">
        <v>1.9</v>
      </c>
      <c r="AC216" s="31" t="s">
        <v>177</v>
      </c>
      <c r="AD216" s="32">
        <v>21.05</v>
      </c>
      <c r="AE216" s="33">
        <v>0.4</v>
      </c>
      <c r="AF216" s="34" t="s">
        <v>1571</v>
      </c>
      <c r="AG216" s="35" t="s">
        <v>141</v>
      </c>
      <c r="AH216" s="36">
        <v>0.21</v>
      </c>
      <c r="AI216" s="37" t="s">
        <v>141</v>
      </c>
      <c r="AJ216" s="38" t="s">
        <v>2622</v>
      </c>
      <c r="AK216" s="39" t="s">
        <v>2622</v>
      </c>
      <c r="AL216" s="40" t="s">
        <v>141</v>
      </c>
      <c r="AM216" s="41" t="s">
        <v>170</v>
      </c>
      <c r="AN216" s="42" t="s">
        <v>2623</v>
      </c>
      <c r="AO216" s="43">
        <v>0.4</v>
      </c>
      <c r="AP216" s="44" t="s">
        <v>145</v>
      </c>
      <c r="AQ216" s="45" t="s">
        <v>141</v>
      </c>
      <c r="AR216" s="46" t="s">
        <v>141</v>
      </c>
      <c r="AS216" s="47" t="s">
        <v>141</v>
      </c>
      <c r="AT216" s="48" t="s">
        <v>141</v>
      </c>
      <c r="AU216" s="49" t="s">
        <v>141</v>
      </c>
      <c r="AV216" s="50" t="s">
        <v>141</v>
      </c>
      <c r="AW216" s="51" t="s">
        <v>141</v>
      </c>
      <c r="AX216" s="52" t="s">
        <v>141</v>
      </c>
      <c r="AY216" s="53" t="s">
        <v>141</v>
      </c>
      <c r="AZ216" s="54" t="s">
        <v>141</v>
      </c>
      <c r="BA216" s="55" t="s">
        <v>146</v>
      </c>
      <c r="BB216" s="56" t="s">
        <v>263</v>
      </c>
      <c r="BC216" s="57" t="s">
        <v>132</v>
      </c>
      <c r="BD216" s="58">
        <v>7</v>
      </c>
      <c r="BE216" s="59">
        <v>1</v>
      </c>
      <c r="BF216" s="60" t="s">
        <v>2624</v>
      </c>
      <c r="BG216" s="61">
        <v>1</v>
      </c>
      <c r="BH216" s="62" t="s">
        <v>141</v>
      </c>
      <c r="BI216" s="63" t="s">
        <v>141</v>
      </c>
      <c r="BJ216" s="64" t="s">
        <v>141</v>
      </c>
      <c r="BK216" s="65" t="s">
        <v>2625</v>
      </c>
      <c r="BL216" s="66" t="s">
        <v>2626</v>
      </c>
      <c r="BM216" s="67" t="s">
        <v>2626</v>
      </c>
      <c r="BN216" s="68" t="s">
        <v>141</v>
      </c>
      <c r="BO216" s="69" t="s">
        <v>141</v>
      </c>
      <c r="BP216" s="70" t="s">
        <v>141</v>
      </c>
      <c r="BQ216" s="71" t="s">
        <v>141</v>
      </c>
      <c r="BR216" s="72" t="s">
        <v>141</v>
      </c>
      <c r="BS216" s="73" t="s">
        <v>141</v>
      </c>
      <c r="BT216" s="74" t="s">
        <v>141</v>
      </c>
      <c r="BU216" s="75" t="s">
        <v>141</v>
      </c>
      <c r="BV216" s="76" t="s">
        <v>141</v>
      </c>
      <c r="BW216" s="77" t="s">
        <v>141</v>
      </c>
      <c r="BX216" s="78">
        <v>0.35</v>
      </c>
      <c r="BY216" s="79" t="s">
        <v>141</v>
      </c>
      <c r="BZ216" s="80" t="s">
        <v>141</v>
      </c>
      <c r="CA216" s="81">
        <v>-0.24</v>
      </c>
      <c r="CB216" s="82">
        <v>-0.24</v>
      </c>
      <c r="CC216" s="83" t="s">
        <v>141</v>
      </c>
      <c r="CD216" s="84">
        <v>0.06</v>
      </c>
      <c r="CE216" s="85">
        <v>2016</v>
      </c>
      <c r="CF216" s="86">
        <v>-7.89</v>
      </c>
      <c r="CG216" s="87" t="s">
        <v>141</v>
      </c>
      <c r="CH216" s="88">
        <v>-7.89</v>
      </c>
      <c r="CI216" s="89">
        <v>5.43</v>
      </c>
      <c r="CJ216" s="90" t="s">
        <v>141</v>
      </c>
      <c r="CK216" s="91">
        <v>-1.66</v>
      </c>
      <c r="CL216" s="92" t="s">
        <v>141</v>
      </c>
      <c r="CM216" s="93">
        <v>-1.66</v>
      </c>
      <c r="CN216" s="94">
        <v>1.1399999999999999</v>
      </c>
      <c r="CO216" s="95" t="s">
        <v>141</v>
      </c>
      <c r="CP216" s="96" t="s">
        <v>141</v>
      </c>
      <c r="CQ216" s="97" t="s">
        <v>141</v>
      </c>
      <c r="CR216" s="98" t="s">
        <v>141</v>
      </c>
      <c r="CS216" s="99" t="s">
        <v>141</v>
      </c>
      <c r="CT216" s="100" t="s">
        <v>141</v>
      </c>
      <c r="CU216" s="101" t="s">
        <v>141</v>
      </c>
      <c r="CV216" s="102" t="s">
        <v>141</v>
      </c>
      <c r="CW216" s="103">
        <v>-68.83</v>
      </c>
      <c r="CX216" s="104">
        <v>31</v>
      </c>
      <c r="CY216" s="105" t="s">
        <v>150</v>
      </c>
      <c r="CZ216" s="106" t="s">
        <v>151</v>
      </c>
      <c r="DA216" s="107" t="s">
        <v>152</v>
      </c>
      <c r="DB216" s="108" t="s">
        <v>153</v>
      </c>
      <c r="DC216" s="109" t="s">
        <v>154</v>
      </c>
      <c r="DD216" s="110" t="s">
        <v>155</v>
      </c>
      <c r="DE216" s="111" t="s">
        <v>156</v>
      </c>
      <c r="DF216" s="112" t="s">
        <v>157</v>
      </c>
      <c r="DG216" s="113">
        <v>2015</v>
      </c>
      <c r="DH216" s="114" t="s">
        <v>158</v>
      </c>
      <c r="DI216" s="227" t="str">
        <f>HYPERLINK("https://my.pitchbook.com?c=78430-06T", "View company online")</f>
        <v>View company online</v>
      </c>
    </row>
    <row r="217" spans="1:113" x14ac:dyDescent="0.2">
      <c r="A217" s="115" t="s">
        <v>2627</v>
      </c>
      <c r="B217" s="116" t="s">
        <v>122</v>
      </c>
      <c r="C217" s="117" t="s">
        <v>123</v>
      </c>
      <c r="D217" s="118" t="s">
        <v>124</v>
      </c>
      <c r="E217" s="119" t="s">
        <v>125</v>
      </c>
      <c r="F217" s="120" t="s">
        <v>126</v>
      </c>
      <c r="G217" s="121" t="s">
        <v>127</v>
      </c>
      <c r="H217" s="122" t="s">
        <v>128</v>
      </c>
      <c r="I217" s="123" t="s">
        <v>129</v>
      </c>
      <c r="J217" s="124" t="s">
        <v>130</v>
      </c>
      <c r="K217" s="125" t="s">
        <v>131</v>
      </c>
      <c r="L217" s="126" t="s">
        <v>132</v>
      </c>
      <c r="M217" s="127" t="s">
        <v>133</v>
      </c>
      <c r="N217" s="128" t="s">
        <v>134</v>
      </c>
      <c r="O217" s="129" t="s">
        <v>135</v>
      </c>
      <c r="P217" s="130" t="s">
        <v>136</v>
      </c>
      <c r="Q217" s="131" t="s">
        <v>137</v>
      </c>
      <c r="R217" s="132" t="s">
        <v>138</v>
      </c>
      <c r="S217" s="133" t="s">
        <v>139</v>
      </c>
      <c r="T217" s="134" t="s">
        <v>140</v>
      </c>
      <c r="U217" s="135">
        <v>3</v>
      </c>
      <c r="V217" s="136" t="s">
        <v>2627</v>
      </c>
      <c r="W217" s="137">
        <v>42842</v>
      </c>
      <c r="X217" s="138">
        <v>42950</v>
      </c>
      <c r="Y217" s="139">
        <v>2.5</v>
      </c>
      <c r="Z217" s="140" t="s">
        <v>177</v>
      </c>
      <c r="AA217" s="141">
        <v>8.75</v>
      </c>
      <c r="AB217" s="142">
        <v>11.25</v>
      </c>
      <c r="AC217" s="143" t="s">
        <v>177</v>
      </c>
      <c r="AD217" s="144">
        <v>22.22</v>
      </c>
      <c r="AE217" s="145">
        <v>2.9</v>
      </c>
      <c r="AF217" s="146" t="s">
        <v>1582</v>
      </c>
      <c r="AG217" s="147" t="s">
        <v>1188</v>
      </c>
      <c r="AH217" s="148">
        <v>0.66</v>
      </c>
      <c r="AI217" s="149" t="s">
        <v>141</v>
      </c>
      <c r="AJ217" s="150" t="s">
        <v>2622</v>
      </c>
      <c r="AK217" s="151" t="s">
        <v>2622</v>
      </c>
      <c r="AL217" s="152" t="s">
        <v>141</v>
      </c>
      <c r="AM217" s="153" t="s">
        <v>170</v>
      </c>
      <c r="AN217" s="154" t="s">
        <v>2628</v>
      </c>
      <c r="AO217" s="155">
        <v>2.5</v>
      </c>
      <c r="AP217" s="156" t="s">
        <v>145</v>
      </c>
      <c r="AQ217" s="157" t="s">
        <v>141</v>
      </c>
      <c r="AR217" s="158" t="s">
        <v>141</v>
      </c>
      <c r="AS217" s="159" t="s">
        <v>141</v>
      </c>
      <c r="AT217" s="160" t="s">
        <v>141</v>
      </c>
      <c r="AU217" s="161" t="s">
        <v>141</v>
      </c>
      <c r="AV217" s="162" t="s">
        <v>141</v>
      </c>
      <c r="AW217" s="163" t="s">
        <v>141</v>
      </c>
      <c r="AX217" s="164" t="s">
        <v>141</v>
      </c>
      <c r="AY217" s="165" t="s">
        <v>141</v>
      </c>
      <c r="AZ217" s="166" t="s">
        <v>141</v>
      </c>
      <c r="BA217" s="167" t="s">
        <v>146</v>
      </c>
      <c r="BB217" s="168" t="s">
        <v>133</v>
      </c>
      <c r="BC217" s="169" t="s">
        <v>132</v>
      </c>
      <c r="BD217" s="170">
        <v>35</v>
      </c>
      <c r="BE217" s="171">
        <v>3</v>
      </c>
      <c r="BF217" s="172" t="s">
        <v>2629</v>
      </c>
      <c r="BG217" s="173">
        <v>2</v>
      </c>
      <c r="BH217" s="174" t="s">
        <v>147</v>
      </c>
      <c r="BI217" s="175">
        <v>1</v>
      </c>
      <c r="BJ217" s="176" t="s">
        <v>141</v>
      </c>
      <c r="BK217" s="177" t="s">
        <v>2630</v>
      </c>
      <c r="BL217" s="178" t="s">
        <v>2631</v>
      </c>
      <c r="BM217" s="179" t="s">
        <v>141</v>
      </c>
      <c r="BN217" s="180" t="s">
        <v>149</v>
      </c>
      <c r="BO217" s="181" t="s">
        <v>141</v>
      </c>
      <c r="BP217" s="182" t="s">
        <v>141</v>
      </c>
      <c r="BQ217" s="183" t="s">
        <v>141</v>
      </c>
      <c r="BR217" s="184" t="s">
        <v>1525</v>
      </c>
      <c r="BS217" s="185" t="s">
        <v>1525</v>
      </c>
      <c r="BT217" s="186" t="s">
        <v>141</v>
      </c>
      <c r="BU217" s="187" t="s">
        <v>141</v>
      </c>
      <c r="BV217" s="188" t="s">
        <v>141</v>
      </c>
      <c r="BW217" s="189" t="s">
        <v>141</v>
      </c>
      <c r="BX217" s="190">
        <v>1.5</v>
      </c>
      <c r="BY217" s="191" t="s">
        <v>141</v>
      </c>
      <c r="BZ217" s="192" t="s">
        <v>141</v>
      </c>
      <c r="CA217" s="193" t="s">
        <v>141</v>
      </c>
      <c r="CB217" s="194" t="s">
        <v>141</v>
      </c>
      <c r="CC217" s="195" t="s">
        <v>141</v>
      </c>
      <c r="CD217" s="196" t="s">
        <v>141</v>
      </c>
      <c r="CE217" s="197">
        <v>2017</v>
      </c>
      <c r="CF217" s="198" t="s">
        <v>141</v>
      </c>
      <c r="CG217" s="199" t="s">
        <v>141</v>
      </c>
      <c r="CH217" s="200" t="s">
        <v>141</v>
      </c>
      <c r="CI217" s="201">
        <v>7.5</v>
      </c>
      <c r="CJ217" s="202" t="s">
        <v>141</v>
      </c>
      <c r="CK217" s="203" t="s">
        <v>141</v>
      </c>
      <c r="CL217" s="204" t="s">
        <v>141</v>
      </c>
      <c r="CM217" s="205" t="s">
        <v>141</v>
      </c>
      <c r="CN217" s="206">
        <v>1.67</v>
      </c>
      <c r="CO217" s="207" t="s">
        <v>141</v>
      </c>
      <c r="CP217" s="208" t="s">
        <v>141</v>
      </c>
      <c r="CQ217" s="209" t="s">
        <v>141</v>
      </c>
      <c r="CR217" s="210" t="s">
        <v>141</v>
      </c>
      <c r="CS217" s="211" t="s">
        <v>141</v>
      </c>
      <c r="CT217" s="212" t="s">
        <v>141</v>
      </c>
      <c r="CU217" s="213" t="s">
        <v>141</v>
      </c>
      <c r="CV217" s="214" t="s">
        <v>141</v>
      </c>
      <c r="CW217" s="215" t="s">
        <v>141</v>
      </c>
      <c r="CX217" s="216">
        <v>31</v>
      </c>
      <c r="CY217" s="217" t="s">
        <v>150</v>
      </c>
      <c r="CZ217" s="218" t="s">
        <v>151</v>
      </c>
      <c r="DA217" s="219" t="s">
        <v>152</v>
      </c>
      <c r="DB217" s="220" t="s">
        <v>153</v>
      </c>
      <c r="DC217" s="221" t="s">
        <v>154</v>
      </c>
      <c r="DD217" s="222" t="s">
        <v>155</v>
      </c>
      <c r="DE217" s="223" t="s">
        <v>156</v>
      </c>
      <c r="DF217" s="224" t="s">
        <v>157</v>
      </c>
      <c r="DG217" s="225">
        <v>2015</v>
      </c>
      <c r="DH217" s="226" t="s">
        <v>158</v>
      </c>
      <c r="DI217" s="228" t="str">
        <f>HYPERLINK("https://my.pitchbook.com?c=87250-60T", "View company online")</f>
        <v>View company online</v>
      </c>
    </row>
    <row r="218" spans="1:113" x14ac:dyDescent="0.2">
      <c r="A218" s="3" t="s">
        <v>2632</v>
      </c>
      <c r="B218" s="4" t="s">
        <v>1527</v>
      </c>
      <c r="C218" s="5" t="s">
        <v>1528</v>
      </c>
      <c r="D218" s="6" t="s">
        <v>1529</v>
      </c>
      <c r="E218" s="7" t="s">
        <v>1530</v>
      </c>
      <c r="F218" s="8" t="s">
        <v>126</v>
      </c>
      <c r="G218" s="9" t="s">
        <v>208</v>
      </c>
      <c r="H218" s="10" t="s">
        <v>209</v>
      </c>
      <c r="I218" s="11" t="s">
        <v>1531</v>
      </c>
      <c r="J218" s="12" t="s">
        <v>1532</v>
      </c>
      <c r="K218" s="13" t="s">
        <v>1533</v>
      </c>
      <c r="L218" s="14" t="s">
        <v>132</v>
      </c>
      <c r="M218" s="15" t="s">
        <v>133</v>
      </c>
      <c r="N218" s="16" t="s">
        <v>170</v>
      </c>
      <c r="O218" s="17" t="s">
        <v>1534</v>
      </c>
      <c r="P218" s="18" t="s">
        <v>1535</v>
      </c>
      <c r="Q218" s="19" t="s">
        <v>141</v>
      </c>
      <c r="R218" s="20" t="s">
        <v>1536</v>
      </c>
      <c r="S218" s="21" t="s">
        <v>1537</v>
      </c>
      <c r="T218" s="22" t="s">
        <v>1538</v>
      </c>
      <c r="U218" s="23">
        <v>1</v>
      </c>
      <c r="V218" s="24" t="s">
        <v>2632</v>
      </c>
      <c r="W218" s="25" t="s">
        <v>141</v>
      </c>
      <c r="X218" s="26">
        <v>42269</v>
      </c>
      <c r="Y218" s="27">
        <v>1.5</v>
      </c>
      <c r="Z218" s="28" t="s">
        <v>177</v>
      </c>
      <c r="AA218" s="29" t="s">
        <v>141</v>
      </c>
      <c r="AB218" s="30" t="s">
        <v>141</v>
      </c>
      <c r="AC218" s="31" t="s">
        <v>141</v>
      </c>
      <c r="AD218" s="32" t="s">
        <v>141</v>
      </c>
      <c r="AE218" s="33">
        <v>1.5</v>
      </c>
      <c r="AF218" s="34" t="s">
        <v>1571</v>
      </c>
      <c r="AG218" s="35" t="s">
        <v>141</v>
      </c>
      <c r="AH218" s="36" t="s">
        <v>141</v>
      </c>
      <c r="AI218" s="37" t="s">
        <v>141</v>
      </c>
      <c r="AJ218" s="38" t="s">
        <v>2622</v>
      </c>
      <c r="AK218" s="39" t="s">
        <v>2622</v>
      </c>
      <c r="AL218" s="40" t="s">
        <v>141</v>
      </c>
      <c r="AM218" s="41" t="s">
        <v>170</v>
      </c>
      <c r="AN218" s="42" t="s">
        <v>2633</v>
      </c>
      <c r="AO218" s="43">
        <v>1.5</v>
      </c>
      <c r="AP218" s="44" t="s">
        <v>145</v>
      </c>
      <c r="AQ218" s="45" t="s">
        <v>141</v>
      </c>
      <c r="AR218" s="46" t="s">
        <v>141</v>
      </c>
      <c r="AS218" s="47" t="s">
        <v>141</v>
      </c>
      <c r="AT218" s="48" t="s">
        <v>141</v>
      </c>
      <c r="AU218" s="49" t="s">
        <v>141</v>
      </c>
      <c r="AV218" s="50" t="s">
        <v>141</v>
      </c>
      <c r="AW218" s="51" t="s">
        <v>141</v>
      </c>
      <c r="AX218" s="52" t="s">
        <v>141</v>
      </c>
      <c r="AY218" s="53" t="s">
        <v>141</v>
      </c>
      <c r="AZ218" s="54" t="s">
        <v>141</v>
      </c>
      <c r="BA218" s="55" t="s">
        <v>146</v>
      </c>
      <c r="BB218" s="56" t="s">
        <v>263</v>
      </c>
      <c r="BC218" s="57" t="s">
        <v>132</v>
      </c>
      <c r="BD218" s="58">
        <v>5</v>
      </c>
      <c r="BE218" s="59">
        <v>4</v>
      </c>
      <c r="BF218" s="60" t="s">
        <v>2634</v>
      </c>
      <c r="BG218" s="61">
        <v>4</v>
      </c>
      <c r="BH218" s="62" t="s">
        <v>141</v>
      </c>
      <c r="BI218" s="63" t="s">
        <v>141</v>
      </c>
      <c r="BJ218" s="64" t="s">
        <v>141</v>
      </c>
      <c r="BK218" s="65" t="s">
        <v>2635</v>
      </c>
      <c r="BL218" s="66" t="s">
        <v>2636</v>
      </c>
      <c r="BM218" s="67" t="s">
        <v>2637</v>
      </c>
      <c r="BN218" s="68" t="s">
        <v>141</v>
      </c>
      <c r="BO218" s="69" t="s">
        <v>141</v>
      </c>
      <c r="BP218" s="70" t="s">
        <v>141</v>
      </c>
      <c r="BQ218" s="71" t="s">
        <v>141</v>
      </c>
      <c r="BR218" s="72" t="s">
        <v>141</v>
      </c>
      <c r="BS218" s="73" t="s">
        <v>141</v>
      </c>
      <c r="BT218" s="74" t="s">
        <v>141</v>
      </c>
      <c r="BU218" s="75" t="s">
        <v>141</v>
      </c>
      <c r="BV218" s="76" t="s">
        <v>141</v>
      </c>
      <c r="BW218" s="77" t="s">
        <v>141</v>
      </c>
      <c r="BX218" s="78">
        <v>0.01</v>
      </c>
      <c r="BY218" s="79" t="s">
        <v>141</v>
      </c>
      <c r="BZ218" s="80" t="s">
        <v>141</v>
      </c>
      <c r="CA218" s="81" t="s">
        <v>141</v>
      </c>
      <c r="CB218" s="82" t="s">
        <v>141</v>
      </c>
      <c r="CC218" s="83" t="s">
        <v>141</v>
      </c>
      <c r="CD218" s="84" t="s">
        <v>141</v>
      </c>
      <c r="CE218" s="85">
        <v>2015</v>
      </c>
      <c r="CF218" s="86" t="s">
        <v>141</v>
      </c>
      <c r="CG218" s="87" t="s">
        <v>141</v>
      </c>
      <c r="CH218" s="88" t="s">
        <v>141</v>
      </c>
      <c r="CI218" s="89" t="s">
        <v>141</v>
      </c>
      <c r="CJ218" s="90" t="s">
        <v>141</v>
      </c>
      <c r="CK218" s="91" t="s">
        <v>141</v>
      </c>
      <c r="CL218" s="92" t="s">
        <v>141</v>
      </c>
      <c r="CM218" s="93" t="s">
        <v>141</v>
      </c>
      <c r="CN218" s="94">
        <v>125</v>
      </c>
      <c r="CO218" s="95" t="s">
        <v>141</v>
      </c>
      <c r="CP218" s="96" t="s">
        <v>141</v>
      </c>
      <c r="CQ218" s="97" t="s">
        <v>141</v>
      </c>
      <c r="CR218" s="98" t="s">
        <v>141</v>
      </c>
      <c r="CS218" s="99" t="s">
        <v>141</v>
      </c>
      <c r="CT218" s="100" t="s">
        <v>141</v>
      </c>
      <c r="CU218" s="101" t="s">
        <v>141</v>
      </c>
      <c r="CV218" s="102" t="s">
        <v>141</v>
      </c>
      <c r="CW218" s="103" t="s">
        <v>141</v>
      </c>
      <c r="CX218" s="104">
        <v>80</v>
      </c>
      <c r="CY218" s="105" t="s">
        <v>150</v>
      </c>
      <c r="CZ218" s="106" t="s">
        <v>180</v>
      </c>
      <c r="DA218" s="107" t="s">
        <v>152</v>
      </c>
      <c r="DB218" s="108" t="s">
        <v>153</v>
      </c>
      <c r="DC218" s="109" t="s">
        <v>181</v>
      </c>
      <c r="DD218" s="110" t="s">
        <v>182</v>
      </c>
      <c r="DE218" s="111" t="s">
        <v>141</v>
      </c>
      <c r="DF218" s="112" t="s">
        <v>157</v>
      </c>
      <c r="DG218" s="113">
        <v>2015</v>
      </c>
      <c r="DH218" s="114" t="s">
        <v>1548</v>
      </c>
      <c r="DI218" s="227" t="str">
        <f>HYPERLINK("https://my.pitchbook.com?c=57877-03T", "View company online")</f>
        <v>View company online</v>
      </c>
    </row>
    <row r="219" spans="1:113" x14ac:dyDescent="0.2">
      <c r="A219" s="115" t="s">
        <v>2638</v>
      </c>
      <c r="B219" s="116" t="s">
        <v>1527</v>
      </c>
      <c r="C219" s="117" t="s">
        <v>1528</v>
      </c>
      <c r="D219" s="118" t="s">
        <v>1529</v>
      </c>
      <c r="E219" s="119" t="s">
        <v>1530</v>
      </c>
      <c r="F219" s="120" t="s">
        <v>126</v>
      </c>
      <c r="G219" s="121" t="s">
        <v>208</v>
      </c>
      <c r="H219" s="122" t="s">
        <v>209</v>
      </c>
      <c r="I219" s="123" t="s">
        <v>1531</v>
      </c>
      <c r="J219" s="124" t="s">
        <v>1532</v>
      </c>
      <c r="K219" s="125" t="s">
        <v>1533</v>
      </c>
      <c r="L219" s="126" t="s">
        <v>132</v>
      </c>
      <c r="M219" s="127" t="s">
        <v>133</v>
      </c>
      <c r="N219" s="128" t="s">
        <v>170</v>
      </c>
      <c r="O219" s="129" t="s">
        <v>1534</v>
      </c>
      <c r="P219" s="130" t="s">
        <v>1535</v>
      </c>
      <c r="Q219" s="131" t="s">
        <v>141</v>
      </c>
      <c r="R219" s="132" t="s">
        <v>1536</v>
      </c>
      <c r="S219" s="133" t="s">
        <v>1537</v>
      </c>
      <c r="T219" s="134" t="s">
        <v>1538</v>
      </c>
      <c r="U219" s="135">
        <v>2</v>
      </c>
      <c r="V219" s="136" t="s">
        <v>2638</v>
      </c>
      <c r="W219" s="137">
        <v>42598</v>
      </c>
      <c r="X219" s="138">
        <v>42633</v>
      </c>
      <c r="Y219" s="139">
        <v>2.35</v>
      </c>
      <c r="Z219" s="140" t="s">
        <v>177</v>
      </c>
      <c r="AA219" s="141">
        <v>6</v>
      </c>
      <c r="AB219" s="142">
        <v>8</v>
      </c>
      <c r="AC219" s="143" t="s">
        <v>177</v>
      </c>
      <c r="AD219" s="144" t="s">
        <v>141</v>
      </c>
      <c r="AE219" s="145">
        <v>3.85</v>
      </c>
      <c r="AF219" s="146" t="s">
        <v>1582</v>
      </c>
      <c r="AG219" s="147" t="s">
        <v>141</v>
      </c>
      <c r="AH219" s="148">
        <v>5.85</v>
      </c>
      <c r="AI219" s="149" t="s">
        <v>141</v>
      </c>
      <c r="AJ219" s="150" t="s">
        <v>2622</v>
      </c>
      <c r="AK219" s="151" t="s">
        <v>2622</v>
      </c>
      <c r="AL219" s="152" t="s">
        <v>141</v>
      </c>
      <c r="AM219" s="153" t="s">
        <v>170</v>
      </c>
      <c r="AN219" s="154" t="s">
        <v>2639</v>
      </c>
      <c r="AO219" s="155">
        <v>2</v>
      </c>
      <c r="AP219" s="156" t="s">
        <v>145</v>
      </c>
      <c r="AQ219" s="157" t="s">
        <v>141</v>
      </c>
      <c r="AR219" s="158" t="s">
        <v>141</v>
      </c>
      <c r="AS219" s="159" t="s">
        <v>143</v>
      </c>
      <c r="AT219" s="160" t="s">
        <v>141</v>
      </c>
      <c r="AU219" s="161" t="s">
        <v>141</v>
      </c>
      <c r="AV219" s="162">
        <v>0.35</v>
      </c>
      <c r="AW219" s="163" t="s">
        <v>141</v>
      </c>
      <c r="AX219" s="164" t="s">
        <v>141</v>
      </c>
      <c r="AY219" s="165">
        <v>0.35</v>
      </c>
      <c r="AZ219" s="166" t="s">
        <v>141</v>
      </c>
      <c r="BA219" s="167" t="s">
        <v>146</v>
      </c>
      <c r="BB219" s="168" t="s">
        <v>263</v>
      </c>
      <c r="BC219" s="169" t="s">
        <v>132</v>
      </c>
      <c r="BD219" s="170">
        <v>12</v>
      </c>
      <c r="BE219" s="171">
        <v>5</v>
      </c>
      <c r="BF219" s="172" t="s">
        <v>2640</v>
      </c>
      <c r="BG219" s="173">
        <v>3</v>
      </c>
      <c r="BH219" s="174" t="s">
        <v>2641</v>
      </c>
      <c r="BI219" s="175">
        <v>2</v>
      </c>
      <c r="BJ219" s="176" t="s">
        <v>141</v>
      </c>
      <c r="BK219" s="177" t="s">
        <v>2642</v>
      </c>
      <c r="BL219" s="178" t="s">
        <v>2643</v>
      </c>
      <c r="BM219" s="179" t="s">
        <v>2644</v>
      </c>
      <c r="BN219" s="180" t="s">
        <v>2645</v>
      </c>
      <c r="BO219" s="181" t="s">
        <v>141</v>
      </c>
      <c r="BP219" s="182" t="s">
        <v>141</v>
      </c>
      <c r="BQ219" s="183" t="s">
        <v>141</v>
      </c>
      <c r="BR219" s="184" t="s">
        <v>2646</v>
      </c>
      <c r="BS219" s="185" t="s">
        <v>141</v>
      </c>
      <c r="BT219" s="186" t="s">
        <v>141</v>
      </c>
      <c r="BU219" s="187" t="s">
        <v>2646</v>
      </c>
      <c r="BV219" s="188" t="s">
        <v>141</v>
      </c>
      <c r="BW219" s="189" t="s">
        <v>141</v>
      </c>
      <c r="BX219" s="190">
        <v>0.25</v>
      </c>
      <c r="BY219" s="191">
        <v>1983.33</v>
      </c>
      <c r="BZ219" s="192" t="s">
        <v>141</v>
      </c>
      <c r="CA219" s="193" t="s">
        <v>141</v>
      </c>
      <c r="CB219" s="194" t="s">
        <v>141</v>
      </c>
      <c r="CC219" s="195" t="s">
        <v>141</v>
      </c>
      <c r="CD219" s="196" t="s">
        <v>141</v>
      </c>
      <c r="CE219" s="197">
        <v>2016</v>
      </c>
      <c r="CF219" s="198" t="s">
        <v>141</v>
      </c>
      <c r="CG219" s="199" t="s">
        <v>141</v>
      </c>
      <c r="CH219" s="200" t="s">
        <v>141</v>
      </c>
      <c r="CI219" s="201">
        <v>32</v>
      </c>
      <c r="CJ219" s="202" t="s">
        <v>141</v>
      </c>
      <c r="CK219" s="203" t="s">
        <v>141</v>
      </c>
      <c r="CL219" s="204" t="s">
        <v>141</v>
      </c>
      <c r="CM219" s="205" t="s">
        <v>141</v>
      </c>
      <c r="CN219" s="206">
        <v>9.4</v>
      </c>
      <c r="CO219" s="207" t="s">
        <v>141</v>
      </c>
      <c r="CP219" s="208" t="s">
        <v>141</v>
      </c>
      <c r="CQ219" s="209">
        <v>0.18</v>
      </c>
      <c r="CR219" s="210" t="s">
        <v>141</v>
      </c>
      <c r="CS219" s="211" t="s">
        <v>141</v>
      </c>
      <c r="CT219" s="212" t="s">
        <v>141</v>
      </c>
      <c r="CU219" s="213" t="s">
        <v>141</v>
      </c>
      <c r="CV219" s="214" t="s">
        <v>141</v>
      </c>
      <c r="CW219" s="215" t="s">
        <v>141</v>
      </c>
      <c r="CX219" s="216">
        <v>80</v>
      </c>
      <c r="CY219" s="217" t="s">
        <v>150</v>
      </c>
      <c r="CZ219" s="218" t="s">
        <v>180</v>
      </c>
      <c r="DA219" s="219" t="s">
        <v>152</v>
      </c>
      <c r="DB219" s="220" t="s">
        <v>153</v>
      </c>
      <c r="DC219" s="221" t="s">
        <v>181</v>
      </c>
      <c r="DD219" s="222" t="s">
        <v>182</v>
      </c>
      <c r="DE219" s="223" t="s">
        <v>141</v>
      </c>
      <c r="DF219" s="224" t="s">
        <v>157</v>
      </c>
      <c r="DG219" s="225">
        <v>2015</v>
      </c>
      <c r="DH219" s="226" t="s">
        <v>1548</v>
      </c>
      <c r="DI219" s="228" t="str">
        <f>HYPERLINK("https://my.pitchbook.com?c=75949-21T", "View company online")</f>
        <v>View company online</v>
      </c>
    </row>
    <row r="220" spans="1:113" x14ac:dyDescent="0.2">
      <c r="A220" s="3" t="s">
        <v>2647</v>
      </c>
      <c r="B220" s="4" t="s">
        <v>2648</v>
      </c>
      <c r="C220" s="5" t="s">
        <v>2649</v>
      </c>
      <c r="D220" s="6" t="s">
        <v>2650</v>
      </c>
      <c r="E220" s="7" t="s">
        <v>2651</v>
      </c>
      <c r="F220" s="8" t="s">
        <v>164</v>
      </c>
      <c r="G220" s="9" t="s">
        <v>165</v>
      </c>
      <c r="H220" s="10" t="s">
        <v>190</v>
      </c>
      <c r="I220" s="11" t="s">
        <v>229</v>
      </c>
      <c r="J220" s="12" t="s">
        <v>2336</v>
      </c>
      <c r="K220" s="13" t="s">
        <v>2652</v>
      </c>
      <c r="L220" s="14" t="s">
        <v>345</v>
      </c>
      <c r="M220" s="15" t="s">
        <v>133</v>
      </c>
      <c r="N220" s="16" t="s">
        <v>170</v>
      </c>
      <c r="O220" s="17" t="s">
        <v>2653</v>
      </c>
      <c r="P220" s="18" t="s">
        <v>2654</v>
      </c>
      <c r="Q220" s="19" t="s">
        <v>2655</v>
      </c>
      <c r="R220" s="20" t="s">
        <v>2656</v>
      </c>
      <c r="S220" s="21" t="s">
        <v>2657</v>
      </c>
      <c r="T220" s="22" t="s">
        <v>2658</v>
      </c>
      <c r="U220" s="23">
        <v>1</v>
      </c>
      <c r="V220" s="24" t="s">
        <v>2647</v>
      </c>
      <c r="W220" s="25" t="s">
        <v>141</v>
      </c>
      <c r="X220" s="26">
        <v>42619</v>
      </c>
      <c r="Y220" s="27">
        <v>0.72</v>
      </c>
      <c r="Z220" s="28" t="s">
        <v>887</v>
      </c>
      <c r="AA220" s="29">
        <v>3.28</v>
      </c>
      <c r="AB220" s="30">
        <v>4</v>
      </c>
      <c r="AC220" s="31" t="s">
        <v>177</v>
      </c>
      <c r="AD220" s="32">
        <v>18</v>
      </c>
      <c r="AE220" s="33">
        <v>0.72</v>
      </c>
      <c r="AF220" s="34" t="s">
        <v>1571</v>
      </c>
      <c r="AG220" s="35" t="s">
        <v>141</v>
      </c>
      <c r="AH220" s="36">
        <v>0.28000000000000003</v>
      </c>
      <c r="AI220" s="37" t="s">
        <v>141</v>
      </c>
      <c r="AJ220" s="38" t="s">
        <v>2622</v>
      </c>
      <c r="AK220" s="39" t="s">
        <v>2622</v>
      </c>
      <c r="AL220" s="40" t="s">
        <v>141</v>
      </c>
      <c r="AM220" s="41" t="s">
        <v>485</v>
      </c>
      <c r="AN220" s="42" t="s">
        <v>2659</v>
      </c>
      <c r="AO220" s="43">
        <v>0.72</v>
      </c>
      <c r="AP220" s="44" t="s">
        <v>145</v>
      </c>
      <c r="AQ220" s="45" t="s">
        <v>141</v>
      </c>
      <c r="AR220" s="46" t="s">
        <v>141</v>
      </c>
      <c r="AS220" s="47" t="s">
        <v>141</v>
      </c>
      <c r="AT220" s="48" t="s">
        <v>141</v>
      </c>
      <c r="AU220" s="49" t="s">
        <v>141</v>
      </c>
      <c r="AV220" s="50" t="s">
        <v>141</v>
      </c>
      <c r="AW220" s="51" t="s">
        <v>141</v>
      </c>
      <c r="AX220" s="52" t="s">
        <v>141</v>
      </c>
      <c r="AY220" s="53" t="s">
        <v>141</v>
      </c>
      <c r="AZ220" s="54" t="s">
        <v>141</v>
      </c>
      <c r="BA220" s="55" t="s">
        <v>146</v>
      </c>
      <c r="BB220" s="56" t="s">
        <v>133</v>
      </c>
      <c r="BC220" s="57" t="s">
        <v>402</v>
      </c>
      <c r="BD220" s="58">
        <v>6</v>
      </c>
      <c r="BE220" s="59">
        <v>1</v>
      </c>
      <c r="BF220" s="60" t="s">
        <v>2660</v>
      </c>
      <c r="BG220" s="61">
        <v>1</v>
      </c>
      <c r="BH220" s="62" t="s">
        <v>141</v>
      </c>
      <c r="BI220" s="63" t="s">
        <v>141</v>
      </c>
      <c r="BJ220" s="64" t="s">
        <v>141</v>
      </c>
      <c r="BK220" s="65" t="s">
        <v>141</v>
      </c>
      <c r="BL220" s="66" t="s">
        <v>2661</v>
      </c>
      <c r="BM220" s="67" t="s">
        <v>2661</v>
      </c>
      <c r="BN220" s="68" t="s">
        <v>141</v>
      </c>
      <c r="BO220" s="69" t="s">
        <v>141</v>
      </c>
      <c r="BP220" s="70" t="s">
        <v>141</v>
      </c>
      <c r="BQ220" s="71" t="s">
        <v>141</v>
      </c>
      <c r="BR220" s="72" t="s">
        <v>141</v>
      </c>
      <c r="BS220" s="73" t="s">
        <v>141</v>
      </c>
      <c r="BT220" s="74" t="s">
        <v>141</v>
      </c>
      <c r="BU220" s="75" t="s">
        <v>141</v>
      </c>
      <c r="BV220" s="76" t="s">
        <v>141</v>
      </c>
      <c r="BW220" s="77" t="s">
        <v>141</v>
      </c>
      <c r="BX220" s="78" t="s">
        <v>141</v>
      </c>
      <c r="BY220" s="79" t="s">
        <v>141</v>
      </c>
      <c r="BZ220" s="80" t="s">
        <v>141</v>
      </c>
      <c r="CA220" s="81" t="s">
        <v>141</v>
      </c>
      <c r="CB220" s="82" t="s">
        <v>141</v>
      </c>
      <c r="CC220" s="83" t="s">
        <v>141</v>
      </c>
      <c r="CD220" s="84" t="s">
        <v>141</v>
      </c>
      <c r="CE220" s="85" t="s">
        <v>141</v>
      </c>
      <c r="CF220" s="86" t="s">
        <v>141</v>
      </c>
      <c r="CG220" s="87" t="s">
        <v>141</v>
      </c>
      <c r="CH220" s="88" t="s">
        <v>141</v>
      </c>
      <c r="CI220" s="89" t="s">
        <v>141</v>
      </c>
      <c r="CJ220" s="90" t="s">
        <v>141</v>
      </c>
      <c r="CK220" s="91" t="s">
        <v>141</v>
      </c>
      <c r="CL220" s="92" t="s">
        <v>141</v>
      </c>
      <c r="CM220" s="93" t="s">
        <v>141</v>
      </c>
      <c r="CN220" s="94" t="s">
        <v>141</v>
      </c>
      <c r="CO220" s="95" t="s">
        <v>141</v>
      </c>
      <c r="CP220" s="96" t="s">
        <v>141</v>
      </c>
      <c r="CQ220" s="97" t="s">
        <v>141</v>
      </c>
      <c r="CR220" s="98" t="s">
        <v>141</v>
      </c>
      <c r="CS220" s="99" t="s">
        <v>141</v>
      </c>
      <c r="CT220" s="100" t="s">
        <v>141</v>
      </c>
      <c r="CU220" s="101" t="s">
        <v>141</v>
      </c>
      <c r="CV220" s="102" t="s">
        <v>141</v>
      </c>
      <c r="CW220" s="103" t="s">
        <v>141</v>
      </c>
      <c r="CX220" s="104">
        <v>6</v>
      </c>
      <c r="CY220" s="105" t="s">
        <v>150</v>
      </c>
      <c r="CZ220" s="106" t="s">
        <v>2662</v>
      </c>
      <c r="DA220" s="107" t="s">
        <v>152</v>
      </c>
      <c r="DB220" s="108" t="s">
        <v>153</v>
      </c>
      <c r="DC220" s="109" t="s">
        <v>2663</v>
      </c>
      <c r="DD220" s="110" t="s">
        <v>182</v>
      </c>
      <c r="DE220" s="111" t="s">
        <v>2664</v>
      </c>
      <c r="DF220" s="112" t="s">
        <v>157</v>
      </c>
      <c r="DG220" s="113">
        <v>2015</v>
      </c>
      <c r="DH220" s="114" t="s">
        <v>2665</v>
      </c>
      <c r="DI220" s="227" t="str">
        <f>HYPERLINK("https://my.pitchbook.com?c=71945-38T", "View company online")</f>
        <v>View company online</v>
      </c>
    </row>
    <row r="221" spans="1:113" x14ac:dyDescent="0.2">
      <c r="A221" s="115" t="s">
        <v>2666</v>
      </c>
      <c r="B221" s="116" t="s">
        <v>2648</v>
      </c>
      <c r="C221" s="117" t="s">
        <v>2649</v>
      </c>
      <c r="D221" s="118" t="s">
        <v>2650</v>
      </c>
      <c r="E221" s="119" t="s">
        <v>2651</v>
      </c>
      <c r="F221" s="120" t="s">
        <v>164</v>
      </c>
      <c r="G221" s="121" t="s">
        <v>165</v>
      </c>
      <c r="H221" s="122" t="s">
        <v>190</v>
      </c>
      <c r="I221" s="123" t="s">
        <v>229</v>
      </c>
      <c r="J221" s="124" t="s">
        <v>2336</v>
      </c>
      <c r="K221" s="125" t="s">
        <v>2652</v>
      </c>
      <c r="L221" s="126" t="s">
        <v>345</v>
      </c>
      <c r="M221" s="127" t="s">
        <v>133</v>
      </c>
      <c r="N221" s="128" t="s">
        <v>170</v>
      </c>
      <c r="O221" s="129" t="s">
        <v>2667</v>
      </c>
      <c r="P221" s="130" t="s">
        <v>2668</v>
      </c>
      <c r="Q221" s="131" t="s">
        <v>141</v>
      </c>
      <c r="R221" s="132" t="s">
        <v>2669</v>
      </c>
      <c r="S221" s="133" t="s">
        <v>2670</v>
      </c>
      <c r="T221" s="134" t="s">
        <v>2671</v>
      </c>
      <c r="U221" s="135">
        <v>2</v>
      </c>
      <c r="V221" s="136" t="s">
        <v>2666</v>
      </c>
      <c r="W221" s="137" t="s">
        <v>141</v>
      </c>
      <c r="X221" s="138">
        <v>42826</v>
      </c>
      <c r="Y221" s="139">
        <v>0.61</v>
      </c>
      <c r="Z221" s="140" t="s">
        <v>177</v>
      </c>
      <c r="AA221" s="141" t="s">
        <v>141</v>
      </c>
      <c r="AB221" s="142" t="s">
        <v>141</v>
      </c>
      <c r="AC221" s="143" t="s">
        <v>141</v>
      </c>
      <c r="AD221" s="144" t="s">
        <v>141</v>
      </c>
      <c r="AE221" s="145">
        <v>1.33</v>
      </c>
      <c r="AF221" s="146" t="s">
        <v>1582</v>
      </c>
      <c r="AG221" s="147" t="s">
        <v>141</v>
      </c>
      <c r="AH221" s="148" t="s">
        <v>141</v>
      </c>
      <c r="AI221" s="149" t="s">
        <v>141</v>
      </c>
      <c r="AJ221" s="150" t="s">
        <v>2622</v>
      </c>
      <c r="AK221" s="151" t="s">
        <v>2622</v>
      </c>
      <c r="AL221" s="152" t="s">
        <v>141</v>
      </c>
      <c r="AM221" s="153" t="s">
        <v>170</v>
      </c>
      <c r="AN221" s="154" t="s">
        <v>2672</v>
      </c>
      <c r="AO221" s="155">
        <v>0.61</v>
      </c>
      <c r="AP221" s="156" t="s">
        <v>145</v>
      </c>
      <c r="AQ221" s="157" t="s">
        <v>141</v>
      </c>
      <c r="AR221" s="158" t="s">
        <v>141</v>
      </c>
      <c r="AS221" s="159" t="s">
        <v>141</v>
      </c>
      <c r="AT221" s="160" t="s">
        <v>141</v>
      </c>
      <c r="AU221" s="161" t="s">
        <v>141</v>
      </c>
      <c r="AV221" s="162" t="s">
        <v>141</v>
      </c>
      <c r="AW221" s="163" t="s">
        <v>141</v>
      </c>
      <c r="AX221" s="164" t="s">
        <v>141</v>
      </c>
      <c r="AY221" s="165" t="s">
        <v>141</v>
      </c>
      <c r="AZ221" s="166" t="s">
        <v>141</v>
      </c>
      <c r="BA221" s="167" t="s">
        <v>146</v>
      </c>
      <c r="BB221" s="168" t="s">
        <v>133</v>
      </c>
      <c r="BC221" s="169" t="s">
        <v>132</v>
      </c>
      <c r="BD221" s="170" t="s">
        <v>141</v>
      </c>
      <c r="BE221" s="171">
        <v>2</v>
      </c>
      <c r="BF221" s="172" t="s">
        <v>2673</v>
      </c>
      <c r="BG221" s="173">
        <v>2</v>
      </c>
      <c r="BH221" s="174" t="s">
        <v>141</v>
      </c>
      <c r="BI221" s="175" t="s">
        <v>141</v>
      </c>
      <c r="BJ221" s="176" t="s">
        <v>141</v>
      </c>
      <c r="BK221" s="177" t="s">
        <v>2674</v>
      </c>
      <c r="BL221" s="178" t="s">
        <v>2675</v>
      </c>
      <c r="BM221" s="179" t="s">
        <v>2676</v>
      </c>
      <c r="BN221" s="180" t="s">
        <v>141</v>
      </c>
      <c r="BO221" s="181" t="s">
        <v>141</v>
      </c>
      <c r="BP221" s="182" t="s">
        <v>141</v>
      </c>
      <c r="BQ221" s="183" t="s">
        <v>141</v>
      </c>
      <c r="BR221" s="184" t="s">
        <v>141</v>
      </c>
      <c r="BS221" s="185" t="s">
        <v>141</v>
      </c>
      <c r="BT221" s="186" t="s">
        <v>141</v>
      </c>
      <c r="BU221" s="187" t="s">
        <v>141</v>
      </c>
      <c r="BV221" s="188" t="s">
        <v>141</v>
      </c>
      <c r="BW221" s="189" t="s">
        <v>141</v>
      </c>
      <c r="BX221" s="190" t="s">
        <v>141</v>
      </c>
      <c r="BY221" s="191" t="s">
        <v>141</v>
      </c>
      <c r="BZ221" s="192" t="s">
        <v>141</v>
      </c>
      <c r="CA221" s="193" t="s">
        <v>141</v>
      </c>
      <c r="CB221" s="194" t="s">
        <v>141</v>
      </c>
      <c r="CC221" s="195" t="s">
        <v>141</v>
      </c>
      <c r="CD221" s="196" t="s">
        <v>141</v>
      </c>
      <c r="CE221" s="197" t="s">
        <v>141</v>
      </c>
      <c r="CF221" s="198" t="s">
        <v>141</v>
      </c>
      <c r="CG221" s="199" t="s">
        <v>141</v>
      </c>
      <c r="CH221" s="200" t="s">
        <v>141</v>
      </c>
      <c r="CI221" s="201" t="s">
        <v>141</v>
      </c>
      <c r="CJ221" s="202" t="s">
        <v>141</v>
      </c>
      <c r="CK221" s="203" t="s">
        <v>141</v>
      </c>
      <c r="CL221" s="204" t="s">
        <v>141</v>
      </c>
      <c r="CM221" s="205" t="s">
        <v>141</v>
      </c>
      <c r="CN221" s="206" t="s">
        <v>141</v>
      </c>
      <c r="CO221" s="207" t="s">
        <v>141</v>
      </c>
      <c r="CP221" s="208" t="s">
        <v>141</v>
      </c>
      <c r="CQ221" s="209" t="s">
        <v>141</v>
      </c>
      <c r="CR221" s="210" t="s">
        <v>141</v>
      </c>
      <c r="CS221" s="211" t="s">
        <v>141</v>
      </c>
      <c r="CT221" s="212" t="s">
        <v>141</v>
      </c>
      <c r="CU221" s="213" t="s">
        <v>141</v>
      </c>
      <c r="CV221" s="214" t="s">
        <v>141</v>
      </c>
      <c r="CW221" s="215" t="s">
        <v>141</v>
      </c>
      <c r="CX221" s="216">
        <v>6</v>
      </c>
      <c r="CY221" s="217" t="s">
        <v>150</v>
      </c>
      <c r="CZ221" s="218" t="s">
        <v>2662</v>
      </c>
      <c r="DA221" s="219" t="s">
        <v>152</v>
      </c>
      <c r="DB221" s="220" t="s">
        <v>153</v>
      </c>
      <c r="DC221" s="221" t="s">
        <v>2663</v>
      </c>
      <c r="DD221" s="222" t="s">
        <v>182</v>
      </c>
      <c r="DE221" s="223" t="s">
        <v>2664</v>
      </c>
      <c r="DF221" s="224" t="s">
        <v>157</v>
      </c>
      <c r="DG221" s="225">
        <v>2015</v>
      </c>
      <c r="DH221" s="226" t="s">
        <v>2665</v>
      </c>
      <c r="DI221" s="228" t="str">
        <f>HYPERLINK("https://my.pitchbook.com?c=90286-30T", "View company online")</f>
        <v>View company online</v>
      </c>
    </row>
    <row r="222" spans="1:113" x14ac:dyDescent="0.2">
      <c r="A222" s="3" t="s">
        <v>2677</v>
      </c>
      <c r="B222" s="4" t="s">
        <v>1069</v>
      </c>
      <c r="C222" s="5" t="s">
        <v>1070</v>
      </c>
      <c r="D222" s="6" t="s">
        <v>1071</v>
      </c>
      <c r="E222" s="7" t="s">
        <v>1072</v>
      </c>
      <c r="F222" s="8" t="s">
        <v>126</v>
      </c>
      <c r="G222" s="9" t="s">
        <v>456</v>
      </c>
      <c r="H222" s="10" t="s">
        <v>1073</v>
      </c>
      <c r="I222" s="11" t="s">
        <v>1074</v>
      </c>
      <c r="J222" s="12" t="s">
        <v>141</v>
      </c>
      <c r="K222" s="13" t="s">
        <v>1075</v>
      </c>
      <c r="L222" s="14" t="s">
        <v>132</v>
      </c>
      <c r="M222" s="15" t="s">
        <v>133</v>
      </c>
      <c r="N222" s="16" t="s">
        <v>170</v>
      </c>
      <c r="O222" s="17" t="s">
        <v>1076</v>
      </c>
      <c r="P222" s="18" t="s">
        <v>1077</v>
      </c>
      <c r="Q222" s="19" t="s">
        <v>141</v>
      </c>
      <c r="R222" s="20" t="s">
        <v>1078</v>
      </c>
      <c r="S222" s="21" t="s">
        <v>1079</v>
      </c>
      <c r="T222" s="22" t="s">
        <v>141</v>
      </c>
      <c r="U222" s="23">
        <v>1</v>
      </c>
      <c r="V222" s="24" t="s">
        <v>2677</v>
      </c>
      <c r="W222" s="25" t="s">
        <v>141</v>
      </c>
      <c r="X222" s="26">
        <v>43577</v>
      </c>
      <c r="Y222" s="27">
        <v>3</v>
      </c>
      <c r="Z222" s="28" t="s">
        <v>177</v>
      </c>
      <c r="AA222" s="29">
        <v>13.5</v>
      </c>
      <c r="AB222" s="30">
        <v>16.5</v>
      </c>
      <c r="AC222" s="31" t="s">
        <v>177</v>
      </c>
      <c r="AD222" s="32">
        <v>18.18</v>
      </c>
      <c r="AE222" s="33">
        <v>3</v>
      </c>
      <c r="AF222" s="34" t="s">
        <v>1571</v>
      </c>
      <c r="AG222" s="35" t="s">
        <v>141</v>
      </c>
      <c r="AH222" s="36">
        <v>4.76</v>
      </c>
      <c r="AI222" s="37" t="s">
        <v>141</v>
      </c>
      <c r="AJ222" s="38" t="s">
        <v>2622</v>
      </c>
      <c r="AK222" s="39" t="s">
        <v>2622</v>
      </c>
      <c r="AL222" s="40" t="s">
        <v>141</v>
      </c>
      <c r="AM222" s="41" t="s">
        <v>170</v>
      </c>
      <c r="AN222" s="42" t="s">
        <v>2678</v>
      </c>
      <c r="AO222" s="43">
        <v>3</v>
      </c>
      <c r="AP222" s="44" t="s">
        <v>145</v>
      </c>
      <c r="AQ222" s="45" t="s">
        <v>141</v>
      </c>
      <c r="AR222" s="46" t="s">
        <v>141</v>
      </c>
      <c r="AS222" s="47" t="s">
        <v>141</v>
      </c>
      <c r="AT222" s="48" t="s">
        <v>141</v>
      </c>
      <c r="AU222" s="49" t="s">
        <v>141</v>
      </c>
      <c r="AV222" s="50" t="s">
        <v>141</v>
      </c>
      <c r="AW222" s="51" t="s">
        <v>141</v>
      </c>
      <c r="AX222" s="52" t="s">
        <v>141</v>
      </c>
      <c r="AY222" s="53" t="s">
        <v>141</v>
      </c>
      <c r="AZ222" s="54" t="s">
        <v>141</v>
      </c>
      <c r="BA222" s="55" t="s">
        <v>146</v>
      </c>
      <c r="BB222" s="56" t="s">
        <v>263</v>
      </c>
      <c r="BC222" s="57" t="s">
        <v>132</v>
      </c>
      <c r="BD222" s="58" t="s">
        <v>141</v>
      </c>
      <c r="BE222" s="59">
        <v>12</v>
      </c>
      <c r="BF222" s="60" t="s">
        <v>2679</v>
      </c>
      <c r="BG222" s="61">
        <v>12</v>
      </c>
      <c r="BH222" s="62" t="s">
        <v>141</v>
      </c>
      <c r="BI222" s="63" t="s">
        <v>141</v>
      </c>
      <c r="BJ222" s="64" t="s">
        <v>141</v>
      </c>
      <c r="BK222" s="65" t="s">
        <v>2680</v>
      </c>
      <c r="BL222" s="66" t="s">
        <v>2681</v>
      </c>
      <c r="BM222" s="67" t="s">
        <v>141</v>
      </c>
      <c r="BN222" s="68" t="s">
        <v>2682</v>
      </c>
      <c r="BO222" s="69" t="s">
        <v>141</v>
      </c>
      <c r="BP222" s="70" t="s">
        <v>141</v>
      </c>
      <c r="BQ222" s="71" t="s">
        <v>141</v>
      </c>
      <c r="BR222" s="72" t="s">
        <v>141</v>
      </c>
      <c r="BS222" s="73" t="s">
        <v>141</v>
      </c>
      <c r="BT222" s="74" t="s">
        <v>141</v>
      </c>
      <c r="BU222" s="75" t="s">
        <v>141</v>
      </c>
      <c r="BV222" s="76" t="s">
        <v>141</v>
      </c>
      <c r="BW222" s="77" t="s">
        <v>141</v>
      </c>
      <c r="BX222" s="78" t="s">
        <v>141</v>
      </c>
      <c r="BY222" s="79" t="s">
        <v>141</v>
      </c>
      <c r="BZ222" s="80" t="s">
        <v>141</v>
      </c>
      <c r="CA222" s="81" t="s">
        <v>141</v>
      </c>
      <c r="CB222" s="82" t="s">
        <v>141</v>
      </c>
      <c r="CC222" s="83" t="s">
        <v>141</v>
      </c>
      <c r="CD222" s="84" t="s">
        <v>141</v>
      </c>
      <c r="CE222" s="85" t="s">
        <v>141</v>
      </c>
      <c r="CF222" s="86" t="s">
        <v>141</v>
      </c>
      <c r="CG222" s="87" t="s">
        <v>141</v>
      </c>
      <c r="CH222" s="88" t="s">
        <v>141</v>
      </c>
      <c r="CI222" s="89" t="s">
        <v>141</v>
      </c>
      <c r="CJ222" s="90" t="s">
        <v>141</v>
      </c>
      <c r="CK222" s="91" t="s">
        <v>141</v>
      </c>
      <c r="CL222" s="92" t="s">
        <v>141</v>
      </c>
      <c r="CM222" s="93" t="s">
        <v>141</v>
      </c>
      <c r="CN222" s="94" t="s">
        <v>141</v>
      </c>
      <c r="CO222" s="95" t="s">
        <v>141</v>
      </c>
      <c r="CP222" s="96" t="s">
        <v>141</v>
      </c>
      <c r="CQ222" s="97" t="s">
        <v>141</v>
      </c>
      <c r="CR222" s="98" t="s">
        <v>141</v>
      </c>
      <c r="CS222" s="99" t="s">
        <v>141</v>
      </c>
      <c r="CT222" s="100" t="s">
        <v>141</v>
      </c>
      <c r="CU222" s="101" t="s">
        <v>141</v>
      </c>
      <c r="CV222" s="102" t="s">
        <v>141</v>
      </c>
      <c r="CW222" s="103" t="s">
        <v>141</v>
      </c>
      <c r="CX222" s="104" t="s">
        <v>141</v>
      </c>
      <c r="CY222" s="105" t="s">
        <v>150</v>
      </c>
      <c r="CZ222" s="106" t="s">
        <v>200</v>
      </c>
      <c r="DA222" s="107" t="s">
        <v>152</v>
      </c>
      <c r="DB222" s="108" t="s">
        <v>153</v>
      </c>
      <c r="DC222" s="109" t="s">
        <v>201</v>
      </c>
      <c r="DD222" s="110" t="s">
        <v>201</v>
      </c>
      <c r="DE222" s="111" t="s">
        <v>1085</v>
      </c>
      <c r="DF222" s="112" t="s">
        <v>157</v>
      </c>
      <c r="DG222" s="113">
        <v>2019</v>
      </c>
      <c r="DH222" s="114" t="s">
        <v>1086</v>
      </c>
      <c r="DI222" s="227" t="str">
        <f>HYPERLINK("https://my.pitchbook.com?c=116702-92T", "View company online")</f>
        <v>View company online</v>
      </c>
    </row>
    <row r="223" spans="1:113" x14ac:dyDescent="0.2">
      <c r="A223" s="115" t="s">
        <v>2683</v>
      </c>
      <c r="B223" s="116" t="s">
        <v>204</v>
      </c>
      <c r="C223" s="117" t="s">
        <v>205</v>
      </c>
      <c r="D223" s="118" t="s">
        <v>206</v>
      </c>
      <c r="E223" s="119" t="s">
        <v>207</v>
      </c>
      <c r="F223" s="120" t="s">
        <v>126</v>
      </c>
      <c r="G223" s="121" t="s">
        <v>208</v>
      </c>
      <c r="H223" s="122" t="s">
        <v>209</v>
      </c>
      <c r="I223" s="123" t="s">
        <v>210</v>
      </c>
      <c r="J223" s="124" t="s">
        <v>211</v>
      </c>
      <c r="K223" s="125" t="s">
        <v>212</v>
      </c>
      <c r="L223" s="126" t="s">
        <v>132</v>
      </c>
      <c r="M223" s="127" t="s">
        <v>133</v>
      </c>
      <c r="N223" s="128" t="s">
        <v>170</v>
      </c>
      <c r="O223" s="129" t="s">
        <v>213</v>
      </c>
      <c r="P223" s="130" t="s">
        <v>214</v>
      </c>
      <c r="Q223" s="131" t="s">
        <v>141</v>
      </c>
      <c r="R223" s="132" t="s">
        <v>141</v>
      </c>
      <c r="S223" s="133" t="s">
        <v>215</v>
      </c>
      <c r="T223" s="134" t="s">
        <v>216</v>
      </c>
      <c r="U223" s="135">
        <v>2</v>
      </c>
      <c r="V223" s="136" t="s">
        <v>2683</v>
      </c>
      <c r="W223" s="137" t="s">
        <v>141</v>
      </c>
      <c r="X223" s="138">
        <v>41831</v>
      </c>
      <c r="Y223" s="139">
        <v>0.4</v>
      </c>
      <c r="Z223" s="140" t="s">
        <v>177</v>
      </c>
      <c r="AA223" s="141" t="s">
        <v>141</v>
      </c>
      <c r="AB223" s="142" t="s">
        <v>141</v>
      </c>
      <c r="AC223" s="143" t="s">
        <v>141</v>
      </c>
      <c r="AD223" s="144" t="s">
        <v>141</v>
      </c>
      <c r="AE223" s="145">
        <v>0.05</v>
      </c>
      <c r="AF223" s="146" t="s">
        <v>1571</v>
      </c>
      <c r="AG223" s="147" t="s">
        <v>141</v>
      </c>
      <c r="AH223" s="148" t="s">
        <v>141</v>
      </c>
      <c r="AI223" s="149" t="s">
        <v>141</v>
      </c>
      <c r="AJ223" s="150" t="s">
        <v>2622</v>
      </c>
      <c r="AK223" s="151" t="s">
        <v>2622</v>
      </c>
      <c r="AL223" s="152" t="s">
        <v>141</v>
      </c>
      <c r="AM223" s="153" t="s">
        <v>170</v>
      </c>
      <c r="AN223" s="154" t="s">
        <v>2684</v>
      </c>
      <c r="AO223" s="155" t="s">
        <v>141</v>
      </c>
      <c r="AP223" s="156" t="s">
        <v>145</v>
      </c>
      <c r="AQ223" s="157" t="s">
        <v>141</v>
      </c>
      <c r="AR223" s="158" t="s">
        <v>141</v>
      </c>
      <c r="AS223" s="159" t="s">
        <v>2685</v>
      </c>
      <c r="AT223" s="160" t="s">
        <v>141</v>
      </c>
      <c r="AU223" s="161" t="s">
        <v>141</v>
      </c>
      <c r="AV223" s="162" t="s">
        <v>141</v>
      </c>
      <c r="AW223" s="163" t="s">
        <v>141</v>
      </c>
      <c r="AX223" s="164" t="s">
        <v>141</v>
      </c>
      <c r="AY223" s="165" t="s">
        <v>141</v>
      </c>
      <c r="AZ223" s="166" t="s">
        <v>141</v>
      </c>
      <c r="BA223" s="167" t="s">
        <v>146</v>
      </c>
      <c r="BB223" s="168" t="s">
        <v>133</v>
      </c>
      <c r="BC223" s="169" t="s">
        <v>132</v>
      </c>
      <c r="BD223" s="170" t="s">
        <v>141</v>
      </c>
      <c r="BE223" s="171">
        <v>14</v>
      </c>
      <c r="BF223" s="172" t="s">
        <v>2686</v>
      </c>
      <c r="BG223" s="173">
        <v>14</v>
      </c>
      <c r="BH223" s="174" t="s">
        <v>141</v>
      </c>
      <c r="BI223" s="175" t="s">
        <v>141</v>
      </c>
      <c r="BJ223" s="176" t="s">
        <v>141</v>
      </c>
      <c r="BK223" s="177" t="s">
        <v>2687</v>
      </c>
      <c r="BL223" s="178" t="s">
        <v>2688</v>
      </c>
      <c r="BM223" s="179" t="s">
        <v>141</v>
      </c>
      <c r="BN223" s="180" t="s">
        <v>141</v>
      </c>
      <c r="BO223" s="181" t="s">
        <v>141</v>
      </c>
      <c r="BP223" s="182" t="s">
        <v>141</v>
      </c>
      <c r="BQ223" s="183" t="s">
        <v>141</v>
      </c>
      <c r="BR223" s="184" t="s">
        <v>221</v>
      </c>
      <c r="BS223" s="185" t="s">
        <v>221</v>
      </c>
      <c r="BT223" s="186" t="s">
        <v>141</v>
      </c>
      <c r="BU223" s="187" t="s">
        <v>141</v>
      </c>
      <c r="BV223" s="188" t="s">
        <v>141</v>
      </c>
      <c r="BW223" s="189" t="s">
        <v>141</v>
      </c>
      <c r="BX223" s="190" t="s">
        <v>141</v>
      </c>
      <c r="BY223" s="191" t="s">
        <v>141</v>
      </c>
      <c r="BZ223" s="192" t="s">
        <v>141</v>
      </c>
      <c r="CA223" s="193" t="s">
        <v>141</v>
      </c>
      <c r="CB223" s="194" t="s">
        <v>141</v>
      </c>
      <c r="CC223" s="195" t="s">
        <v>141</v>
      </c>
      <c r="CD223" s="196" t="s">
        <v>141</v>
      </c>
      <c r="CE223" s="197" t="s">
        <v>141</v>
      </c>
      <c r="CF223" s="198" t="s">
        <v>141</v>
      </c>
      <c r="CG223" s="199" t="s">
        <v>141</v>
      </c>
      <c r="CH223" s="200" t="s">
        <v>141</v>
      </c>
      <c r="CI223" s="201" t="s">
        <v>141</v>
      </c>
      <c r="CJ223" s="202" t="s">
        <v>141</v>
      </c>
      <c r="CK223" s="203" t="s">
        <v>141</v>
      </c>
      <c r="CL223" s="204" t="s">
        <v>141</v>
      </c>
      <c r="CM223" s="205" t="s">
        <v>141</v>
      </c>
      <c r="CN223" s="206" t="s">
        <v>141</v>
      </c>
      <c r="CO223" s="207" t="s">
        <v>141</v>
      </c>
      <c r="CP223" s="208" t="s">
        <v>141</v>
      </c>
      <c r="CQ223" s="209" t="s">
        <v>141</v>
      </c>
      <c r="CR223" s="210" t="s">
        <v>141</v>
      </c>
      <c r="CS223" s="211" t="s">
        <v>141</v>
      </c>
      <c r="CT223" s="212" t="s">
        <v>141</v>
      </c>
      <c r="CU223" s="213" t="s">
        <v>141</v>
      </c>
      <c r="CV223" s="214" t="s">
        <v>141</v>
      </c>
      <c r="CW223" s="215" t="s">
        <v>141</v>
      </c>
      <c r="CX223" s="216">
        <v>4</v>
      </c>
      <c r="CY223" s="217" t="s">
        <v>150</v>
      </c>
      <c r="CZ223" s="218" t="s">
        <v>200</v>
      </c>
      <c r="DA223" s="219" t="s">
        <v>152</v>
      </c>
      <c r="DB223" s="220" t="s">
        <v>153</v>
      </c>
      <c r="DC223" s="221" t="s">
        <v>201</v>
      </c>
      <c r="DD223" s="222" t="s">
        <v>201</v>
      </c>
      <c r="DE223" s="223" t="s">
        <v>222</v>
      </c>
      <c r="DF223" s="224" t="s">
        <v>157</v>
      </c>
      <c r="DG223" s="225">
        <v>2012</v>
      </c>
      <c r="DH223" s="226" t="s">
        <v>223</v>
      </c>
      <c r="DI223" s="228" t="str">
        <f>HYPERLINK("https://my.pitchbook.com?c=38827-63T", "View company online")</f>
        <v>View company online</v>
      </c>
    </row>
    <row r="224" spans="1:113" x14ac:dyDescent="0.2">
      <c r="A224" s="3" t="s">
        <v>2689</v>
      </c>
      <c r="B224" s="4" t="s">
        <v>225</v>
      </c>
      <c r="C224" s="5" t="s">
        <v>226</v>
      </c>
      <c r="D224" s="6" t="s">
        <v>227</v>
      </c>
      <c r="E224" s="7" t="s">
        <v>228</v>
      </c>
      <c r="F224" s="8" t="s">
        <v>164</v>
      </c>
      <c r="G224" s="9" t="s">
        <v>165</v>
      </c>
      <c r="H224" s="10" t="s">
        <v>190</v>
      </c>
      <c r="I224" s="11" t="s">
        <v>229</v>
      </c>
      <c r="J224" s="12" t="s">
        <v>130</v>
      </c>
      <c r="K224" s="13" t="s">
        <v>230</v>
      </c>
      <c r="L224" s="14" t="s">
        <v>193</v>
      </c>
      <c r="M224" s="15" t="s">
        <v>133</v>
      </c>
      <c r="N224" s="16" t="s">
        <v>231</v>
      </c>
      <c r="O224" s="17" t="s">
        <v>2690</v>
      </c>
      <c r="P224" s="18" t="s">
        <v>2691</v>
      </c>
      <c r="Q224" s="19" t="s">
        <v>141</v>
      </c>
      <c r="R224" s="20" t="s">
        <v>2692</v>
      </c>
      <c r="S224" s="21" t="s">
        <v>2693</v>
      </c>
      <c r="T224" s="22" t="s">
        <v>2694</v>
      </c>
      <c r="U224" s="23">
        <v>2</v>
      </c>
      <c r="V224" s="24" t="s">
        <v>2689</v>
      </c>
      <c r="W224" s="25" t="s">
        <v>141</v>
      </c>
      <c r="X224" s="26">
        <v>42311</v>
      </c>
      <c r="Y224" s="27">
        <v>1.3</v>
      </c>
      <c r="Z224" s="28" t="s">
        <v>177</v>
      </c>
      <c r="AA224" s="29" t="s">
        <v>141</v>
      </c>
      <c r="AB224" s="30" t="s">
        <v>141</v>
      </c>
      <c r="AC224" s="31" t="s">
        <v>141</v>
      </c>
      <c r="AD224" s="32" t="s">
        <v>141</v>
      </c>
      <c r="AE224" s="33">
        <v>1.3</v>
      </c>
      <c r="AF224" s="34" t="s">
        <v>1571</v>
      </c>
      <c r="AG224" s="35" t="s">
        <v>141</v>
      </c>
      <c r="AH224" s="36" t="s">
        <v>141</v>
      </c>
      <c r="AI224" s="37" t="s">
        <v>141</v>
      </c>
      <c r="AJ224" s="38" t="s">
        <v>2622</v>
      </c>
      <c r="AK224" s="39" t="s">
        <v>2622</v>
      </c>
      <c r="AL224" s="40" t="s">
        <v>141</v>
      </c>
      <c r="AM224" s="41" t="s">
        <v>485</v>
      </c>
      <c r="AN224" s="42" t="s">
        <v>2695</v>
      </c>
      <c r="AO224" s="43">
        <v>1.3</v>
      </c>
      <c r="AP224" s="44" t="s">
        <v>145</v>
      </c>
      <c r="AQ224" s="45" t="s">
        <v>141</v>
      </c>
      <c r="AR224" s="46" t="s">
        <v>141</v>
      </c>
      <c r="AS224" s="47" t="s">
        <v>141</v>
      </c>
      <c r="AT224" s="48" t="s">
        <v>141</v>
      </c>
      <c r="AU224" s="49" t="s">
        <v>141</v>
      </c>
      <c r="AV224" s="50" t="s">
        <v>141</v>
      </c>
      <c r="AW224" s="51" t="s">
        <v>141</v>
      </c>
      <c r="AX224" s="52" t="s">
        <v>141</v>
      </c>
      <c r="AY224" s="53" t="s">
        <v>141</v>
      </c>
      <c r="AZ224" s="54" t="s">
        <v>141</v>
      </c>
      <c r="BA224" s="55" t="s">
        <v>146</v>
      </c>
      <c r="BB224" s="56" t="s">
        <v>133</v>
      </c>
      <c r="BC224" s="57" t="s">
        <v>402</v>
      </c>
      <c r="BD224" s="58">
        <v>11</v>
      </c>
      <c r="BE224" s="59">
        <v>1</v>
      </c>
      <c r="BF224" s="60" t="s">
        <v>2696</v>
      </c>
      <c r="BG224" s="61">
        <v>1</v>
      </c>
      <c r="BH224" s="62" t="s">
        <v>141</v>
      </c>
      <c r="BI224" s="63" t="s">
        <v>141</v>
      </c>
      <c r="BJ224" s="64" t="s">
        <v>141</v>
      </c>
      <c r="BK224" s="65" t="s">
        <v>141</v>
      </c>
      <c r="BL224" s="66" t="s">
        <v>2696</v>
      </c>
      <c r="BM224" s="67" t="s">
        <v>2696</v>
      </c>
      <c r="BN224" s="68" t="s">
        <v>141</v>
      </c>
      <c r="BO224" s="69" t="s">
        <v>141</v>
      </c>
      <c r="BP224" s="70" t="s">
        <v>141</v>
      </c>
      <c r="BQ224" s="71" t="s">
        <v>141</v>
      </c>
      <c r="BR224" s="72" t="s">
        <v>141</v>
      </c>
      <c r="BS224" s="73" t="s">
        <v>141</v>
      </c>
      <c r="BT224" s="74" t="s">
        <v>141</v>
      </c>
      <c r="BU224" s="75" t="s">
        <v>141</v>
      </c>
      <c r="BV224" s="76" t="s">
        <v>141</v>
      </c>
      <c r="BW224" s="77" t="s">
        <v>141</v>
      </c>
      <c r="BX224" s="78" t="s">
        <v>141</v>
      </c>
      <c r="BY224" s="79" t="s">
        <v>141</v>
      </c>
      <c r="BZ224" s="80" t="s">
        <v>141</v>
      </c>
      <c r="CA224" s="81" t="s">
        <v>141</v>
      </c>
      <c r="CB224" s="82" t="s">
        <v>141</v>
      </c>
      <c r="CC224" s="83" t="s">
        <v>141</v>
      </c>
      <c r="CD224" s="84" t="s">
        <v>141</v>
      </c>
      <c r="CE224" s="85" t="s">
        <v>141</v>
      </c>
      <c r="CF224" s="86" t="s">
        <v>141</v>
      </c>
      <c r="CG224" s="87" t="s">
        <v>141</v>
      </c>
      <c r="CH224" s="88" t="s">
        <v>141</v>
      </c>
      <c r="CI224" s="89" t="s">
        <v>141</v>
      </c>
      <c r="CJ224" s="90" t="s">
        <v>141</v>
      </c>
      <c r="CK224" s="91" t="s">
        <v>141</v>
      </c>
      <c r="CL224" s="92" t="s">
        <v>141</v>
      </c>
      <c r="CM224" s="93" t="s">
        <v>141</v>
      </c>
      <c r="CN224" s="94" t="s">
        <v>141</v>
      </c>
      <c r="CO224" s="95" t="s">
        <v>141</v>
      </c>
      <c r="CP224" s="96" t="s">
        <v>141</v>
      </c>
      <c r="CQ224" s="97" t="s">
        <v>141</v>
      </c>
      <c r="CR224" s="98" t="s">
        <v>141</v>
      </c>
      <c r="CS224" s="99" t="s">
        <v>141</v>
      </c>
      <c r="CT224" s="100" t="s">
        <v>141</v>
      </c>
      <c r="CU224" s="101" t="s">
        <v>141</v>
      </c>
      <c r="CV224" s="102" t="s">
        <v>141</v>
      </c>
      <c r="CW224" s="103" t="s">
        <v>141</v>
      </c>
      <c r="CX224" s="104">
        <v>11</v>
      </c>
      <c r="CY224" s="105" t="s">
        <v>150</v>
      </c>
      <c r="CZ224" s="106" t="s">
        <v>240</v>
      </c>
      <c r="DA224" s="107" t="s">
        <v>152</v>
      </c>
      <c r="DB224" s="108" t="s">
        <v>153</v>
      </c>
      <c r="DC224" s="109" t="s">
        <v>241</v>
      </c>
      <c r="DD224" s="110" t="s">
        <v>242</v>
      </c>
      <c r="DE224" s="111" t="s">
        <v>141</v>
      </c>
      <c r="DF224" s="112" t="s">
        <v>157</v>
      </c>
      <c r="DG224" s="113">
        <v>2014</v>
      </c>
      <c r="DH224" s="114" t="s">
        <v>243</v>
      </c>
      <c r="DI224" s="227" t="str">
        <f>HYPERLINK("https://my.pitchbook.com?c=60570-82T", "View company online")</f>
        <v>View company online</v>
      </c>
    </row>
    <row r="225" spans="1:113" x14ac:dyDescent="0.2">
      <c r="A225" s="115" t="s">
        <v>2697</v>
      </c>
      <c r="B225" s="116" t="s">
        <v>248</v>
      </c>
      <c r="C225" s="117" t="s">
        <v>249</v>
      </c>
      <c r="D225" s="118" t="s">
        <v>250</v>
      </c>
      <c r="E225" s="119" t="s">
        <v>251</v>
      </c>
      <c r="F225" s="120" t="s">
        <v>126</v>
      </c>
      <c r="G225" s="121" t="s">
        <v>252</v>
      </c>
      <c r="H225" s="122" t="s">
        <v>253</v>
      </c>
      <c r="I225" s="123" t="s">
        <v>254</v>
      </c>
      <c r="J225" s="124" t="s">
        <v>255</v>
      </c>
      <c r="K225" s="125" t="s">
        <v>256</v>
      </c>
      <c r="L225" s="126" t="s">
        <v>132</v>
      </c>
      <c r="M225" s="127" t="s">
        <v>133</v>
      </c>
      <c r="N225" s="128" t="s">
        <v>170</v>
      </c>
      <c r="O225" s="129" t="s">
        <v>257</v>
      </c>
      <c r="P225" s="130" t="s">
        <v>258</v>
      </c>
      <c r="Q225" s="131" t="s">
        <v>141</v>
      </c>
      <c r="R225" s="132" t="s">
        <v>259</v>
      </c>
      <c r="S225" s="133" t="s">
        <v>260</v>
      </c>
      <c r="T225" s="134" t="s">
        <v>261</v>
      </c>
      <c r="U225" s="135">
        <v>2</v>
      </c>
      <c r="V225" s="136" t="s">
        <v>2697</v>
      </c>
      <c r="W225" s="137" t="s">
        <v>141</v>
      </c>
      <c r="X225" s="138">
        <v>41450</v>
      </c>
      <c r="Y225" s="139">
        <v>1.4</v>
      </c>
      <c r="Z225" s="140" t="s">
        <v>177</v>
      </c>
      <c r="AA225" s="141" t="s">
        <v>141</v>
      </c>
      <c r="AB225" s="142" t="s">
        <v>141</v>
      </c>
      <c r="AC225" s="143" t="s">
        <v>141</v>
      </c>
      <c r="AD225" s="144" t="s">
        <v>141</v>
      </c>
      <c r="AE225" s="145">
        <v>1.5</v>
      </c>
      <c r="AF225" s="146" t="s">
        <v>1571</v>
      </c>
      <c r="AG225" s="147" t="s">
        <v>141</v>
      </c>
      <c r="AH225" s="148" t="s">
        <v>141</v>
      </c>
      <c r="AI225" s="149" t="s">
        <v>141</v>
      </c>
      <c r="AJ225" s="150" t="s">
        <v>2622</v>
      </c>
      <c r="AK225" s="151" t="s">
        <v>2622</v>
      </c>
      <c r="AL225" s="152" t="s">
        <v>141</v>
      </c>
      <c r="AM225" s="153" t="s">
        <v>170</v>
      </c>
      <c r="AN225" s="154" t="s">
        <v>2698</v>
      </c>
      <c r="AO225" s="155">
        <v>1.4</v>
      </c>
      <c r="AP225" s="156" t="s">
        <v>145</v>
      </c>
      <c r="AQ225" s="157" t="s">
        <v>141</v>
      </c>
      <c r="AR225" s="158" t="s">
        <v>141</v>
      </c>
      <c r="AS225" s="159" t="s">
        <v>141</v>
      </c>
      <c r="AT225" s="160" t="s">
        <v>141</v>
      </c>
      <c r="AU225" s="161" t="s">
        <v>141</v>
      </c>
      <c r="AV225" s="162" t="s">
        <v>141</v>
      </c>
      <c r="AW225" s="163" t="s">
        <v>141</v>
      </c>
      <c r="AX225" s="164" t="s">
        <v>141</v>
      </c>
      <c r="AY225" s="165" t="s">
        <v>141</v>
      </c>
      <c r="AZ225" s="166" t="s">
        <v>141</v>
      </c>
      <c r="BA225" s="167" t="s">
        <v>146</v>
      </c>
      <c r="BB225" s="168" t="s">
        <v>263</v>
      </c>
      <c r="BC225" s="169" t="s">
        <v>132</v>
      </c>
      <c r="BD225" s="170" t="s">
        <v>141</v>
      </c>
      <c r="BE225" s="171">
        <v>12</v>
      </c>
      <c r="BF225" s="172" t="s">
        <v>2699</v>
      </c>
      <c r="BG225" s="173">
        <v>12</v>
      </c>
      <c r="BH225" s="174" t="s">
        <v>141</v>
      </c>
      <c r="BI225" s="175" t="s">
        <v>141</v>
      </c>
      <c r="BJ225" s="176" t="s">
        <v>141</v>
      </c>
      <c r="BK225" s="177" t="s">
        <v>2700</v>
      </c>
      <c r="BL225" s="178" t="s">
        <v>2701</v>
      </c>
      <c r="BM225" s="179" t="s">
        <v>1593</v>
      </c>
      <c r="BN225" s="180" t="s">
        <v>2702</v>
      </c>
      <c r="BO225" s="181" t="s">
        <v>141</v>
      </c>
      <c r="BP225" s="182" t="s">
        <v>141</v>
      </c>
      <c r="BQ225" s="183" t="s">
        <v>141</v>
      </c>
      <c r="BR225" s="184" t="s">
        <v>2703</v>
      </c>
      <c r="BS225" s="185" t="s">
        <v>141</v>
      </c>
      <c r="BT225" s="186" t="s">
        <v>141</v>
      </c>
      <c r="BU225" s="187" t="s">
        <v>2703</v>
      </c>
      <c r="BV225" s="188" t="s">
        <v>141</v>
      </c>
      <c r="BW225" s="189" t="s">
        <v>141</v>
      </c>
      <c r="BX225" s="190" t="s">
        <v>141</v>
      </c>
      <c r="BY225" s="191" t="s">
        <v>141</v>
      </c>
      <c r="BZ225" s="192" t="s">
        <v>141</v>
      </c>
      <c r="CA225" s="193" t="s">
        <v>141</v>
      </c>
      <c r="CB225" s="194" t="s">
        <v>141</v>
      </c>
      <c r="CC225" s="195" t="s">
        <v>141</v>
      </c>
      <c r="CD225" s="196" t="s">
        <v>141</v>
      </c>
      <c r="CE225" s="197" t="s">
        <v>141</v>
      </c>
      <c r="CF225" s="198" t="s">
        <v>141</v>
      </c>
      <c r="CG225" s="199" t="s">
        <v>141</v>
      </c>
      <c r="CH225" s="200" t="s">
        <v>141</v>
      </c>
      <c r="CI225" s="201" t="s">
        <v>141</v>
      </c>
      <c r="CJ225" s="202" t="s">
        <v>141</v>
      </c>
      <c r="CK225" s="203" t="s">
        <v>141</v>
      </c>
      <c r="CL225" s="204" t="s">
        <v>141</v>
      </c>
      <c r="CM225" s="205" t="s">
        <v>141</v>
      </c>
      <c r="CN225" s="206" t="s">
        <v>141</v>
      </c>
      <c r="CO225" s="207" t="s">
        <v>141</v>
      </c>
      <c r="CP225" s="208" t="s">
        <v>141</v>
      </c>
      <c r="CQ225" s="209" t="s">
        <v>141</v>
      </c>
      <c r="CR225" s="210" t="s">
        <v>141</v>
      </c>
      <c r="CS225" s="211" t="s">
        <v>141</v>
      </c>
      <c r="CT225" s="212" t="s">
        <v>141</v>
      </c>
      <c r="CU225" s="213" t="s">
        <v>141</v>
      </c>
      <c r="CV225" s="214" t="s">
        <v>141</v>
      </c>
      <c r="CW225" s="215" t="s">
        <v>141</v>
      </c>
      <c r="CX225" s="216">
        <v>45</v>
      </c>
      <c r="CY225" s="217" t="s">
        <v>150</v>
      </c>
      <c r="CZ225" s="218" t="s">
        <v>180</v>
      </c>
      <c r="DA225" s="219" t="s">
        <v>152</v>
      </c>
      <c r="DB225" s="220" t="s">
        <v>153</v>
      </c>
      <c r="DC225" s="221" t="s">
        <v>181</v>
      </c>
      <c r="DD225" s="222" t="s">
        <v>182</v>
      </c>
      <c r="DE225" s="223" t="s">
        <v>265</v>
      </c>
      <c r="DF225" s="224" t="s">
        <v>157</v>
      </c>
      <c r="DG225" s="225">
        <v>2013</v>
      </c>
      <c r="DH225" s="226" t="s">
        <v>266</v>
      </c>
      <c r="DI225" s="228" t="str">
        <f>HYPERLINK("https://my.pitchbook.com?c=26770-87T", "View company online")</f>
        <v>View company online</v>
      </c>
    </row>
    <row r="226" spans="1:113" x14ac:dyDescent="0.2">
      <c r="A226" s="3" t="s">
        <v>2704</v>
      </c>
      <c r="B226" s="4" t="s">
        <v>248</v>
      </c>
      <c r="C226" s="5" t="s">
        <v>249</v>
      </c>
      <c r="D226" s="6" t="s">
        <v>250</v>
      </c>
      <c r="E226" s="7" t="s">
        <v>251</v>
      </c>
      <c r="F226" s="8" t="s">
        <v>126</v>
      </c>
      <c r="G226" s="9" t="s">
        <v>252</v>
      </c>
      <c r="H226" s="10" t="s">
        <v>253</v>
      </c>
      <c r="I226" s="11" t="s">
        <v>254</v>
      </c>
      <c r="J226" s="12" t="s">
        <v>255</v>
      </c>
      <c r="K226" s="13" t="s">
        <v>256</v>
      </c>
      <c r="L226" s="14" t="s">
        <v>132</v>
      </c>
      <c r="M226" s="15" t="s">
        <v>133</v>
      </c>
      <c r="N226" s="16" t="s">
        <v>170</v>
      </c>
      <c r="O226" s="17" t="s">
        <v>257</v>
      </c>
      <c r="P226" s="18" t="s">
        <v>258</v>
      </c>
      <c r="Q226" s="19" t="s">
        <v>141</v>
      </c>
      <c r="R226" s="20" t="s">
        <v>259</v>
      </c>
      <c r="S226" s="21" t="s">
        <v>260</v>
      </c>
      <c r="T226" s="22" t="s">
        <v>261</v>
      </c>
      <c r="U226" s="23">
        <v>3</v>
      </c>
      <c r="V226" s="24" t="s">
        <v>2704</v>
      </c>
      <c r="W226" s="25">
        <v>41918</v>
      </c>
      <c r="X226" s="26">
        <v>42206</v>
      </c>
      <c r="Y226" s="27">
        <v>2.15</v>
      </c>
      <c r="Z226" s="28" t="s">
        <v>177</v>
      </c>
      <c r="AA226" s="29">
        <v>15</v>
      </c>
      <c r="AB226" s="30">
        <v>17.149999999999999</v>
      </c>
      <c r="AC226" s="31" t="s">
        <v>887</v>
      </c>
      <c r="AD226" s="32">
        <v>12.54</v>
      </c>
      <c r="AE226" s="33">
        <v>3.65</v>
      </c>
      <c r="AF226" s="34" t="s">
        <v>1582</v>
      </c>
      <c r="AG226" s="35" t="s">
        <v>141</v>
      </c>
      <c r="AH226" s="36">
        <v>1.58</v>
      </c>
      <c r="AI226" s="37" t="s">
        <v>141</v>
      </c>
      <c r="AJ226" s="38" t="s">
        <v>2622</v>
      </c>
      <c r="AK226" s="39" t="s">
        <v>2622</v>
      </c>
      <c r="AL226" s="40" t="s">
        <v>141</v>
      </c>
      <c r="AM226" s="41" t="s">
        <v>170</v>
      </c>
      <c r="AN226" s="42" t="s">
        <v>2705</v>
      </c>
      <c r="AO226" s="43">
        <v>2.15</v>
      </c>
      <c r="AP226" s="44" t="s">
        <v>145</v>
      </c>
      <c r="AQ226" s="45" t="s">
        <v>141</v>
      </c>
      <c r="AR226" s="46" t="s">
        <v>141</v>
      </c>
      <c r="AS226" s="47" t="s">
        <v>141</v>
      </c>
      <c r="AT226" s="48" t="s">
        <v>141</v>
      </c>
      <c r="AU226" s="49" t="s">
        <v>141</v>
      </c>
      <c r="AV226" s="50" t="s">
        <v>141</v>
      </c>
      <c r="AW226" s="51" t="s">
        <v>141</v>
      </c>
      <c r="AX226" s="52" t="s">
        <v>141</v>
      </c>
      <c r="AY226" s="53" t="s">
        <v>141</v>
      </c>
      <c r="AZ226" s="54" t="s">
        <v>141</v>
      </c>
      <c r="BA226" s="55" t="s">
        <v>146</v>
      </c>
      <c r="BB226" s="56" t="s">
        <v>133</v>
      </c>
      <c r="BC226" s="57" t="s">
        <v>132</v>
      </c>
      <c r="BD226" s="58">
        <v>35</v>
      </c>
      <c r="BE226" s="59">
        <v>12</v>
      </c>
      <c r="BF226" s="60" t="s">
        <v>2706</v>
      </c>
      <c r="BG226" s="61">
        <v>10</v>
      </c>
      <c r="BH226" s="62" t="s">
        <v>2707</v>
      </c>
      <c r="BI226" s="63">
        <v>2</v>
      </c>
      <c r="BJ226" s="64" t="s">
        <v>141</v>
      </c>
      <c r="BK226" s="65" t="s">
        <v>2708</v>
      </c>
      <c r="BL226" s="66" t="s">
        <v>2709</v>
      </c>
      <c r="BM226" s="67" t="s">
        <v>1593</v>
      </c>
      <c r="BN226" s="68" t="s">
        <v>2710</v>
      </c>
      <c r="BO226" s="69" t="s">
        <v>141</v>
      </c>
      <c r="BP226" s="70" t="s">
        <v>141</v>
      </c>
      <c r="BQ226" s="71" t="s">
        <v>141</v>
      </c>
      <c r="BR226" s="72" t="s">
        <v>141</v>
      </c>
      <c r="BS226" s="73" t="s">
        <v>141</v>
      </c>
      <c r="BT226" s="74" t="s">
        <v>141</v>
      </c>
      <c r="BU226" s="75" t="s">
        <v>141</v>
      </c>
      <c r="BV226" s="76" t="s">
        <v>141</v>
      </c>
      <c r="BW226" s="77" t="s">
        <v>141</v>
      </c>
      <c r="BX226" s="78" t="s">
        <v>141</v>
      </c>
      <c r="BY226" s="79" t="s">
        <v>141</v>
      </c>
      <c r="BZ226" s="80" t="s">
        <v>141</v>
      </c>
      <c r="CA226" s="81" t="s">
        <v>141</v>
      </c>
      <c r="CB226" s="82" t="s">
        <v>141</v>
      </c>
      <c r="CC226" s="83" t="s">
        <v>141</v>
      </c>
      <c r="CD226" s="84" t="s">
        <v>141</v>
      </c>
      <c r="CE226" s="85" t="s">
        <v>141</v>
      </c>
      <c r="CF226" s="86" t="s">
        <v>141</v>
      </c>
      <c r="CG226" s="87" t="s">
        <v>141</v>
      </c>
      <c r="CH226" s="88" t="s">
        <v>141</v>
      </c>
      <c r="CI226" s="89" t="s">
        <v>141</v>
      </c>
      <c r="CJ226" s="90" t="s">
        <v>141</v>
      </c>
      <c r="CK226" s="91" t="s">
        <v>141</v>
      </c>
      <c r="CL226" s="92" t="s">
        <v>141</v>
      </c>
      <c r="CM226" s="93" t="s">
        <v>141</v>
      </c>
      <c r="CN226" s="94" t="s">
        <v>141</v>
      </c>
      <c r="CO226" s="95" t="s">
        <v>141</v>
      </c>
      <c r="CP226" s="96" t="s">
        <v>141</v>
      </c>
      <c r="CQ226" s="97" t="s">
        <v>141</v>
      </c>
      <c r="CR226" s="98" t="s">
        <v>141</v>
      </c>
      <c r="CS226" s="99" t="s">
        <v>141</v>
      </c>
      <c r="CT226" s="100" t="s">
        <v>141</v>
      </c>
      <c r="CU226" s="101" t="s">
        <v>141</v>
      </c>
      <c r="CV226" s="102" t="s">
        <v>141</v>
      </c>
      <c r="CW226" s="103" t="s">
        <v>141</v>
      </c>
      <c r="CX226" s="104">
        <v>45</v>
      </c>
      <c r="CY226" s="105" t="s">
        <v>150</v>
      </c>
      <c r="CZ226" s="106" t="s">
        <v>180</v>
      </c>
      <c r="DA226" s="107" t="s">
        <v>152</v>
      </c>
      <c r="DB226" s="108" t="s">
        <v>153</v>
      </c>
      <c r="DC226" s="109" t="s">
        <v>181</v>
      </c>
      <c r="DD226" s="110" t="s">
        <v>182</v>
      </c>
      <c r="DE226" s="111" t="s">
        <v>265</v>
      </c>
      <c r="DF226" s="112" t="s">
        <v>157</v>
      </c>
      <c r="DG226" s="113">
        <v>2013</v>
      </c>
      <c r="DH226" s="114" t="s">
        <v>266</v>
      </c>
      <c r="DI226" s="227" t="str">
        <f>HYPERLINK("https://my.pitchbook.com?c=38113-75T", "View company online")</f>
        <v>View company online</v>
      </c>
    </row>
    <row r="227" spans="1:113" x14ac:dyDescent="0.2">
      <c r="A227" s="115" t="s">
        <v>2711</v>
      </c>
      <c r="B227" s="116" t="s">
        <v>1754</v>
      </c>
      <c r="C227" s="117" t="s">
        <v>1755</v>
      </c>
      <c r="D227" s="118" t="s">
        <v>1756</v>
      </c>
      <c r="E227" s="119" t="s">
        <v>1757</v>
      </c>
      <c r="F227" s="120" t="s">
        <v>126</v>
      </c>
      <c r="G227" s="121" t="s">
        <v>340</v>
      </c>
      <c r="H227" s="122" t="s">
        <v>341</v>
      </c>
      <c r="I227" s="123" t="s">
        <v>1758</v>
      </c>
      <c r="J227" s="124" t="s">
        <v>589</v>
      </c>
      <c r="K227" s="125" t="s">
        <v>1759</v>
      </c>
      <c r="L227" s="126" t="s">
        <v>132</v>
      </c>
      <c r="M227" s="127" t="s">
        <v>133</v>
      </c>
      <c r="N227" s="128" t="s">
        <v>170</v>
      </c>
      <c r="O227" s="129" t="s">
        <v>1760</v>
      </c>
      <c r="P227" s="130" t="s">
        <v>1761</v>
      </c>
      <c r="Q227" s="131" t="s">
        <v>1762</v>
      </c>
      <c r="R227" s="132" t="s">
        <v>1763</v>
      </c>
      <c r="S227" s="133" t="s">
        <v>1764</v>
      </c>
      <c r="T227" s="134" t="s">
        <v>1765</v>
      </c>
      <c r="U227" s="135">
        <v>1</v>
      </c>
      <c r="V227" s="136" t="s">
        <v>2711</v>
      </c>
      <c r="W227" s="137">
        <v>41661</v>
      </c>
      <c r="X227" s="138">
        <v>41780</v>
      </c>
      <c r="Y227" s="139">
        <v>4.79</v>
      </c>
      <c r="Z227" s="140" t="s">
        <v>177</v>
      </c>
      <c r="AA227" s="141">
        <v>9.14</v>
      </c>
      <c r="AB227" s="142">
        <v>11.43</v>
      </c>
      <c r="AC227" s="143" t="s">
        <v>177</v>
      </c>
      <c r="AD227" s="144">
        <v>20</v>
      </c>
      <c r="AE227" s="145">
        <v>4.79</v>
      </c>
      <c r="AF227" s="146" t="s">
        <v>1571</v>
      </c>
      <c r="AG227" s="147" t="s">
        <v>141</v>
      </c>
      <c r="AH227" s="148">
        <v>1.43</v>
      </c>
      <c r="AI227" s="149" t="s">
        <v>141</v>
      </c>
      <c r="AJ227" s="150" t="s">
        <v>2622</v>
      </c>
      <c r="AK227" s="151" t="s">
        <v>2622</v>
      </c>
      <c r="AL227" s="152" t="s">
        <v>141</v>
      </c>
      <c r="AM227" s="153" t="s">
        <v>170</v>
      </c>
      <c r="AN227" s="154" t="s">
        <v>2712</v>
      </c>
      <c r="AO227" s="155">
        <v>2.29</v>
      </c>
      <c r="AP227" s="156" t="s">
        <v>145</v>
      </c>
      <c r="AQ227" s="157" t="s">
        <v>141</v>
      </c>
      <c r="AR227" s="158" t="s">
        <v>141</v>
      </c>
      <c r="AS227" s="159" t="s">
        <v>281</v>
      </c>
      <c r="AT227" s="160" t="s">
        <v>141</v>
      </c>
      <c r="AU227" s="161" t="s">
        <v>141</v>
      </c>
      <c r="AV227" s="162">
        <v>2.5</v>
      </c>
      <c r="AW227" s="163" t="s">
        <v>141</v>
      </c>
      <c r="AX227" s="164" t="s">
        <v>141</v>
      </c>
      <c r="AY227" s="165">
        <v>2.5</v>
      </c>
      <c r="AZ227" s="166" t="s">
        <v>141</v>
      </c>
      <c r="BA227" s="167" t="s">
        <v>146</v>
      </c>
      <c r="BB227" s="168" t="s">
        <v>263</v>
      </c>
      <c r="BC227" s="169" t="s">
        <v>132</v>
      </c>
      <c r="BD227" s="170">
        <v>20</v>
      </c>
      <c r="BE227" s="171">
        <v>19</v>
      </c>
      <c r="BF227" s="172" t="s">
        <v>2713</v>
      </c>
      <c r="BG227" s="173">
        <v>19</v>
      </c>
      <c r="BH227" s="174" t="s">
        <v>141</v>
      </c>
      <c r="BI227" s="175" t="s">
        <v>141</v>
      </c>
      <c r="BJ227" s="176" t="s">
        <v>141</v>
      </c>
      <c r="BK227" s="177" t="s">
        <v>2714</v>
      </c>
      <c r="BL227" s="178" t="s">
        <v>2715</v>
      </c>
      <c r="BM227" s="179" t="s">
        <v>2716</v>
      </c>
      <c r="BN227" s="180" t="s">
        <v>2717</v>
      </c>
      <c r="BO227" s="181" t="s">
        <v>141</v>
      </c>
      <c r="BP227" s="182" t="s">
        <v>141</v>
      </c>
      <c r="BQ227" s="183" t="s">
        <v>141</v>
      </c>
      <c r="BR227" s="184" t="s">
        <v>1773</v>
      </c>
      <c r="BS227" s="185" t="s">
        <v>1773</v>
      </c>
      <c r="BT227" s="186" t="s">
        <v>141</v>
      </c>
      <c r="BU227" s="187" t="s">
        <v>141</v>
      </c>
      <c r="BV227" s="188" t="s">
        <v>141</v>
      </c>
      <c r="BW227" s="189" t="s">
        <v>141</v>
      </c>
      <c r="BX227" s="190" t="s">
        <v>141</v>
      </c>
      <c r="BY227" s="191" t="s">
        <v>141</v>
      </c>
      <c r="BZ227" s="192" t="s">
        <v>141</v>
      </c>
      <c r="CA227" s="193" t="s">
        <v>141</v>
      </c>
      <c r="CB227" s="194" t="s">
        <v>141</v>
      </c>
      <c r="CC227" s="195" t="s">
        <v>141</v>
      </c>
      <c r="CD227" s="196" t="s">
        <v>141</v>
      </c>
      <c r="CE227" s="197" t="s">
        <v>141</v>
      </c>
      <c r="CF227" s="198" t="s">
        <v>141</v>
      </c>
      <c r="CG227" s="199" t="s">
        <v>141</v>
      </c>
      <c r="CH227" s="200" t="s">
        <v>141</v>
      </c>
      <c r="CI227" s="201" t="s">
        <v>141</v>
      </c>
      <c r="CJ227" s="202" t="s">
        <v>141</v>
      </c>
      <c r="CK227" s="203" t="s">
        <v>141</v>
      </c>
      <c r="CL227" s="204" t="s">
        <v>141</v>
      </c>
      <c r="CM227" s="205" t="s">
        <v>141</v>
      </c>
      <c r="CN227" s="206" t="s">
        <v>141</v>
      </c>
      <c r="CO227" s="207" t="s">
        <v>141</v>
      </c>
      <c r="CP227" s="208" t="s">
        <v>141</v>
      </c>
      <c r="CQ227" s="209">
        <v>1.0900000000000001</v>
      </c>
      <c r="CR227" s="210" t="s">
        <v>141</v>
      </c>
      <c r="CS227" s="211" t="s">
        <v>141</v>
      </c>
      <c r="CT227" s="212" t="s">
        <v>141</v>
      </c>
      <c r="CU227" s="213" t="s">
        <v>141</v>
      </c>
      <c r="CV227" s="214" t="s">
        <v>141</v>
      </c>
      <c r="CW227" s="215" t="s">
        <v>141</v>
      </c>
      <c r="CX227" s="216">
        <v>220</v>
      </c>
      <c r="CY227" s="217" t="s">
        <v>150</v>
      </c>
      <c r="CZ227" s="218" t="s">
        <v>1774</v>
      </c>
      <c r="DA227" s="219" t="s">
        <v>152</v>
      </c>
      <c r="DB227" s="220" t="s">
        <v>153</v>
      </c>
      <c r="DC227" s="221" t="s">
        <v>1775</v>
      </c>
      <c r="DD227" s="222" t="s">
        <v>946</v>
      </c>
      <c r="DE227" s="223" t="s">
        <v>1776</v>
      </c>
      <c r="DF227" s="224" t="s">
        <v>157</v>
      </c>
      <c r="DG227" s="225">
        <v>2012</v>
      </c>
      <c r="DH227" s="226" t="s">
        <v>1777</v>
      </c>
      <c r="DI227" s="228" t="str">
        <f>HYPERLINK("https://my.pitchbook.com?c=31130-20T", "View company online")</f>
        <v>View company online</v>
      </c>
    </row>
    <row r="228" spans="1:113" x14ac:dyDescent="0.2">
      <c r="A228" s="3" t="s">
        <v>2718</v>
      </c>
      <c r="B228" s="4" t="s">
        <v>2719</v>
      </c>
      <c r="C228" s="5" t="s">
        <v>2720</v>
      </c>
      <c r="D228" s="6" t="s">
        <v>2721</v>
      </c>
      <c r="E228" s="7" t="s">
        <v>2722</v>
      </c>
      <c r="F228" s="8" t="s">
        <v>126</v>
      </c>
      <c r="G228" s="9" t="s">
        <v>127</v>
      </c>
      <c r="H228" s="10" t="s">
        <v>128</v>
      </c>
      <c r="I228" s="11" t="s">
        <v>129</v>
      </c>
      <c r="J228" s="12" t="s">
        <v>130</v>
      </c>
      <c r="K228" s="13" t="s">
        <v>2723</v>
      </c>
      <c r="L228" s="14" t="s">
        <v>132</v>
      </c>
      <c r="M228" s="15" t="s">
        <v>133</v>
      </c>
      <c r="N228" s="16" t="s">
        <v>170</v>
      </c>
      <c r="O228" s="17" t="s">
        <v>2724</v>
      </c>
      <c r="P228" s="18" t="s">
        <v>2725</v>
      </c>
      <c r="Q228" s="19" t="s">
        <v>141</v>
      </c>
      <c r="R228" s="20" t="s">
        <v>141</v>
      </c>
      <c r="S228" s="21" t="s">
        <v>2726</v>
      </c>
      <c r="T228" s="22" t="s">
        <v>141</v>
      </c>
      <c r="U228" s="23">
        <v>1</v>
      </c>
      <c r="V228" s="24" t="s">
        <v>2718</v>
      </c>
      <c r="W228" s="25" t="s">
        <v>141</v>
      </c>
      <c r="X228" s="26">
        <v>41870</v>
      </c>
      <c r="Y228" s="27">
        <v>0.45</v>
      </c>
      <c r="Z228" s="28" t="s">
        <v>177</v>
      </c>
      <c r="AA228" s="29" t="s">
        <v>141</v>
      </c>
      <c r="AB228" s="30" t="s">
        <v>141</v>
      </c>
      <c r="AC228" s="31" t="s">
        <v>141</v>
      </c>
      <c r="AD228" s="32" t="s">
        <v>141</v>
      </c>
      <c r="AE228" s="33">
        <v>0.45</v>
      </c>
      <c r="AF228" s="34" t="s">
        <v>1571</v>
      </c>
      <c r="AG228" s="35" t="s">
        <v>141</v>
      </c>
      <c r="AH228" s="36" t="s">
        <v>141</v>
      </c>
      <c r="AI228" s="37" t="s">
        <v>141</v>
      </c>
      <c r="AJ228" s="38" t="s">
        <v>2622</v>
      </c>
      <c r="AK228" s="39" t="s">
        <v>2622</v>
      </c>
      <c r="AL228" s="40" t="s">
        <v>141</v>
      </c>
      <c r="AM228" s="41" t="s">
        <v>170</v>
      </c>
      <c r="AN228" s="42" t="s">
        <v>2727</v>
      </c>
      <c r="AO228" s="43">
        <v>0.45</v>
      </c>
      <c r="AP228" s="44" t="s">
        <v>145</v>
      </c>
      <c r="AQ228" s="45" t="s">
        <v>141</v>
      </c>
      <c r="AR228" s="46" t="s">
        <v>141</v>
      </c>
      <c r="AS228" s="47" t="s">
        <v>141</v>
      </c>
      <c r="AT228" s="48" t="s">
        <v>141</v>
      </c>
      <c r="AU228" s="49" t="s">
        <v>141</v>
      </c>
      <c r="AV228" s="50" t="s">
        <v>141</v>
      </c>
      <c r="AW228" s="51" t="s">
        <v>141</v>
      </c>
      <c r="AX228" s="52" t="s">
        <v>141</v>
      </c>
      <c r="AY228" s="53" t="s">
        <v>141</v>
      </c>
      <c r="AZ228" s="54" t="s">
        <v>141</v>
      </c>
      <c r="BA228" s="55" t="s">
        <v>146</v>
      </c>
      <c r="BB228" s="56" t="s">
        <v>133</v>
      </c>
      <c r="BC228" s="57" t="s">
        <v>402</v>
      </c>
      <c r="BD228" s="58" t="s">
        <v>141</v>
      </c>
      <c r="BE228" s="59">
        <v>1</v>
      </c>
      <c r="BF228" s="60" t="s">
        <v>2728</v>
      </c>
      <c r="BG228" s="61">
        <v>1</v>
      </c>
      <c r="BH228" s="62" t="s">
        <v>141</v>
      </c>
      <c r="BI228" s="63" t="s">
        <v>141</v>
      </c>
      <c r="BJ228" s="64" t="s">
        <v>141</v>
      </c>
      <c r="BK228" s="65" t="s">
        <v>2729</v>
      </c>
      <c r="BL228" s="66" t="s">
        <v>2728</v>
      </c>
      <c r="BM228" s="67" t="s">
        <v>2728</v>
      </c>
      <c r="BN228" s="68" t="s">
        <v>141</v>
      </c>
      <c r="BO228" s="69" t="s">
        <v>141</v>
      </c>
      <c r="BP228" s="70" t="s">
        <v>141</v>
      </c>
      <c r="BQ228" s="71" t="s">
        <v>141</v>
      </c>
      <c r="BR228" s="72" t="s">
        <v>141</v>
      </c>
      <c r="BS228" s="73" t="s">
        <v>141</v>
      </c>
      <c r="BT228" s="74" t="s">
        <v>141</v>
      </c>
      <c r="BU228" s="75" t="s">
        <v>141</v>
      </c>
      <c r="BV228" s="76" t="s">
        <v>141</v>
      </c>
      <c r="BW228" s="77" t="s">
        <v>141</v>
      </c>
      <c r="BX228" s="78" t="s">
        <v>141</v>
      </c>
      <c r="BY228" s="79" t="s">
        <v>141</v>
      </c>
      <c r="BZ228" s="80" t="s">
        <v>141</v>
      </c>
      <c r="CA228" s="81" t="s">
        <v>141</v>
      </c>
      <c r="CB228" s="82" t="s">
        <v>141</v>
      </c>
      <c r="CC228" s="83" t="s">
        <v>141</v>
      </c>
      <c r="CD228" s="84" t="s">
        <v>141</v>
      </c>
      <c r="CE228" s="85" t="s">
        <v>141</v>
      </c>
      <c r="CF228" s="86" t="s">
        <v>141</v>
      </c>
      <c r="CG228" s="87" t="s">
        <v>141</v>
      </c>
      <c r="CH228" s="88" t="s">
        <v>141</v>
      </c>
      <c r="CI228" s="89" t="s">
        <v>141</v>
      </c>
      <c r="CJ228" s="90" t="s">
        <v>141</v>
      </c>
      <c r="CK228" s="91" t="s">
        <v>141</v>
      </c>
      <c r="CL228" s="92" t="s">
        <v>141</v>
      </c>
      <c r="CM228" s="93" t="s">
        <v>141</v>
      </c>
      <c r="CN228" s="94" t="s">
        <v>141</v>
      </c>
      <c r="CO228" s="95" t="s">
        <v>141</v>
      </c>
      <c r="CP228" s="96" t="s">
        <v>141</v>
      </c>
      <c r="CQ228" s="97" t="s">
        <v>141</v>
      </c>
      <c r="CR228" s="98" t="s">
        <v>141</v>
      </c>
      <c r="CS228" s="99" t="s">
        <v>141</v>
      </c>
      <c r="CT228" s="100" t="s">
        <v>141</v>
      </c>
      <c r="CU228" s="101" t="s">
        <v>141</v>
      </c>
      <c r="CV228" s="102" t="s">
        <v>141</v>
      </c>
      <c r="CW228" s="103" t="s">
        <v>141</v>
      </c>
      <c r="CX228" s="104" t="s">
        <v>141</v>
      </c>
      <c r="CY228" s="105" t="s">
        <v>150</v>
      </c>
      <c r="CZ228" s="106" t="s">
        <v>327</v>
      </c>
      <c r="DA228" s="107" t="s">
        <v>152</v>
      </c>
      <c r="DB228" s="108" t="s">
        <v>153</v>
      </c>
      <c r="DC228" s="109" t="s">
        <v>328</v>
      </c>
      <c r="DD228" s="110" t="s">
        <v>329</v>
      </c>
      <c r="DE228" s="111" t="s">
        <v>2730</v>
      </c>
      <c r="DF228" s="112" t="s">
        <v>157</v>
      </c>
      <c r="DG228" s="113">
        <v>2013</v>
      </c>
      <c r="DH228" s="114" t="s">
        <v>2731</v>
      </c>
      <c r="DI228" s="227" t="str">
        <f>HYPERLINK("https://my.pitchbook.com?c=78909-31T", "View company online")</f>
        <v>View company online</v>
      </c>
    </row>
    <row r="229" spans="1:113" x14ac:dyDescent="0.2">
      <c r="A229" s="115" t="s">
        <v>2732</v>
      </c>
      <c r="B229" s="116" t="s">
        <v>2719</v>
      </c>
      <c r="C229" s="117" t="s">
        <v>2720</v>
      </c>
      <c r="D229" s="118" t="s">
        <v>2721</v>
      </c>
      <c r="E229" s="119" t="s">
        <v>2722</v>
      </c>
      <c r="F229" s="120" t="s">
        <v>126</v>
      </c>
      <c r="G229" s="121" t="s">
        <v>127</v>
      </c>
      <c r="H229" s="122" t="s">
        <v>128</v>
      </c>
      <c r="I229" s="123" t="s">
        <v>129</v>
      </c>
      <c r="J229" s="124" t="s">
        <v>130</v>
      </c>
      <c r="K229" s="125" t="s">
        <v>2723</v>
      </c>
      <c r="L229" s="126" t="s">
        <v>132</v>
      </c>
      <c r="M229" s="127" t="s">
        <v>133</v>
      </c>
      <c r="N229" s="128" t="s">
        <v>170</v>
      </c>
      <c r="O229" s="129" t="s">
        <v>2724</v>
      </c>
      <c r="P229" s="130" t="s">
        <v>2725</v>
      </c>
      <c r="Q229" s="131" t="s">
        <v>141</v>
      </c>
      <c r="R229" s="132" t="s">
        <v>141</v>
      </c>
      <c r="S229" s="133" t="s">
        <v>2726</v>
      </c>
      <c r="T229" s="134" t="s">
        <v>141</v>
      </c>
      <c r="U229" s="135">
        <v>2</v>
      </c>
      <c r="V229" s="136" t="s">
        <v>2732</v>
      </c>
      <c r="W229" s="137" t="s">
        <v>141</v>
      </c>
      <c r="X229" s="138">
        <v>42523</v>
      </c>
      <c r="Y229" s="139">
        <v>3</v>
      </c>
      <c r="Z229" s="140" t="s">
        <v>887</v>
      </c>
      <c r="AA229" s="141">
        <v>5</v>
      </c>
      <c r="AB229" s="142">
        <v>8</v>
      </c>
      <c r="AC229" s="143" t="s">
        <v>177</v>
      </c>
      <c r="AD229" s="144">
        <v>37.5</v>
      </c>
      <c r="AE229" s="145">
        <v>3.45</v>
      </c>
      <c r="AF229" s="146" t="s">
        <v>1582</v>
      </c>
      <c r="AG229" s="147" t="s">
        <v>141</v>
      </c>
      <c r="AH229" s="148">
        <v>0.4</v>
      </c>
      <c r="AI229" s="149" t="s">
        <v>141</v>
      </c>
      <c r="AJ229" s="150" t="s">
        <v>2622</v>
      </c>
      <c r="AK229" s="151" t="s">
        <v>2622</v>
      </c>
      <c r="AL229" s="152" t="s">
        <v>141</v>
      </c>
      <c r="AM229" s="153" t="s">
        <v>170</v>
      </c>
      <c r="AN229" s="154" t="s">
        <v>2722</v>
      </c>
      <c r="AO229" s="155">
        <v>3</v>
      </c>
      <c r="AP229" s="156" t="s">
        <v>145</v>
      </c>
      <c r="AQ229" s="157" t="s">
        <v>141</v>
      </c>
      <c r="AR229" s="158" t="s">
        <v>141</v>
      </c>
      <c r="AS229" s="159" t="s">
        <v>141</v>
      </c>
      <c r="AT229" s="160" t="s">
        <v>141</v>
      </c>
      <c r="AU229" s="161" t="s">
        <v>141</v>
      </c>
      <c r="AV229" s="162" t="s">
        <v>141</v>
      </c>
      <c r="AW229" s="163" t="s">
        <v>141</v>
      </c>
      <c r="AX229" s="164" t="s">
        <v>141</v>
      </c>
      <c r="AY229" s="165" t="s">
        <v>141</v>
      </c>
      <c r="AZ229" s="166" t="s">
        <v>141</v>
      </c>
      <c r="BA229" s="167" t="s">
        <v>146</v>
      </c>
      <c r="BB229" s="168" t="s">
        <v>133</v>
      </c>
      <c r="BC229" s="169" t="s">
        <v>132</v>
      </c>
      <c r="BD229" s="170" t="s">
        <v>141</v>
      </c>
      <c r="BE229" s="171">
        <v>1</v>
      </c>
      <c r="BF229" s="172" t="s">
        <v>2733</v>
      </c>
      <c r="BG229" s="173">
        <v>1</v>
      </c>
      <c r="BH229" s="174" t="s">
        <v>141</v>
      </c>
      <c r="BI229" s="175" t="s">
        <v>141</v>
      </c>
      <c r="BJ229" s="176" t="s">
        <v>141</v>
      </c>
      <c r="BK229" s="177" t="s">
        <v>2734</v>
      </c>
      <c r="BL229" s="178" t="s">
        <v>2733</v>
      </c>
      <c r="BM229" s="179" t="s">
        <v>2733</v>
      </c>
      <c r="BN229" s="180" t="s">
        <v>2735</v>
      </c>
      <c r="BO229" s="181" t="s">
        <v>141</v>
      </c>
      <c r="BP229" s="182" t="s">
        <v>141</v>
      </c>
      <c r="BQ229" s="183" t="s">
        <v>141</v>
      </c>
      <c r="BR229" s="184" t="s">
        <v>141</v>
      </c>
      <c r="BS229" s="185" t="s">
        <v>141</v>
      </c>
      <c r="BT229" s="186" t="s">
        <v>141</v>
      </c>
      <c r="BU229" s="187" t="s">
        <v>141</v>
      </c>
      <c r="BV229" s="188" t="s">
        <v>141</v>
      </c>
      <c r="BW229" s="189" t="s">
        <v>141</v>
      </c>
      <c r="BX229" s="190" t="s">
        <v>141</v>
      </c>
      <c r="BY229" s="191" t="s">
        <v>141</v>
      </c>
      <c r="BZ229" s="192" t="s">
        <v>141</v>
      </c>
      <c r="CA229" s="193" t="s">
        <v>141</v>
      </c>
      <c r="CB229" s="194" t="s">
        <v>141</v>
      </c>
      <c r="CC229" s="195" t="s">
        <v>141</v>
      </c>
      <c r="CD229" s="196" t="s">
        <v>141</v>
      </c>
      <c r="CE229" s="197" t="s">
        <v>141</v>
      </c>
      <c r="CF229" s="198" t="s">
        <v>141</v>
      </c>
      <c r="CG229" s="199" t="s">
        <v>141</v>
      </c>
      <c r="CH229" s="200" t="s">
        <v>141</v>
      </c>
      <c r="CI229" s="201" t="s">
        <v>141</v>
      </c>
      <c r="CJ229" s="202" t="s">
        <v>141</v>
      </c>
      <c r="CK229" s="203" t="s">
        <v>141</v>
      </c>
      <c r="CL229" s="204" t="s">
        <v>141</v>
      </c>
      <c r="CM229" s="205" t="s">
        <v>141</v>
      </c>
      <c r="CN229" s="206" t="s">
        <v>141</v>
      </c>
      <c r="CO229" s="207" t="s">
        <v>141</v>
      </c>
      <c r="CP229" s="208" t="s">
        <v>141</v>
      </c>
      <c r="CQ229" s="209" t="s">
        <v>141</v>
      </c>
      <c r="CR229" s="210" t="s">
        <v>141</v>
      </c>
      <c r="CS229" s="211" t="s">
        <v>141</v>
      </c>
      <c r="CT229" s="212" t="s">
        <v>141</v>
      </c>
      <c r="CU229" s="213" t="s">
        <v>141</v>
      </c>
      <c r="CV229" s="214" t="s">
        <v>141</v>
      </c>
      <c r="CW229" s="215" t="s">
        <v>141</v>
      </c>
      <c r="CX229" s="216" t="s">
        <v>141</v>
      </c>
      <c r="CY229" s="217" t="s">
        <v>150</v>
      </c>
      <c r="CZ229" s="218" t="s">
        <v>327</v>
      </c>
      <c r="DA229" s="219" t="s">
        <v>152</v>
      </c>
      <c r="DB229" s="220" t="s">
        <v>153</v>
      </c>
      <c r="DC229" s="221" t="s">
        <v>328</v>
      </c>
      <c r="DD229" s="222" t="s">
        <v>329</v>
      </c>
      <c r="DE229" s="223" t="s">
        <v>2730</v>
      </c>
      <c r="DF229" s="224" t="s">
        <v>157</v>
      </c>
      <c r="DG229" s="225">
        <v>2013</v>
      </c>
      <c r="DH229" s="226" t="s">
        <v>2731</v>
      </c>
      <c r="DI229" s="228" t="str">
        <f>HYPERLINK("https://my.pitchbook.com?c=78909-40T", "View company online")</f>
        <v>View company online</v>
      </c>
    </row>
    <row r="230" spans="1:113" x14ac:dyDescent="0.2">
      <c r="A230" s="3" t="s">
        <v>2736</v>
      </c>
      <c r="B230" s="4" t="s">
        <v>396</v>
      </c>
      <c r="C230" s="5" t="s">
        <v>397</v>
      </c>
      <c r="D230" s="6" t="s">
        <v>398</v>
      </c>
      <c r="E230" s="7" t="s">
        <v>399</v>
      </c>
      <c r="F230" s="8" t="s">
        <v>164</v>
      </c>
      <c r="G230" s="9" t="s">
        <v>165</v>
      </c>
      <c r="H230" s="10" t="s">
        <v>190</v>
      </c>
      <c r="I230" s="11" t="s">
        <v>229</v>
      </c>
      <c r="J230" s="12" t="s">
        <v>400</v>
      </c>
      <c r="K230" s="13" t="s">
        <v>401</v>
      </c>
      <c r="L230" s="14" t="s">
        <v>402</v>
      </c>
      <c r="M230" s="15" t="s">
        <v>133</v>
      </c>
      <c r="N230" s="16" t="s">
        <v>231</v>
      </c>
      <c r="O230" s="17" t="s">
        <v>403</v>
      </c>
      <c r="P230" s="18" t="s">
        <v>404</v>
      </c>
      <c r="Q230" s="19" t="s">
        <v>141</v>
      </c>
      <c r="R230" s="20" t="s">
        <v>141</v>
      </c>
      <c r="S230" s="21" t="s">
        <v>405</v>
      </c>
      <c r="T230" s="22" t="s">
        <v>141</v>
      </c>
      <c r="U230" s="23">
        <v>1</v>
      </c>
      <c r="V230" s="24" t="s">
        <v>2736</v>
      </c>
      <c r="W230" s="25">
        <v>42064</v>
      </c>
      <c r="X230" s="26">
        <v>42339</v>
      </c>
      <c r="Y230" s="27">
        <v>0.65</v>
      </c>
      <c r="Z230" s="28" t="s">
        <v>177</v>
      </c>
      <c r="AA230" s="29">
        <v>3</v>
      </c>
      <c r="AB230" s="30">
        <v>3.65</v>
      </c>
      <c r="AC230" s="31" t="s">
        <v>141</v>
      </c>
      <c r="AD230" s="32">
        <v>5</v>
      </c>
      <c r="AE230" s="33">
        <v>0.65</v>
      </c>
      <c r="AF230" s="34" t="s">
        <v>1571</v>
      </c>
      <c r="AG230" s="35" t="s">
        <v>141</v>
      </c>
      <c r="AH230" s="36" t="s">
        <v>141</v>
      </c>
      <c r="AI230" s="37" t="s">
        <v>141</v>
      </c>
      <c r="AJ230" s="38" t="s">
        <v>2622</v>
      </c>
      <c r="AK230" s="39" t="s">
        <v>2622</v>
      </c>
      <c r="AL230" s="40" t="s">
        <v>141</v>
      </c>
      <c r="AM230" s="41" t="s">
        <v>485</v>
      </c>
      <c r="AN230" s="42" t="s">
        <v>2737</v>
      </c>
      <c r="AO230" s="43">
        <v>0.15</v>
      </c>
      <c r="AP230" s="44" t="s">
        <v>145</v>
      </c>
      <c r="AQ230" s="45" t="s">
        <v>141</v>
      </c>
      <c r="AR230" s="46" t="s">
        <v>141</v>
      </c>
      <c r="AS230" s="47" t="s">
        <v>281</v>
      </c>
      <c r="AT230" s="48" t="s">
        <v>141</v>
      </c>
      <c r="AU230" s="49" t="s">
        <v>141</v>
      </c>
      <c r="AV230" s="50">
        <v>0.5</v>
      </c>
      <c r="AW230" s="51" t="s">
        <v>141</v>
      </c>
      <c r="AX230" s="52" t="s">
        <v>141</v>
      </c>
      <c r="AY230" s="53">
        <v>0.5</v>
      </c>
      <c r="AZ230" s="54" t="s">
        <v>141</v>
      </c>
      <c r="BA230" s="55" t="s">
        <v>146</v>
      </c>
      <c r="BB230" s="56" t="s">
        <v>133</v>
      </c>
      <c r="BC230" s="57" t="s">
        <v>402</v>
      </c>
      <c r="BD230" s="58" t="s">
        <v>141</v>
      </c>
      <c r="BE230" s="59">
        <v>1</v>
      </c>
      <c r="BF230" s="60" t="s">
        <v>2738</v>
      </c>
      <c r="BG230" s="61">
        <v>1</v>
      </c>
      <c r="BH230" s="62" t="s">
        <v>141</v>
      </c>
      <c r="BI230" s="63" t="s">
        <v>141</v>
      </c>
      <c r="BJ230" s="64" t="s">
        <v>141</v>
      </c>
      <c r="BK230" s="65" t="s">
        <v>141</v>
      </c>
      <c r="BL230" s="66" t="s">
        <v>2739</v>
      </c>
      <c r="BM230" s="67" t="s">
        <v>2739</v>
      </c>
      <c r="BN230" s="68" t="s">
        <v>141</v>
      </c>
      <c r="BO230" s="69" t="s">
        <v>141</v>
      </c>
      <c r="BP230" s="70" t="s">
        <v>141</v>
      </c>
      <c r="BQ230" s="71" t="s">
        <v>141</v>
      </c>
      <c r="BR230" s="72" t="s">
        <v>141</v>
      </c>
      <c r="BS230" s="73" t="s">
        <v>141</v>
      </c>
      <c r="BT230" s="74" t="s">
        <v>141</v>
      </c>
      <c r="BU230" s="75" t="s">
        <v>141</v>
      </c>
      <c r="BV230" s="76" t="s">
        <v>141</v>
      </c>
      <c r="BW230" s="77" t="s">
        <v>141</v>
      </c>
      <c r="BX230" s="78">
        <v>0.05</v>
      </c>
      <c r="BY230" s="79" t="s">
        <v>141</v>
      </c>
      <c r="BZ230" s="80" t="s">
        <v>141</v>
      </c>
      <c r="CA230" s="81" t="s">
        <v>141</v>
      </c>
      <c r="CB230" s="82" t="s">
        <v>141</v>
      </c>
      <c r="CC230" s="83" t="s">
        <v>141</v>
      </c>
      <c r="CD230" s="84" t="s">
        <v>141</v>
      </c>
      <c r="CE230" s="85">
        <v>2015</v>
      </c>
      <c r="CF230" s="86" t="s">
        <v>141</v>
      </c>
      <c r="CG230" s="87" t="s">
        <v>141</v>
      </c>
      <c r="CH230" s="88" t="s">
        <v>141</v>
      </c>
      <c r="CI230" s="89">
        <v>73</v>
      </c>
      <c r="CJ230" s="90" t="s">
        <v>141</v>
      </c>
      <c r="CK230" s="91" t="s">
        <v>141</v>
      </c>
      <c r="CL230" s="92" t="s">
        <v>141</v>
      </c>
      <c r="CM230" s="93" t="s">
        <v>141</v>
      </c>
      <c r="CN230" s="94">
        <v>13</v>
      </c>
      <c r="CO230" s="95" t="s">
        <v>141</v>
      </c>
      <c r="CP230" s="96" t="s">
        <v>141</v>
      </c>
      <c r="CQ230" s="97">
        <v>3.33</v>
      </c>
      <c r="CR230" s="98" t="s">
        <v>141</v>
      </c>
      <c r="CS230" s="99" t="s">
        <v>141</v>
      </c>
      <c r="CT230" s="100" t="s">
        <v>141</v>
      </c>
      <c r="CU230" s="101" t="s">
        <v>141</v>
      </c>
      <c r="CV230" s="102" t="s">
        <v>141</v>
      </c>
      <c r="CW230" s="103" t="s">
        <v>141</v>
      </c>
      <c r="CX230" s="104" t="s">
        <v>141</v>
      </c>
      <c r="CY230" s="105" t="s">
        <v>150</v>
      </c>
      <c r="CZ230" s="106" t="s">
        <v>409</v>
      </c>
      <c r="DA230" s="107" t="s">
        <v>152</v>
      </c>
      <c r="DB230" s="108" t="s">
        <v>153</v>
      </c>
      <c r="DC230" s="109" t="s">
        <v>410</v>
      </c>
      <c r="DD230" s="110" t="s">
        <v>182</v>
      </c>
      <c r="DE230" s="111" t="s">
        <v>411</v>
      </c>
      <c r="DF230" s="112" t="s">
        <v>157</v>
      </c>
      <c r="DG230" s="113">
        <v>2015</v>
      </c>
      <c r="DH230" s="114" t="s">
        <v>412</v>
      </c>
      <c r="DI230" s="227" t="str">
        <f>HYPERLINK("https://my.pitchbook.com?c=79117-75T", "View company online")</f>
        <v>View company online</v>
      </c>
    </row>
    <row r="231" spans="1:113" x14ac:dyDescent="0.2">
      <c r="A231" s="115" t="s">
        <v>2740</v>
      </c>
      <c r="B231" s="116" t="s">
        <v>1789</v>
      </c>
      <c r="C231" s="117" t="s">
        <v>1790</v>
      </c>
      <c r="D231" s="118" t="s">
        <v>1791</v>
      </c>
      <c r="E231" s="119" t="s">
        <v>1792</v>
      </c>
      <c r="F231" s="120" t="s">
        <v>126</v>
      </c>
      <c r="G231" s="121" t="s">
        <v>456</v>
      </c>
      <c r="H231" s="122" t="s">
        <v>457</v>
      </c>
      <c r="I231" s="123" t="s">
        <v>1793</v>
      </c>
      <c r="J231" s="124" t="s">
        <v>1794</v>
      </c>
      <c r="K231" s="125" t="s">
        <v>1795</v>
      </c>
      <c r="L231" s="126" t="s">
        <v>132</v>
      </c>
      <c r="M231" s="127" t="s">
        <v>133</v>
      </c>
      <c r="N231" s="128" t="s">
        <v>134</v>
      </c>
      <c r="O231" s="129" t="s">
        <v>1796</v>
      </c>
      <c r="P231" s="130" t="s">
        <v>1797</v>
      </c>
      <c r="Q231" s="131" t="s">
        <v>1798</v>
      </c>
      <c r="R231" s="132" t="s">
        <v>1799</v>
      </c>
      <c r="S231" s="133" t="s">
        <v>1800</v>
      </c>
      <c r="T231" s="134" t="s">
        <v>141</v>
      </c>
      <c r="U231" s="135">
        <v>1</v>
      </c>
      <c r="V231" s="136" t="s">
        <v>2740</v>
      </c>
      <c r="W231" s="137" t="s">
        <v>141</v>
      </c>
      <c r="X231" s="138" t="s">
        <v>141</v>
      </c>
      <c r="Y231" s="139" t="s">
        <v>141</v>
      </c>
      <c r="Z231" s="140" t="s">
        <v>141</v>
      </c>
      <c r="AA231" s="141" t="s">
        <v>141</v>
      </c>
      <c r="AB231" s="142" t="s">
        <v>141</v>
      </c>
      <c r="AC231" s="143" t="s">
        <v>141</v>
      </c>
      <c r="AD231" s="144" t="s">
        <v>141</v>
      </c>
      <c r="AE231" s="145" t="s">
        <v>141</v>
      </c>
      <c r="AF231" s="146" t="s">
        <v>1571</v>
      </c>
      <c r="AG231" s="147" t="s">
        <v>141</v>
      </c>
      <c r="AH231" s="148" t="s">
        <v>141</v>
      </c>
      <c r="AI231" s="149" t="s">
        <v>141</v>
      </c>
      <c r="AJ231" s="150" t="s">
        <v>2622</v>
      </c>
      <c r="AK231" s="151" t="s">
        <v>2622</v>
      </c>
      <c r="AL231" s="152" t="s">
        <v>141</v>
      </c>
      <c r="AM231" s="153" t="s">
        <v>170</v>
      </c>
      <c r="AN231" s="154" t="s">
        <v>2741</v>
      </c>
      <c r="AO231" s="155" t="s">
        <v>141</v>
      </c>
      <c r="AP231" s="156" t="s">
        <v>145</v>
      </c>
      <c r="AQ231" s="157" t="s">
        <v>141</v>
      </c>
      <c r="AR231" s="158" t="s">
        <v>141</v>
      </c>
      <c r="AS231" s="159" t="s">
        <v>141</v>
      </c>
      <c r="AT231" s="160" t="s">
        <v>141</v>
      </c>
      <c r="AU231" s="161" t="s">
        <v>141</v>
      </c>
      <c r="AV231" s="162" t="s">
        <v>141</v>
      </c>
      <c r="AW231" s="163" t="s">
        <v>141</v>
      </c>
      <c r="AX231" s="164" t="s">
        <v>141</v>
      </c>
      <c r="AY231" s="165" t="s">
        <v>141</v>
      </c>
      <c r="AZ231" s="166" t="s">
        <v>141</v>
      </c>
      <c r="BA231" s="167" t="s">
        <v>146</v>
      </c>
      <c r="BB231" s="168" t="s">
        <v>263</v>
      </c>
      <c r="BC231" s="169" t="s">
        <v>132</v>
      </c>
      <c r="BD231" s="170" t="s">
        <v>141</v>
      </c>
      <c r="BE231" s="171">
        <v>2</v>
      </c>
      <c r="BF231" s="172" t="s">
        <v>2742</v>
      </c>
      <c r="BG231" s="173">
        <v>2</v>
      </c>
      <c r="BH231" s="174" t="s">
        <v>141</v>
      </c>
      <c r="BI231" s="175" t="s">
        <v>141</v>
      </c>
      <c r="BJ231" s="176" t="s">
        <v>141</v>
      </c>
      <c r="BK231" s="177" t="s">
        <v>2743</v>
      </c>
      <c r="BL231" s="178" t="s">
        <v>2742</v>
      </c>
      <c r="BM231" s="179" t="s">
        <v>141</v>
      </c>
      <c r="BN231" s="180" t="s">
        <v>141</v>
      </c>
      <c r="BO231" s="181" t="s">
        <v>141</v>
      </c>
      <c r="BP231" s="182" t="s">
        <v>141</v>
      </c>
      <c r="BQ231" s="183" t="s">
        <v>141</v>
      </c>
      <c r="BR231" s="184" t="s">
        <v>141</v>
      </c>
      <c r="BS231" s="185" t="s">
        <v>141</v>
      </c>
      <c r="BT231" s="186" t="s">
        <v>141</v>
      </c>
      <c r="BU231" s="187" t="s">
        <v>141</v>
      </c>
      <c r="BV231" s="188" t="s">
        <v>141</v>
      </c>
      <c r="BW231" s="189" t="s">
        <v>141</v>
      </c>
      <c r="BX231" s="190" t="s">
        <v>141</v>
      </c>
      <c r="BY231" s="191" t="s">
        <v>141</v>
      </c>
      <c r="BZ231" s="192" t="s">
        <v>141</v>
      </c>
      <c r="CA231" s="193" t="s">
        <v>141</v>
      </c>
      <c r="CB231" s="194" t="s">
        <v>141</v>
      </c>
      <c r="CC231" s="195" t="s">
        <v>141</v>
      </c>
      <c r="CD231" s="196" t="s">
        <v>141</v>
      </c>
      <c r="CE231" s="197" t="s">
        <v>141</v>
      </c>
      <c r="CF231" s="198" t="s">
        <v>141</v>
      </c>
      <c r="CG231" s="199" t="s">
        <v>141</v>
      </c>
      <c r="CH231" s="200" t="s">
        <v>141</v>
      </c>
      <c r="CI231" s="201" t="s">
        <v>141</v>
      </c>
      <c r="CJ231" s="202" t="s">
        <v>141</v>
      </c>
      <c r="CK231" s="203" t="s">
        <v>141</v>
      </c>
      <c r="CL231" s="204" t="s">
        <v>141</v>
      </c>
      <c r="CM231" s="205" t="s">
        <v>141</v>
      </c>
      <c r="CN231" s="206" t="s">
        <v>141</v>
      </c>
      <c r="CO231" s="207" t="s">
        <v>141</v>
      </c>
      <c r="CP231" s="208" t="s">
        <v>141</v>
      </c>
      <c r="CQ231" s="209" t="s">
        <v>141</v>
      </c>
      <c r="CR231" s="210" t="s">
        <v>141</v>
      </c>
      <c r="CS231" s="211" t="s">
        <v>141</v>
      </c>
      <c r="CT231" s="212" t="s">
        <v>141</v>
      </c>
      <c r="CU231" s="213" t="s">
        <v>141</v>
      </c>
      <c r="CV231" s="214" t="s">
        <v>141</v>
      </c>
      <c r="CW231" s="215" t="s">
        <v>141</v>
      </c>
      <c r="CX231" s="216" t="s">
        <v>141</v>
      </c>
      <c r="CY231" s="217" t="s">
        <v>150</v>
      </c>
      <c r="CZ231" s="218" t="s">
        <v>200</v>
      </c>
      <c r="DA231" s="219" t="s">
        <v>152</v>
      </c>
      <c r="DB231" s="220" t="s">
        <v>153</v>
      </c>
      <c r="DC231" s="221" t="s">
        <v>201</v>
      </c>
      <c r="DD231" s="222" t="s">
        <v>201</v>
      </c>
      <c r="DE231" s="223" t="s">
        <v>1804</v>
      </c>
      <c r="DF231" s="224" t="s">
        <v>157</v>
      </c>
      <c r="DG231" s="225">
        <v>2015</v>
      </c>
      <c r="DH231" s="226" t="s">
        <v>1805</v>
      </c>
      <c r="DI231" s="228" t="str">
        <f>HYPERLINK("https://my.pitchbook.com?c=96558-85T", "View company online")</f>
        <v>View company online</v>
      </c>
    </row>
    <row r="232" spans="1:113" x14ac:dyDescent="0.2">
      <c r="A232" s="3" t="s">
        <v>2744</v>
      </c>
      <c r="B232" s="4" t="s">
        <v>414</v>
      </c>
      <c r="C232" s="5" t="s">
        <v>415</v>
      </c>
      <c r="D232" s="6" t="s">
        <v>416</v>
      </c>
      <c r="E232" s="7" t="s">
        <v>417</v>
      </c>
      <c r="F232" s="8" t="s">
        <v>164</v>
      </c>
      <c r="G232" s="9" t="s">
        <v>165</v>
      </c>
      <c r="H232" s="10" t="s">
        <v>418</v>
      </c>
      <c r="I232" s="11" t="s">
        <v>419</v>
      </c>
      <c r="J232" s="12" t="s">
        <v>211</v>
      </c>
      <c r="K232" s="13" t="s">
        <v>420</v>
      </c>
      <c r="L232" s="14" t="s">
        <v>345</v>
      </c>
      <c r="M232" s="15" t="s">
        <v>133</v>
      </c>
      <c r="N232" s="16" t="s">
        <v>170</v>
      </c>
      <c r="O232" s="17" t="s">
        <v>421</v>
      </c>
      <c r="P232" s="18" t="s">
        <v>422</v>
      </c>
      <c r="Q232" s="19" t="s">
        <v>141</v>
      </c>
      <c r="R232" s="20" t="s">
        <v>423</v>
      </c>
      <c r="S232" s="21" t="s">
        <v>424</v>
      </c>
      <c r="T232" s="22" t="s">
        <v>425</v>
      </c>
      <c r="U232" s="23">
        <v>5</v>
      </c>
      <c r="V232" s="24" t="s">
        <v>2744</v>
      </c>
      <c r="W232" s="25">
        <v>41306</v>
      </c>
      <c r="X232" s="26">
        <v>41317</v>
      </c>
      <c r="Y232" s="27">
        <v>1.2</v>
      </c>
      <c r="Z232" s="28" t="s">
        <v>177</v>
      </c>
      <c r="AA232" s="29" t="s">
        <v>141</v>
      </c>
      <c r="AB232" s="30" t="s">
        <v>141</v>
      </c>
      <c r="AC232" s="31" t="s">
        <v>141</v>
      </c>
      <c r="AD232" s="32" t="s">
        <v>141</v>
      </c>
      <c r="AE232" s="33">
        <v>1.2</v>
      </c>
      <c r="AF232" s="34" t="s">
        <v>1571</v>
      </c>
      <c r="AG232" s="35" t="s">
        <v>141</v>
      </c>
      <c r="AH232" s="36" t="s">
        <v>141</v>
      </c>
      <c r="AI232" s="37" t="s">
        <v>141</v>
      </c>
      <c r="AJ232" s="38" t="s">
        <v>2622</v>
      </c>
      <c r="AK232" s="39" t="s">
        <v>2622</v>
      </c>
      <c r="AL232" s="40" t="s">
        <v>141</v>
      </c>
      <c r="AM232" s="41" t="s">
        <v>170</v>
      </c>
      <c r="AN232" s="42" t="s">
        <v>2745</v>
      </c>
      <c r="AO232" s="43">
        <v>1.2</v>
      </c>
      <c r="AP232" s="44" t="s">
        <v>145</v>
      </c>
      <c r="AQ232" s="45" t="s">
        <v>141</v>
      </c>
      <c r="AR232" s="46" t="s">
        <v>141</v>
      </c>
      <c r="AS232" s="47" t="s">
        <v>141</v>
      </c>
      <c r="AT232" s="48" t="s">
        <v>141</v>
      </c>
      <c r="AU232" s="49" t="s">
        <v>141</v>
      </c>
      <c r="AV232" s="50" t="s">
        <v>141</v>
      </c>
      <c r="AW232" s="51" t="s">
        <v>141</v>
      </c>
      <c r="AX232" s="52" t="s">
        <v>141</v>
      </c>
      <c r="AY232" s="53" t="s">
        <v>141</v>
      </c>
      <c r="AZ232" s="54" t="s">
        <v>141</v>
      </c>
      <c r="BA232" s="55" t="s">
        <v>146</v>
      </c>
      <c r="BB232" s="56" t="s">
        <v>263</v>
      </c>
      <c r="BC232" s="57" t="s">
        <v>132</v>
      </c>
      <c r="BD232" s="58" t="s">
        <v>141</v>
      </c>
      <c r="BE232" s="59">
        <v>6</v>
      </c>
      <c r="BF232" s="60" t="s">
        <v>2746</v>
      </c>
      <c r="BG232" s="61">
        <v>6</v>
      </c>
      <c r="BH232" s="62" t="s">
        <v>141</v>
      </c>
      <c r="BI232" s="63" t="s">
        <v>141</v>
      </c>
      <c r="BJ232" s="64" t="s">
        <v>141</v>
      </c>
      <c r="BK232" s="65" t="s">
        <v>2747</v>
      </c>
      <c r="BL232" s="66" t="s">
        <v>2748</v>
      </c>
      <c r="BM232" s="67" t="s">
        <v>141</v>
      </c>
      <c r="BN232" s="68" t="s">
        <v>2749</v>
      </c>
      <c r="BO232" s="69" t="s">
        <v>141</v>
      </c>
      <c r="BP232" s="70" t="s">
        <v>141</v>
      </c>
      <c r="BQ232" s="71" t="s">
        <v>141</v>
      </c>
      <c r="BR232" s="72" t="s">
        <v>141</v>
      </c>
      <c r="BS232" s="73" t="s">
        <v>141</v>
      </c>
      <c r="BT232" s="74" t="s">
        <v>141</v>
      </c>
      <c r="BU232" s="75" t="s">
        <v>141</v>
      </c>
      <c r="BV232" s="76" t="s">
        <v>141</v>
      </c>
      <c r="BW232" s="77" t="s">
        <v>141</v>
      </c>
      <c r="BX232" s="78" t="s">
        <v>141</v>
      </c>
      <c r="BY232" s="79" t="s">
        <v>141</v>
      </c>
      <c r="BZ232" s="80" t="s">
        <v>141</v>
      </c>
      <c r="CA232" s="81" t="s">
        <v>141</v>
      </c>
      <c r="CB232" s="82" t="s">
        <v>141</v>
      </c>
      <c r="CC232" s="83" t="s">
        <v>141</v>
      </c>
      <c r="CD232" s="84" t="s">
        <v>141</v>
      </c>
      <c r="CE232" s="85" t="s">
        <v>141</v>
      </c>
      <c r="CF232" s="86" t="s">
        <v>141</v>
      </c>
      <c r="CG232" s="87" t="s">
        <v>141</v>
      </c>
      <c r="CH232" s="88" t="s">
        <v>141</v>
      </c>
      <c r="CI232" s="89" t="s">
        <v>141</v>
      </c>
      <c r="CJ232" s="90" t="s">
        <v>141</v>
      </c>
      <c r="CK232" s="91" t="s">
        <v>141</v>
      </c>
      <c r="CL232" s="92" t="s">
        <v>141</v>
      </c>
      <c r="CM232" s="93" t="s">
        <v>141</v>
      </c>
      <c r="CN232" s="94" t="s">
        <v>141</v>
      </c>
      <c r="CO232" s="95" t="s">
        <v>141</v>
      </c>
      <c r="CP232" s="96" t="s">
        <v>141</v>
      </c>
      <c r="CQ232" s="97" t="s">
        <v>141</v>
      </c>
      <c r="CR232" s="98" t="s">
        <v>141</v>
      </c>
      <c r="CS232" s="99" t="s">
        <v>141</v>
      </c>
      <c r="CT232" s="100" t="s">
        <v>141</v>
      </c>
      <c r="CU232" s="101" t="s">
        <v>141</v>
      </c>
      <c r="CV232" s="102" t="s">
        <v>141</v>
      </c>
      <c r="CW232" s="103" t="s">
        <v>141</v>
      </c>
      <c r="CX232" s="104">
        <v>300</v>
      </c>
      <c r="CY232" s="105" t="s">
        <v>150</v>
      </c>
      <c r="CZ232" s="106" t="s">
        <v>240</v>
      </c>
      <c r="DA232" s="107" t="s">
        <v>152</v>
      </c>
      <c r="DB232" s="108" t="s">
        <v>153</v>
      </c>
      <c r="DC232" s="109" t="s">
        <v>241</v>
      </c>
      <c r="DD232" s="110" t="s">
        <v>242</v>
      </c>
      <c r="DE232" s="111" t="s">
        <v>283</v>
      </c>
      <c r="DF232" s="112" t="s">
        <v>157</v>
      </c>
      <c r="DG232" s="113">
        <v>2012</v>
      </c>
      <c r="DH232" s="114" t="s">
        <v>431</v>
      </c>
      <c r="DI232" s="227" t="str">
        <f>HYPERLINK("https://my.pitchbook.com?c=24924-70T", "View company online")</f>
        <v>View company online</v>
      </c>
    </row>
    <row r="233" spans="1:113" x14ac:dyDescent="0.2">
      <c r="A233" s="115" t="s">
        <v>2750</v>
      </c>
      <c r="B233" s="116" t="s">
        <v>414</v>
      </c>
      <c r="C233" s="117" t="s">
        <v>415</v>
      </c>
      <c r="D233" s="118" t="s">
        <v>416</v>
      </c>
      <c r="E233" s="119" t="s">
        <v>417</v>
      </c>
      <c r="F233" s="120" t="s">
        <v>164</v>
      </c>
      <c r="G233" s="121" t="s">
        <v>165</v>
      </c>
      <c r="H233" s="122" t="s">
        <v>418</v>
      </c>
      <c r="I233" s="123" t="s">
        <v>419</v>
      </c>
      <c r="J233" s="124" t="s">
        <v>211</v>
      </c>
      <c r="K233" s="125" t="s">
        <v>420</v>
      </c>
      <c r="L233" s="126" t="s">
        <v>345</v>
      </c>
      <c r="M233" s="127" t="s">
        <v>133</v>
      </c>
      <c r="N233" s="128" t="s">
        <v>170</v>
      </c>
      <c r="O233" s="129" t="s">
        <v>421</v>
      </c>
      <c r="P233" s="130" t="s">
        <v>422</v>
      </c>
      <c r="Q233" s="131" t="s">
        <v>141</v>
      </c>
      <c r="R233" s="132" t="s">
        <v>423</v>
      </c>
      <c r="S233" s="133" t="s">
        <v>424</v>
      </c>
      <c r="T233" s="134" t="s">
        <v>425</v>
      </c>
      <c r="U233" s="135">
        <v>6</v>
      </c>
      <c r="V233" s="136" t="s">
        <v>2750</v>
      </c>
      <c r="W233" s="137" t="s">
        <v>141</v>
      </c>
      <c r="X233" s="138">
        <v>41585</v>
      </c>
      <c r="Y233" s="139">
        <v>0.66</v>
      </c>
      <c r="Z233" s="140" t="s">
        <v>177</v>
      </c>
      <c r="AA233" s="141">
        <v>2.1</v>
      </c>
      <c r="AB233" s="142">
        <v>2.76</v>
      </c>
      <c r="AC233" s="143" t="s">
        <v>177</v>
      </c>
      <c r="AD233" s="144">
        <v>23.9</v>
      </c>
      <c r="AE233" s="145">
        <v>1.86</v>
      </c>
      <c r="AF233" s="146" t="s">
        <v>1582</v>
      </c>
      <c r="AG233" s="147" t="s">
        <v>141</v>
      </c>
      <c r="AH233" s="148">
        <v>0.2</v>
      </c>
      <c r="AI233" s="149" t="s">
        <v>141</v>
      </c>
      <c r="AJ233" s="150" t="s">
        <v>2622</v>
      </c>
      <c r="AK233" s="151" t="s">
        <v>2622</v>
      </c>
      <c r="AL233" s="152" t="s">
        <v>141</v>
      </c>
      <c r="AM233" s="153" t="s">
        <v>170</v>
      </c>
      <c r="AN233" s="154" t="s">
        <v>2751</v>
      </c>
      <c r="AO233" s="155">
        <v>0.66</v>
      </c>
      <c r="AP233" s="156" t="s">
        <v>145</v>
      </c>
      <c r="AQ233" s="157" t="s">
        <v>141</v>
      </c>
      <c r="AR233" s="158" t="s">
        <v>141</v>
      </c>
      <c r="AS233" s="159" t="s">
        <v>141</v>
      </c>
      <c r="AT233" s="160" t="s">
        <v>141</v>
      </c>
      <c r="AU233" s="161" t="s">
        <v>141</v>
      </c>
      <c r="AV233" s="162" t="s">
        <v>141</v>
      </c>
      <c r="AW233" s="163" t="s">
        <v>141</v>
      </c>
      <c r="AX233" s="164" t="s">
        <v>141</v>
      </c>
      <c r="AY233" s="165" t="s">
        <v>141</v>
      </c>
      <c r="AZ233" s="166" t="s">
        <v>141</v>
      </c>
      <c r="BA233" s="167" t="s">
        <v>146</v>
      </c>
      <c r="BB233" s="168" t="s">
        <v>263</v>
      </c>
      <c r="BC233" s="169" t="s">
        <v>132</v>
      </c>
      <c r="BD233" s="170" t="s">
        <v>141</v>
      </c>
      <c r="BE233" s="171">
        <v>1</v>
      </c>
      <c r="BF233" s="172" t="s">
        <v>141</v>
      </c>
      <c r="BG233" s="173" t="s">
        <v>141</v>
      </c>
      <c r="BH233" s="174" t="s">
        <v>1839</v>
      </c>
      <c r="BI233" s="175">
        <v>1</v>
      </c>
      <c r="BJ233" s="176" t="s">
        <v>141</v>
      </c>
      <c r="BK233" s="177" t="s">
        <v>2752</v>
      </c>
      <c r="BL233" s="178" t="s">
        <v>2753</v>
      </c>
      <c r="BM233" s="179" t="s">
        <v>2753</v>
      </c>
      <c r="BN233" s="180" t="s">
        <v>2754</v>
      </c>
      <c r="BO233" s="181" t="s">
        <v>141</v>
      </c>
      <c r="BP233" s="182" t="s">
        <v>141</v>
      </c>
      <c r="BQ233" s="183" t="s">
        <v>141</v>
      </c>
      <c r="BR233" s="184" t="s">
        <v>141</v>
      </c>
      <c r="BS233" s="185" t="s">
        <v>141</v>
      </c>
      <c r="BT233" s="186" t="s">
        <v>141</v>
      </c>
      <c r="BU233" s="187" t="s">
        <v>141</v>
      </c>
      <c r="BV233" s="188" t="s">
        <v>141</v>
      </c>
      <c r="BW233" s="189" t="s">
        <v>141</v>
      </c>
      <c r="BX233" s="190" t="s">
        <v>141</v>
      </c>
      <c r="BY233" s="191" t="s">
        <v>141</v>
      </c>
      <c r="BZ233" s="192" t="s">
        <v>141</v>
      </c>
      <c r="CA233" s="193" t="s">
        <v>141</v>
      </c>
      <c r="CB233" s="194" t="s">
        <v>141</v>
      </c>
      <c r="CC233" s="195" t="s">
        <v>141</v>
      </c>
      <c r="CD233" s="196" t="s">
        <v>141</v>
      </c>
      <c r="CE233" s="197" t="s">
        <v>141</v>
      </c>
      <c r="CF233" s="198" t="s">
        <v>141</v>
      </c>
      <c r="CG233" s="199" t="s">
        <v>141</v>
      </c>
      <c r="CH233" s="200" t="s">
        <v>141</v>
      </c>
      <c r="CI233" s="201" t="s">
        <v>141</v>
      </c>
      <c r="CJ233" s="202" t="s">
        <v>141</v>
      </c>
      <c r="CK233" s="203" t="s">
        <v>141</v>
      </c>
      <c r="CL233" s="204" t="s">
        <v>141</v>
      </c>
      <c r="CM233" s="205" t="s">
        <v>141</v>
      </c>
      <c r="CN233" s="206" t="s">
        <v>141</v>
      </c>
      <c r="CO233" s="207" t="s">
        <v>141</v>
      </c>
      <c r="CP233" s="208" t="s">
        <v>141</v>
      </c>
      <c r="CQ233" s="209" t="s">
        <v>141</v>
      </c>
      <c r="CR233" s="210" t="s">
        <v>141</v>
      </c>
      <c r="CS233" s="211" t="s">
        <v>141</v>
      </c>
      <c r="CT233" s="212" t="s">
        <v>141</v>
      </c>
      <c r="CU233" s="213" t="s">
        <v>141</v>
      </c>
      <c r="CV233" s="214" t="s">
        <v>141</v>
      </c>
      <c r="CW233" s="215" t="s">
        <v>141</v>
      </c>
      <c r="CX233" s="216">
        <v>300</v>
      </c>
      <c r="CY233" s="217" t="s">
        <v>150</v>
      </c>
      <c r="CZ233" s="218" t="s">
        <v>240</v>
      </c>
      <c r="DA233" s="219" t="s">
        <v>152</v>
      </c>
      <c r="DB233" s="220" t="s">
        <v>153</v>
      </c>
      <c r="DC233" s="221" t="s">
        <v>241</v>
      </c>
      <c r="DD233" s="222" t="s">
        <v>242</v>
      </c>
      <c r="DE233" s="223" t="s">
        <v>283</v>
      </c>
      <c r="DF233" s="224" t="s">
        <v>157</v>
      </c>
      <c r="DG233" s="225">
        <v>2012</v>
      </c>
      <c r="DH233" s="226" t="s">
        <v>431</v>
      </c>
      <c r="DI233" s="228" t="str">
        <f>HYPERLINK("https://my.pitchbook.com?c=34777-45T", "View company online")</f>
        <v>View company online</v>
      </c>
    </row>
    <row r="234" spans="1:113" x14ac:dyDescent="0.2">
      <c r="A234" s="3" t="s">
        <v>2755</v>
      </c>
      <c r="B234" s="4" t="s">
        <v>414</v>
      </c>
      <c r="C234" s="5" t="s">
        <v>415</v>
      </c>
      <c r="D234" s="6" t="s">
        <v>416</v>
      </c>
      <c r="E234" s="7" t="s">
        <v>417</v>
      </c>
      <c r="F234" s="8" t="s">
        <v>164</v>
      </c>
      <c r="G234" s="9" t="s">
        <v>165</v>
      </c>
      <c r="H234" s="10" t="s">
        <v>418</v>
      </c>
      <c r="I234" s="11" t="s">
        <v>419</v>
      </c>
      <c r="J234" s="12" t="s">
        <v>211</v>
      </c>
      <c r="K234" s="13" t="s">
        <v>420</v>
      </c>
      <c r="L234" s="14" t="s">
        <v>345</v>
      </c>
      <c r="M234" s="15" t="s">
        <v>133</v>
      </c>
      <c r="N234" s="16" t="s">
        <v>170</v>
      </c>
      <c r="O234" s="17" t="s">
        <v>421</v>
      </c>
      <c r="P234" s="18" t="s">
        <v>422</v>
      </c>
      <c r="Q234" s="19" t="s">
        <v>141</v>
      </c>
      <c r="R234" s="20" t="s">
        <v>423</v>
      </c>
      <c r="S234" s="21" t="s">
        <v>424</v>
      </c>
      <c r="T234" s="22" t="s">
        <v>425</v>
      </c>
      <c r="U234" s="23">
        <v>7</v>
      </c>
      <c r="V234" s="24" t="s">
        <v>2755</v>
      </c>
      <c r="W234" s="25" t="s">
        <v>141</v>
      </c>
      <c r="X234" s="26">
        <v>41886</v>
      </c>
      <c r="Y234" s="27">
        <v>2</v>
      </c>
      <c r="Z234" s="28" t="s">
        <v>177</v>
      </c>
      <c r="AA234" s="29" t="s">
        <v>141</v>
      </c>
      <c r="AB234" s="30" t="s">
        <v>141</v>
      </c>
      <c r="AC234" s="31" t="s">
        <v>141</v>
      </c>
      <c r="AD234" s="32" t="s">
        <v>141</v>
      </c>
      <c r="AE234" s="33">
        <v>3.86</v>
      </c>
      <c r="AF234" s="34" t="s">
        <v>1516</v>
      </c>
      <c r="AG234" s="35" t="s">
        <v>141</v>
      </c>
      <c r="AH234" s="36" t="s">
        <v>141</v>
      </c>
      <c r="AI234" s="37" t="s">
        <v>141</v>
      </c>
      <c r="AJ234" s="38" t="s">
        <v>2622</v>
      </c>
      <c r="AK234" s="39" t="s">
        <v>2622</v>
      </c>
      <c r="AL234" s="40" t="s">
        <v>141</v>
      </c>
      <c r="AM234" s="41" t="s">
        <v>170</v>
      </c>
      <c r="AN234" s="42" t="s">
        <v>2756</v>
      </c>
      <c r="AO234" s="43">
        <v>2</v>
      </c>
      <c r="AP234" s="44" t="s">
        <v>145</v>
      </c>
      <c r="AQ234" s="45" t="s">
        <v>141</v>
      </c>
      <c r="AR234" s="46" t="s">
        <v>141</v>
      </c>
      <c r="AS234" s="47" t="s">
        <v>141</v>
      </c>
      <c r="AT234" s="48" t="s">
        <v>141</v>
      </c>
      <c r="AU234" s="49" t="s">
        <v>141</v>
      </c>
      <c r="AV234" s="50" t="s">
        <v>141</v>
      </c>
      <c r="AW234" s="51" t="s">
        <v>141</v>
      </c>
      <c r="AX234" s="52" t="s">
        <v>141</v>
      </c>
      <c r="AY234" s="53" t="s">
        <v>141</v>
      </c>
      <c r="AZ234" s="54" t="s">
        <v>141</v>
      </c>
      <c r="BA234" s="55" t="s">
        <v>146</v>
      </c>
      <c r="BB234" s="56" t="s">
        <v>263</v>
      </c>
      <c r="BC234" s="57" t="s">
        <v>132</v>
      </c>
      <c r="BD234" s="58">
        <v>15</v>
      </c>
      <c r="BE234" s="59">
        <v>2</v>
      </c>
      <c r="BF234" s="60" t="s">
        <v>2757</v>
      </c>
      <c r="BG234" s="61">
        <v>1</v>
      </c>
      <c r="BH234" s="62" t="s">
        <v>1839</v>
      </c>
      <c r="BI234" s="63">
        <v>1</v>
      </c>
      <c r="BJ234" s="64" t="s">
        <v>141</v>
      </c>
      <c r="BK234" s="65" t="s">
        <v>2758</v>
      </c>
      <c r="BL234" s="66" t="s">
        <v>2759</v>
      </c>
      <c r="BM234" s="67" t="s">
        <v>2753</v>
      </c>
      <c r="BN234" s="68" t="s">
        <v>2754</v>
      </c>
      <c r="BO234" s="69" t="s">
        <v>141</v>
      </c>
      <c r="BP234" s="70" t="s">
        <v>141</v>
      </c>
      <c r="BQ234" s="71" t="s">
        <v>141</v>
      </c>
      <c r="BR234" s="72" t="s">
        <v>141</v>
      </c>
      <c r="BS234" s="73" t="s">
        <v>141</v>
      </c>
      <c r="BT234" s="74" t="s">
        <v>141</v>
      </c>
      <c r="BU234" s="75" t="s">
        <v>141</v>
      </c>
      <c r="BV234" s="76" t="s">
        <v>141</v>
      </c>
      <c r="BW234" s="77" t="s">
        <v>141</v>
      </c>
      <c r="BX234" s="78" t="s">
        <v>141</v>
      </c>
      <c r="BY234" s="79" t="s">
        <v>141</v>
      </c>
      <c r="BZ234" s="80" t="s">
        <v>141</v>
      </c>
      <c r="CA234" s="81" t="s">
        <v>141</v>
      </c>
      <c r="CB234" s="82" t="s">
        <v>141</v>
      </c>
      <c r="CC234" s="83" t="s">
        <v>141</v>
      </c>
      <c r="CD234" s="84" t="s">
        <v>141</v>
      </c>
      <c r="CE234" s="85" t="s">
        <v>141</v>
      </c>
      <c r="CF234" s="86" t="s">
        <v>141</v>
      </c>
      <c r="CG234" s="87" t="s">
        <v>141</v>
      </c>
      <c r="CH234" s="88" t="s">
        <v>141</v>
      </c>
      <c r="CI234" s="89" t="s">
        <v>141</v>
      </c>
      <c r="CJ234" s="90" t="s">
        <v>141</v>
      </c>
      <c r="CK234" s="91" t="s">
        <v>141</v>
      </c>
      <c r="CL234" s="92" t="s">
        <v>141</v>
      </c>
      <c r="CM234" s="93" t="s">
        <v>141</v>
      </c>
      <c r="CN234" s="94" t="s">
        <v>141</v>
      </c>
      <c r="CO234" s="95" t="s">
        <v>141</v>
      </c>
      <c r="CP234" s="96" t="s">
        <v>141</v>
      </c>
      <c r="CQ234" s="97" t="s">
        <v>141</v>
      </c>
      <c r="CR234" s="98" t="s">
        <v>141</v>
      </c>
      <c r="CS234" s="99" t="s">
        <v>141</v>
      </c>
      <c r="CT234" s="100" t="s">
        <v>141</v>
      </c>
      <c r="CU234" s="101" t="s">
        <v>141</v>
      </c>
      <c r="CV234" s="102" t="s">
        <v>141</v>
      </c>
      <c r="CW234" s="103" t="s">
        <v>141</v>
      </c>
      <c r="CX234" s="104">
        <v>300</v>
      </c>
      <c r="CY234" s="105" t="s">
        <v>150</v>
      </c>
      <c r="CZ234" s="106" t="s">
        <v>240</v>
      </c>
      <c r="DA234" s="107" t="s">
        <v>152</v>
      </c>
      <c r="DB234" s="108" t="s">
        <v>153</v>
      </c>
      <c r="DC234" s="109" t="s">
        <v>241</v>
      </c>
      <c r="DD234" s="110" t="s">
        <v>242</v>
      </c>
      <c r="DE234" s="111" t="s">
        <v>283</v>
      </c>
      <c r="DF234" s="112" t="s">
        <v>157</v>
      </c>
      <c r="DG234" s="113">
        <v>2012</v>
      </c>
      <c r="DH234" s="114" t="s">
        <v>431</v>
      </c>
      <c r="DI234" s="227" t="str">
        <f>HYPERLINK("https://my.pitchbook.com?c=37243-99T", "View company online")</f>
        <v>View company online</v>
      </c>
    </row>
    <row r="235" spans="1:113" x14ac:dyDescent="0.2">
      <c r="A235" s="115" t="s">
        <v>2760</v>
      </c>
      <c r="B235" s="116" t="s">
        <v>2761</v>
      </c>
      <c r="C235" s="117" t="s">
        <v>2762</v>
      </c>
      <c r="D235" s="118" t="s">
        <v>2763</v>
      </c>
      <c r="E235" s="119" t="s">
        <v>2764</v>
      </c>
      <c r="F235" s="120" t="s">
        <v>126</v>
      </c>
      <c r="G235" s="121" t="s">
        <v>127</v>
      </c>
      <c r="H235" s="122" t="s">
        <v>128</v>
      </c>
      <c r="I235" s="123" t="s">
        <v>129</v>
      </c>
      <c r="J235" s="124" t="s">
        <v>130</v>
      </c>
      <c r="K235" s="125" t="s">
        <v>2765</v>
      </c>
      <c r="L235" s="126" t="s">
        <v>132</v>
      </c>
      <c r="M235" s="127" t="s">
        <v>133</v>
      </c>
      <c r="N235" s="128" t="s">
        <v>170</v>
      </c>
      <c r="O235" s="129" t="s">
        <v>2766</v>
      </c>
      <c r="P235" s="130" t="s">
        <v>2767</v>
      </c>
      <c r="Q235" s="131" t="s">
        <v>2768</v>
      </c>
      <c r="R235" s="132" t="s">
        <v>2769</v>
      </c>
      <c r="S235" s="133" t="s">
        <v>2770</v>
      </c>
      <c r="T235" s="134" t="s">
        <v>2771</v>
      </c>
      <c r="U235" s="135">
        <v>1</v>
      </c>
      <c r="V235" s="136" t="s">
        <v>2760</v>
      </c>
      <c r="W235" s="137" t="s">
        <v>141</v>
      </c>
      <c r="X235" s="138">
        <v>41625</v>
      </c>
      <c r="Y235" s="139">
        <v>2</v>
      </c>
      <c r="Z235" s="140" t="s">
        <v>177</v>
      </c>
      <c r="AA235" s="141" t="s">
        <v>141</v>
      </c>
      <c r="AB235" s="142" t="s">
        <v>141</v>
      </c>
      <c r="AC235" s="143" t="s">
        <v>141</v>
      </c>
      <c r="AD235" s="144" t="s">
        <v>141</v>
      </c>
      <c r="AE235" s="145">
        <v>2</v>
      </c>
      <c r="AF235" s="146" t="s">
        <v>1571</v>
      </c>
      <c r="AG235" s="147" t="s">
        <v>141</v>
      </c>
      <c r="AH235" s="148" t="s">
        <v>141</v>
      </c>
      <c r="AI235" s="149" t="s">
        <v>141</v>
      </c>
      <c r="AJ235" s="150" t="s">
        <v>2622</v>
      </c>
      <c r="AK235" s="151" t="s">
        <v>2622</v>
      </c>
      <c r="AL235" s="152" t="s">
        <v>141</v>
      </c>
      <c r="AM235" s="153" t="s">
        <v>170</v>
      </c>
      <c r="AN235" s="154" t="s">
        <v>2764</v>
      </c>
      <c r="AO235" s="155">
        <v>2</v>
      </c>
      <c r="AP235" s="156" t="s">
        <v>145</v>
      </c>
      <c r="AQ235" s="157" t="s">
        <v>141</v>
      </c>
      <c r="AR235" s="158" t="s">
        <v>141</v>
      </c>
      <c r="AS235" s="159" t="s">
        <v>141</v>
      </c>
      <c r="AT235" s="160" t="s">
        <v>141</v>
      </c>
      <c r="AU235" s="161" t="s">
        <v>141</v>
      </c>
      <c r="AV235" s="162" t="s">
        <v>141</v>
      </c>
      <c r="AW235" s="163" t="s">
        <v>141</v>
      </c>
      <c r="AX235" s="164" t="s">
        <v>141</v>
      </c>
      <c r="AY235" s="165" t="s">
        <v>141</v>
      </c>
      <c r="AZ235" s="166" t="s">
        <v>141</v>
      </c>
      <c r="BA235" s="167" t="s">
        <v>146</v>
      </c>
      <c r="BB235" s="168" t="s">
        <v>263</v>
      </c>
      <c r="BC235" s="169" t="s">
        <v>132</v>
      </c>
      <c r="BD235" s="170" t="s">
        <v>141</v>
      </c>
      <c r="BE235" s="171">
        <v>5</v>
      </c>
      <c r="BF235" s="172" t="s">
        <v>2772</v>
      </c>
      <c r="BG235" s="173">
        <v>5</v>
      </c>
      <c r="BH235" s="174" t="s">
        <v>141</v>
      </c>
      <c r="BI235" s="175" t="s">
        <v>141</v>
      </c>
      <c r="BJ235" s="176" t="s">
        <v>141</v>
      </c>
      <c r="BK235" s="177" t="s">
        <v>2773</v>
      </c>
      <c r="BL235" s="178" t="s">
        <v>2774</v>
      </c>
      <c r="BM235" s="179" t="s">
        <v>2775</v>
      </c>
      <c r="BN235" s="180" t="s">
        <v>2776</v>
      </c>
      <c r="BO235" s="181" t="s">
        <v>141</v>
      </c>
      <c r="BP235" s="182" t="s">
        <v>141</v>
      </c>
      <c r="BQ235" s="183" t="s">
        <v>141</v>
      </c>
      <c r="BR235" s="184" t="s">
        <v>141</v>
      </c>
      <c r="BS235" s="185" t="s">
        <v>141</v>
      </c>
      <c r="BT235" s="186" t="s">
        <v>141</v>
      </c>
      <c r="BU235" s="187" t="s">
        <v>141</v>
      </c>
      <c r="BV235" s="188" t="s">
        <v>141</v>
      </c>
      <c r="BW235" s="189" t="s">
        <v>141</v>
      </c>
      <c r="BX235" s="190" t="s">
        <v>141</v>
      </c>
      <c r="BY235" s="191" t="s">
        <v>141</v>
      </c>
      <c r="BZ235" s="192" t="s">
        <v>141</v>
      </c>
      <c r="CA235" s="193" t="s">
        <v>141</v>
      </c>
      <c r="CB235" s="194" t="s">
        <v>141</v>
      </c>
      <c r="CC235" s="195" t="s">
        <v>141</v>
      </c>
      <c r="CD235" s="196" t="s">
        <v>141</v>
      </c>
      <c r="CE235" s="197" t="s">
        <v>141</v>
      </c>
      <c r="CF235" s="198" t="s">
        <v>141</v>
      </c>
      <c r="CG235" s="199" t="s">
        <v>141</v>
      </c>
      <c r="CH235" s="200" t="s">
        <v>141</v>
      </c>
      <c r="CI235" s="201" t="s">
        <v>141</v>
      </c>
      <c r="CJ235" s="202" t="s">
        <v>141</v>
      </c>
      <c r="CK235" s="203" t="s">
        <v>141</v>
      </c>
      <c r="CL235" s="204" t="s">
        <v>141</v>
      </c>
      <c r="CM235" s="205" t="s">
        <v>141</v>
      </c>
      <c r="CN235" s="206" t="s">
        <v>141</v>
      </c>
      <c r="CO235" s="207" t="s">
        <v>141</v>
      </c>
      <c r="CP235" s="208" t="s">
        <v>141</v>
      </c>
      <c r="CQ235" s="209" t="s">
        <v>141</v>
      </c>
      <c r="CR235" s="210" t="s">
        <v>141</v>
      </c>
      <c r="CS235" s="211" t="s">
        <v>141</v>
      </c>
      <c r="CT235" s="212" t="s">
        <v>141</v>
      </c>
      <c r="CU235" s="213" t="s">
        <v>141</v>
      </c>
      <c r="CV235" s="214" t="s">
        <v>141</v>
      </c>
      <c r="CW235" s="215" t="s">
        <v>141</v>
      </c>
      <c r="CX235" s="216">
        <v>51</v>
      </c>
      <c r="CY235" s="217" t="s">
        <v>150</v>
      </c>
      <c r="CZ235" s="218" t="s">
        <v>200</v>
      </c>
      <c r="DA235" s="219" t="s">
        <v>152</v>
      </c>
      <c r="DB235" s="220" t="s">
        <v>153</v>
      </c>
      <c r="DC235" s="221" t="s">
        <v>201</v>
      </c>
      <c r="DD235" s="222" t="s">
        <v>201</v>
      </c>
      <c r="DE235" s="223" t="s">
        <v>2777</v>
      </c>
      <c r="DF235" s="224" t="s">
        <v>157</v>
      </c>
      <c r="DG235" s="225">
        <v>2013</v>
      </c>
      <c r="DH235" s="226" t="s">
        <v>2778</v>
      </c>
      <c r="DI235" s="228" t="str">
        <f>HYPERLINK("https://my.pitchbook.com?c=30359-26T", "View company online")</f>
        <v>View company online</v>
      </c>
    </row>
    <row r="236" spans="1:113" x14ac:dyDescent="0.2">
      <c r="A236" s="3" t="s">
        <v>2779</v>
      </c>
      <c r="B236" s="4" t="s">
        <v>1190</v>
      </c>
      <c r="C236" s="5" t="s">
        <v>1191</v>
      </c>
      <c r="D236" s="6" t="s">
        <v>1192</v>
      </c>
      <c r="E236" s="7" t="s">
        <v>1193</v>
      </c>
      <c r="F236" s="8" t="s">
        <v>164</v>
      </c>
      <c r="G236" s="9" t="s">
        <v>165</v>
      </c>
      <c r="H236" s="10" t="s">
        <v>418</v>
      </c>
      <c r="I236" s="11" t="s">
        <v>1194</v>
      </c>
      <c r="J236" s="12" t="s">
        <v>211</v>
      </c>
      <c r="K236" s="13" t="s">
        <v>1195</v>
      </c>
      <c r="L236" s="14" t="s">
        <v>132</v>
      </c>
      <c r="M236" s="15" t="s">
        <v>133</v>
      </c>
      <c r="N236" s="16" t="s">
        <v>170</v>
      </c>
      <c r="O236" s="17" t="s">
        <v>1196</v>
      </c>
      <c r="P236" s="18" t="s">
        <v>1197</v>
      </c>
      <c r="Q236" s="19" t="s">
        <v>1198</v>
      </c>
      <c r="R236" s="20" t="s">
        <v>1199</v>
      </c>
      <c r="S236" s="21" t="s">
        <v>1200</v>
      </c>
      <c r="T236" s="22" t="s">
        <v>1201</v>
      </c>
      <c r="U236" s="23">
        <v>2</v>
      </c>
      <c r="V236" s="24" t="s">
        <v>2779</v>
      </c>
      <c r="W236" s="25" t="s">
        <v>141</v>
      </c>
      <c r="X236" s="26">
        <v>43534</v>
      </c>
      <c r="Y236" s="27">
        <v>2</v>
      </c>
      <c r="Z236" s="28" t="s">
        <v>887</v>
      </c>
      <c r="AA236" s="29" t="s">
        <v>141</v>
      </c>
      <c r="AB236" s="30" t="s">
        <v>141</v>
      </c>
      <c r="AC236" s="31" t="s">
        <v>141</v>
      </c>
      <c r="AD236" s="32" t="s">
        <v>141</v>
      </c>
      <c r="AE236" s="33">
        <v>4</v>
      </c>
      <c r="AF236" s="34" t="s">
        <v>1571</v>
      </c>
      <c r="AG236" s="35" t="s">
        <v>141</v>
      </c>
      <c r="AH236" s="36" t="s">
        <v>141</v>
      </c>
      <c r="AI236" s="37" t="s">
        <v>141</v>
      </c>
      <c r="AJ236" s="38" t="s">
        <v>2622</v>
      </c>
      <c r="AK236" s="39" t="s">
        <v>2622</v>
      </c>
      <c r="AL236" s="40" t="s">
        <v>141</v>
      </c>
      <c r="AM236" s="41" t="s">
        <v>170</v>
      </c>
      <c r="AN236" s="42" t="s">
        <v>2780</v>
      </c>
      <c r="AO236" s="43">
        <v>2</v>
      </c>
      <c r="AP236" s="44" t="s">
        <v>145</v>
      </c>
      <c r="AQ236" s="45" t="s">
        <v>141</v>
      </c>
      <c r="AR236" s="46" t="s">
        <v>141</v>
      </c>
      <c r="AS236" s="47" t="s">
        <v>141</v>
      </c>
      <c r="AT236" s="48" t="s">
        <v>141</v>
      </c>
      <c r="AU236" s="49" t="s">
        <v>141</v>
      </c>
      <c r="AV236" s="50" t="s">
        <v>141</v>
      </c>
      <c r="AW236" s="51" t="s">
        <v>141</v>
      </c>
      <c r="AX236" s="52" t="s">
        <v>141</v>
      </c>
      <c r="AY236" s="53" t="s">
        <v>141</v>
      </c>
      <c r="AZ236" s="54" t="s">
        <v>141</v>
      </c>
      <c r="BA236" s="55" t="s">
        <v>146</v>
      </c>
      <c r="BB236" s="56" t="s">
        <v>133</v>
      </c>
      <c r="BC236" s="57" t="s">
        <v>132</v>
      </c>
      <c r="BD236" s="58" t="s">
        <v>141</v>
      </c>
      <c r="BE236" s="59">
        <v>1</v>
      </c>
      <c r="BF236" s="60" t="s">
        <v>2781</v>
      </c>
      <c r="BG236" s="61">
        <v>1</v>
      </c>
      <c r="BH236" s="62" t="s">
        <v>141</v>
      </c>
      <c r="BI236" s="63" t="s">
        <v>141</v>
      </c>
      <c r="BJ236" s="64" t="s">
        <v>141</v>
      </c>
      <c r="BK236" s="65" t="s">
        <v>2782</v>
      </c>
      <c r="BL236" s="66" t="s">
        <v>2783</v>
      </c>
      <c r="BM236" s="67" t="s">
        <v>2783</v>
      </c>
      <c r="BN236" s="68" t="s">
        <v>141</v>
      </c>
      <c r="BO236" s="69" t="s">
        <v>141</v>
      </c>
      <c r="BP236" s="70" t="s">
        <v>141</v>
      </c>
      <c r="BQ236" s="71" t="s">
        <v>141</v>
      </c>
      <c r="BR236" s="72" t="s">
        <v>141</v>
      </c>
      <c r="BS236" s="73" t="s">
        <v>141</v>
      </c>
      <c r="BT236" s="74" t="s">
        <v>141</v>
      </c>
      <c r="BU236" s="75" t="s">
        <v>141</v>
      </c>
      <c r="BV236" s="76" t="s">
        <v>141</v>
      </c>
      <c r="BW236" s="77" t="s">
        <v>141</v>
      </c>
      <c r="BX236" s="78" t="s">
        <v>141</v>
      </c>
      <c r="BY236" s="79" t="s">
        <v>141</v>
      </c>
      <c r="BZ236" s="80" t="s">
        <v>141</v>
      </c>
      <c r="CA236" s="81" t="s">
        <v>141</v>
      </c>
      <c r="CB236" s="82" t="s">
        <v>141</v>
      </c>
      <c r="CC236" s="83" t="s">
        <v>141</v>
      </c>
      <c r="CD236" s="84" t="s">
        <v>141</v>
      </c>
      <c r="CE236" s="85" t="s">
        <v>141</v>
      </c>
      <c r="CF236" s="86" t="s">
        <v>141</v>
      </c>
      <c r="CG236" s="87" t="s">
        <v>141</v>
      </c>
      <c r="CH236" s="88" t="s">
        <v>141</v>
      </c>
      <c r="CI236" s="89" t="s">
        <v>141</v>
      </c>
      <c r="CJ236" s="90" t="s">
        <v>141</v>
      </c>
      <c r="CK236" s="91" t="s">
        <v>141</v>
      </c>
      <c r="CL236" s="92" t="s">
        <v>141</v>
      </c>
      <c r="CM236" s="93" t="s">
        <v>141</v>
      </c>
      <c r="CN236" s="94" t="s">
        <v>141</v>
      </c>
      <c r="CO236" s="95" t="s">
        <v>141</v>
      </c>
      <c r="CP236" s="96" t="s">
        <v>141</v>
      </c>
      <c r="CQ236" s="97" t="s">
        <v>141</v>
      </c>
      <c r="CR236" s="98" t="s">
        <v>141</v>
      </c>
      <c r="CS236" s="99" t="s">
        <v>141</v>
      </c>
      <c r="CT236" s="100" t="s">
        <v>141</v>
      </c>
      <c r="CU236" s="101" t="s">
        <v>141</v>
      </c>
      <c r="CV236" s="102" t="s">
        <v>141</v>
      </c>
      <c r="CW236" s="103" t="s">
        <v>141</v>
      </c>
      <c r="CX236" s="104" t="s">
        <v>141</v>
      </c>
      <c r="CY236" s="105" t="s">
        <v>150</v>
      </c>
      <c r="CZ236" s="106" t="s">
        <v>327</v>
      </c>
      <c r="DA236" s="107" t="s">
        <v>152</v>
      </c>
      <c r="DB236" s="108" t="s">
        <v>153</v>
      </c>
      <c r="DC236" s="109" t="s">
        <v>328</v>
      </c>
      <c r="DD236" s="110" t="s">
        <v>329</v>
      </c>
      <c r="DE236" s="111" t="s">
        <v>1203</v>
      </c>
      <c r="DF236" s="112" t="s">
        <v>157</v>
      </c>
      <c r="DG236" s="113">
        <v>2015</v>
      </c>
      <c r="DH236" s="114" t="s">
        <v>1204</v>
      </c>
      <c r="DI236" s="227" t="str">
        <f>HYPERLINK("https://my.pitchbook.com?c=117235-54T", "View company online")</f>
        <v>View company online</v>
      </c>
    </row>
    <row r="237" spans="1:113" x14ac:dyDescent="0.2">
      <c r="A237" s="115" t="s">
        <v>2784</v>
      </c>
      <c r="B237" s="116" t="s">
        <v>2785</v>
      </c>
      <c r="C237" s="117" t="s">
        <v>2786</v>
      </c>
      <c r="D237" s="118" t="s">
        <v>2787</v>
      </c>
      <c r="E237" s="119" t="s">
        <v>2788</v>
      </c>
      <c r="F237" s="120" t="s">
        <v>164</v>
      </c>
      <c r="G237" s="121" t="s">
        <v>165</v>
      </c>
      <c r="H237" s="122" t="s">
        <v>190</v>
      </c>
      <c r="I237" s="123" t="s">
        <v>191</v>
      </c>
      <c r="J237" s="124" t="s">
        <v>211</v>
      </c>
      <c r="K237" s="125" t="s">
        <v>2789</v>
      </c>
      <c r="L237" s="126" t="s">
        <v>345</v>
      </c>
      <c r="M237" s="127" t="s">
        <v>133</v>
      </c>
      <c r="N237" s="128" t="s">
        <v>170</v>
      </c>
      <c r="O237" s="129" t="s">
        <v>2790</v>
      </c>
      <c r="P237" s="130" t="s">
        <v>2791</v>
      </c>
      <c r="Q237" s="131" t="s">
        <v>2792</v>
      </c>
      <c r="R237" s="132" t="s">
        <v>2793</v>
      </c>
      <c r="S237" s="133" t="s">
        <v>2794</v>
      </c>
      <c r="T237" s="134" t="s">
        <v>141</v>
      </c>
      <c r="U237" s="135">
        <v>2</v>
      </c>
      <c r="V237" s="136" t="s">
        <v>2784</v>
      </c>
      <c r="W237" s="137">
        <v>42838</v>
      </c>
      <c r="X237" s="138">
        <v>42852</v>
      </c>
      <c r="Y237" s="139">
        <v>0.93</v>
      </c>
      <c r="Z237" s="140" t="s">
        <v>177</v>
      </c>
      <c r="AA237" s="141">
        <v>8.4</v>
      </c>
      <c r="AB237" s="142">
        <v>9.33</v>
      </c>
      <c r="AC237" s="143" t="s">
        <v>177</v>
      </c>
      <c r="AD237" s="144">
        <v>10</v>
      </c>
      <c r="AE237" s="145">
        <v>0.93</v>
      </c>
      <c r="AF237" s="146" t="s">
        <v>1582</v>
      </c>
      <c r="AG237" s="147" t="s">
        <v>141</v>
      </c>
      <c r="AH237" s="148">
        <v>0.82</v>
      </c>
      <c r="AI237" s="149" t="s">
        <v>141</v>
      </c>
      <c r="AJ237" s="150" t="s">
        <v>2622</v>
      </c>
      <c r="AK237" s="151" t="s">
        <v>2622</v>
      </c>
      <c r="AL237" s="152" t="s">
        <v>141</v>
      </c>
      <c r="AM237" s="153" t="s">
        <v>170</v>
      </c>
      <c r="AN237" s="154" t="s">
        <v>2795</v>
      </c>
      <c r="AO237" s="155">
        <v>0.93</v>
      </c>
      <c r="AP237" s="156" t="s">
        <v>145</v>
      </c>
      <c r="AQ237" s="157" t="s">
        <v>141</v>
      </c>
      <c r="AR237" s="158" t="s">
        <v>141</v>
      </c>
      <c r="AS237" s="159" t="s">
        <v>141</v>
      </c>
      <c r="AT237" s="160" t="s">
        <v>141</v>
      </c>
      <c r="AU237" s="161" t="s">
        <v>141</v>
      </c>
      <c r="AV237" s="162" t="s">
        <v>141</v>
      </c>
      <c r="AW237" s="163" t="s">
        <v>141</v>
      </c>
      <c r="AX237" s="164" t="s">
        <v>141</v>
      </c>
      <c r="AY237" s="165" t="s">
        <v>141</v>
      </c>
      <c r="AZ237" s="166" t="s">
        <v>141</v>
      </c>
      <c r="BA237" s="167" t="s">
        <v>146</v>
      </c>
      <c r="BB237" s="168" t="s">
        <v>263</v>
      </c>
      <c r="BC237" s="169" t="s">
        <v>402</v>
      </c>
      <c r="BD237" s="170">
        <v>7</v>
      </c>
      <c r="BE237" s="171" t="s">
        <v>141</v>
      </c>
      <c r="BF237" s="172" t="s">
        <v>141</v>
      </c>
      <c r="BG237" s="173" t="s">
        <v>141</v>
      </c>
      <c r="BH237" s="174" t="s">
        <v>141</v>
      </c>
      <c r="BI237" s="175" t="s">
        <v>141</v>
      </c>
      <c r="BJ237" s="176" t="s">
        <v>141</v>
      </c>
      <c r="BK237" s="177" t="s">
        <v>141</v>
      </c>
      <c r="BL237" s="178" t="s">
        <v>141</v>
      </c>
      <c r="BM237" s="179" t="s">
        <v>141</v>
      </c>
      <c r="BN237" s="180" t="s">
        <v>141</v>
      </c>
      <c r="BO237" s="181" t="s">
        <v>141</v>
      </c>
      <c r="BP237" s="182" t="s">
        <v>141</v>
      </c>
      <c r="BQ237" s="183" t="s">
        <v>141</v>
      </c>
      <c r="BR237" s="184" t="s">
        <v>141</v>
      </c>
      <c r="BS237" s="185" t="s">
        <v>141</v>
      </c>
      <c r="BT237" s="186" t="s">
        <v>141</v>
      </c>
      <c r="BU237" s="187" t="s">
        <v>141</v>
      </c>
      <c r="BV237" s="188" t="s">
        <v>141</v>
      </c>
      <c r="BW237" s="189" t="s">
        <v>141</v>
      </c>
      <c r="BX237" s="190" t="s">
        <v>141</v>
      </c>
      <c r="BY237" s="191" t="s">
        <v>141</v>
      </c>
      <c r="BZ237" s="192" t="s">
        <v>141</v>
      </c>
      <c r="CA237" s="193" t="s">
        <v>141</v>
      </c>
      <c r="CB237" s="194" t="s">
        <v>141</v>
      </c>
      <c r="CC237" s="195" t="s">
        <v>141</v>
      </c>
      <c r="CD237" s="196" t="s">
        <v>141</v>
      </c>
      <c r="CE237" s="197" t="s">
        <v>141</v>
      </c>
      <c r="CF237" s="198" t="s">
        <v>141</v>
      </c>
      <c r="CG237" s="199" t="s">
        <v>141</v>
      </c>
      <c r="CH237" s="200" t="s">
        <v>141</v>
      </c>
      <c r="CI237" s="201" t="s">
        <v>141</v>
      </c>
      <c r="CJ237" s="202" t="s">
        <v>141</v>
      </c>
      <c r="CK237" s="203" t="s">
        <v>141</v>
      </c>
      <c r="CL237" s="204" t="s">
        <v>141</v>
      </c>
      <c r="CM237" s="205" t="s">
        <v>141</v>
      </c>
      <c r="CN237" s="206" t="s">
        <v>141</v>
      </c>
      <c r="CO237" s="207" t="s">
        <v>141</v>
      </c>
      <c r="CP237" s="208" t="s">
        <v>141</v>
      </c>
      <c r="CQ237" s="209" t="s">
        <v>141</v>
      </c>
      <c r="CR237" s="210" t="s">
        <v>141</v>
      </c>
      <c r="CS237" s="211" t="s">
        <v>141</v>
      </c>
      <c r="CT237" s="212" t="s">
        <v>141</v>
      </c>
      <c r="CU237" s="213" t="s">
        <v>141</v>
      </c>
      <c r="CV237" s="214" t="s">
        <v>141</v>
      </c>
      <c r="CW237" s="215" t="s">
        <v>141</v>
      </c>
      <c r="CX237" s="216">
        <v>7</v>
      </c>
      <c r="CY237" s="217" t="s">
        <v>150</v>
      </c>
      <c r="CZ237" s="218" t="s">
        <v>617</v>
      </c>
      <c r="DA237" s="219" t="s">
        <v>152</v>
      </c>
      <c r="DB237" s="220" t="s">
        <v>153</v>
      </c>
      <c r="DC237" s="221" t="s">
        <v>618</v>
      </c>
      <c r="DD237" s="222" t="s">
        <v>619</v>
      </c>
      <c r="DE237" s="223" t="s">
        <v>141</v>
      </c>
      <c r="DF237" s="224" t="s">
        <v>157</v>
      </c>
      <c r="DG237" s="225">
        <v>2015</v>
      </c>
      <c r="DH237" s="226" t="s">
        <v>2796</v>
      </c>
      <c r="DI237" s="228" t="str">
        <f>HYPERLINK("https://my.pitchbook.com?c=87072-40T", "View company online")</f>
        <v>View company online</v>
      </c>
    </row>
    <row r="238" spans="1:113" x14ac:dyDescent="0.2">
      <c r="A238" s="3" t="s">
        <v>2797</v>
      </c>
      <c r="B238" s="4" t="s">
        <v>2785</v>
      </c>
      <c r="C238" s="5" t="s">
        <v>2786</v>
      </c>
      <c r="D238" s="6" t="s">
        <v>2787</v>
      </c>
      <c r="E238" s="7" t="s">
        <v>2788</v>
      </c>
      <c r="F238" s="8" t="s">
        <v>164</v>
      </c>
      <c r="G238" s="9" t="s">
        <v>165</v>
      </c>
      <c r="H238" s="10" t="s">
        <v>190</v>
      </c>
      <c r="I238" s="11" t="s">
        <v>191</v>
      </c>
      <c r="J238" s="12" t="s">
        <v>211</v>
      </c>
      <c r="K238" s="13" t="s">
        <v>2789</v>
      </c>
      <c r="L238" s="14" t="s">
        <v>345</v>
      </c>
      <c r="M238" s="15" t="s">
        <v>133</v>
      </c>
      <c r="N238" s="16" t="s">
        <v>170</v>
      </c>
      <c r="O238" s="17" t="s">
        <v>2790</v>
      </c>
      <c r="P238" s="18" t="s">
        <v>2791</v>
      </c>
      <c r="Q238" s="19" t="s">
        <v>2792</v>
      </c>
      <c r="R238" s="20" t="s">
        <v>2793</v>
      </c>
      <c r="S238" s="21" t="s">
        <v>2794</v>
      </c>
      <c r="T238" s="22" t="s">
        <v>141</v>
      </c>
      <c r="U238" s="23">
        <v>1</v>
      </c>
      <c r="V238" s="24" t="s">
        <v>2797</v>
      </c>
      <c r="W238" s="25" t="s">
        <v>141</v>
      </c>
      <c r="X238" s="26">
        <v>42719</v>
      </c>
      <c r="Y238" s="27" t="s">
        <v>141</v>
      </c>
      <c r="Z238" s="28" t="s">
        <v>141</v>
      </c>
      <c r="AA238" s="29" t="s">
        <v>141</v>
      </c>
      <c r="AB238" s="30" t="s">
        <v>141</v>
      </c>
      <c r="AC238" s="31" t="s">
        <v>141</v>
      </c>
      <c r="AD238" s="32" t="s">
        <v>141</v>
      </c>
      <c r="AE238" s="33" t="s">
        <v>141</v>
      </c>
      <c r="AF238" s="34" t="s">
        <v>1571</v>
      </c>
      <c r="AG238" s="35" t="s">
        <v>141</v>
      </c>
      <c r="AH238" s="36" t="s">
        <v>141</v>
      </c>
      <c r="AI238" s="37" t="s">
        <v>141</v>
      </c>
      <c r="AJ238" s="38" t="s">
        <v>2622</v>
      </c>
      <c r="AK238" s="39" t="s">
        <v>2622</v>
      </c>
      <c r="AL238" s="40" t="s">
        <v>141</v>
      </c>
      <c r="AM238" s="41" t="s">
        <v>170</v>
      </c>
      <c r="AN238" s="42" t="s">
        <v>2798</v>
      </c>
      <c r="AO238" s="43" t="s">
        <v>141</v>
      </c>
      <c r="AP238" s="44" t="s">
        <v>145</v>
      </c>
      <c r="AQ238" s="45" t="s">
        <v>141</v>
      </c>
      <c r="AR238" s="46" t="s">
        <v>141</v>
      </c>
      <c r="AS238" s="47" t="s">
        <v>141</v>
      </c>
      <c r="AT238" s="48" t="s">
        <v>141</v>
      </c>
      <c r="AU238" s="49" t="s">
        <v>141</v>
      </c>
      <c r="AV238" s="50" t="s">
        <v>141</v>
      </c>
      <c r="AW238" s="51" t="s">
        <v>141</v>
      </c>
      <c r="AX238" s="52" t="s">
        <v>141</v>
      </c>
      <c r="AY238" s="53" t="s">
        <v>141</v>
      </c>
      <c r="AZ238" s="54" t="s">
        <v>141</v>
      </c>
      <c r="BA238" s="55" t="s">
        <v>146</v>
      </c>
      <c r="BB238" s="56" t="s">
        <v>263</v>
      </c>
      <c r="BC238" s="57" t="s">
        <v>132</v>
      </c>
      <c r="BD238" s="58">
        <v>7</v>
      </c>
      <c r="BE238" s="59">
        <v>1</v>
      </c>
      <c r="BF238" s="60" t="s">
        <v>2799</v>
      </c>
      <c r="BG238" s="61">
        <v>1</v>
      </c>
      <c r="BH238" s="62" t="s">
        <v>141</v>
      </c>
      <c r="BI238" s="63" t="s">
        <v>141</v>
      </c>
      <c r="BJ238" s="64" t="s">
        <v>141</v>
      </c>
      <c r="BK238" s="65" t="s">
        <v>2800</v>
      </c>
      <c r="BL238" s="66" t="s">
        <v>2799</v>
      </c>
      <c r="BM238" s="67" t="s">
        <v>2799</v>
      </c>
      <c r="BN238" s="68" t="s">
        <v>141</v>
      </c>
      <c r="BO238" s="69" t="s">
        <v>141</v>
      </c>
      <c r="BP238" s="70" t="s">
        <v>141</v>
      </c>
      <c r="BQ238" s="71" t="s">
        <v>141</v>
      </c>
      <c r="BR238" s="72" t="s">
        <v>141</v>
      </c>
      <c r="BS238" s="73" t="s">
        <v>141</v>
      </c>
      <c r="BT238" s="74" t="s">
        <v>141</v>
      </c>
      <c r="BU238" s="75" t="s">
        <v>141</v>
      </c>
      <c r="BV238" s="76" t="s">
        <v>141</v>
      </c>
      <c r="BW238" s="77" t="s">
        <v>141</v>
      </c>
      <c r="BX238" s="78" t="s">
        <v>141</v>
      </c>
      <c r="BY238" s="79" t="s">
        <v>141</v>
      </c>
      <c r="BZ238" s="80" t="s">
        <v>141</v>
      </c>
      <c r="CA238" s="81" t="s">
        <v>141</v>
      </c>
      <c r="CB238" s="82" t="s">
        <v>141</v>
      </c>
      <c r="CC238" s="83" t="s">
        <v>141</v>
      </c>
      <c r="CD238" s="84" t="s">
        <v>141</v>
      </c>
      <c r="CE238" s="85" t="s">
        <v>141</v>
      </c>
      <c r="CF238" s="86" t="s">
        <v>141</v>
      </c>
      <c r="CG238" s="87" t="s">
        <v>141</v>
      </c>
      <c r="CH238" s="88" t="s">
        <v>141</v>
      </c>
      <c r="CI238" s="89" t="s">
        <v>141</v>
      </c>
      <c r="CJ238" s="90" t="s">
        <v>141</v>
      </c>
      <c r="CK238" s="91" t="s">
        <v>141</v>
      </c>
      <c r="CL238" s="92" t="s">
        <v>141</v>
      </c>
      <c r="CM238" s="93" t="s">
        <v>141</v>
      </c>
      <c r="CN238" s="94" t="s">
        <v>141</v>
      </c>
      <c r="CO238" s="95" t="s">
        <v>141</v>
      </c>
      <c r="CP238" s="96" t="s">
        <v>141</v>
      </c>
      <c r="CQ238" s="97" t="s">
        <v>141</v>
      </c>
      <c r="CR238" s="98" t="s">
        <v>141</v>
      </c>
      <c r="CS238" s="99" t="s">
        <v>141</v>
      </c>
      <c r="CT238" s="100" t="s">
        <v>141</v>
      </c>
      <c r="CU238" s="101" t="s">
        <v>141</v>
      </c>
      <c r="CV238" s="102" t="s">
        <v>141</v>
      </c>
      <c r="CW238" s="103" t="s">
        <v>141</v>
      </c>
      <c r="CX238" s="104">
        <v>7</v>
      </c>
      <c r="CY238" s="105" t="s">
        <v>150</v>
      </c>
      <c r="CZ238" s="106" t="s">
        <v>617</v>
      </c>
      <c r="DA238" s="107" t="s">
        <v>152</v>
      </c>
      <c r="DB238" s="108" t="s">
        <v>153</v>
      </c>
      <c r="DC238" s="109" t="s">
        <v>618</v>
      </c>
      <c r="DD238" s="110" t="s">
        <v>619</v>
      </c>
      <c r="DE238" s="111" t="s">
        <v>141</v>
      </c>
      <c r="DF238" s="112" t="s">
        <v>157</v>
      </c>
      <c r="DG238" s="113">
        <v>2015</v>
      </c>
      <c r="DH238" s="114" t="s">
        <v>2796</v>
      </c>
      <c r="DI238" s="227" t="str">
        <f>HYPERLINK("https://my.pitchbook.com?c=119619-73T", "View company online")</f>
        <v>View company online</v>
      </c>
    </row>
    <row r="239" spans="1:113" x14ac:dyDescent="0.2">
      <c r="A239" s="115" t="s">
        <v>2801</v>
      </c>
      <c r="B239" s="116" t="s">
        <v>452</v>
      </c>
      <c r="C239" s="117" t="s">
        <v>453</v>
      </c>
      <c r="D239" s="118" t="s">
        <v>454</v>
      </c>
      <c r="E239" s="119" t="s">
        <v>455</v>
      </c>
      <c r="F239" s="120" t="s">
        <v>126</v>
      </c>
      <c r="G239" s="121" t="s">
        <v>456</v>
      </c>
      <c r="H239" s="122" t="s">
        <v>457</v>
      </c>
      <c r="I239" s="123" t="s">
        <v>458</v>
      </c>
      <c r="J239" s="124" t="s">
        <v>459</v>
      </c>
      <c r="K239" s="125" t="s">
        <v>460</v>
      </c>
      <c r="L239" s="126" t="s">
        <v>132</v>
      </c>
      <c r="M239" s="127" t="s">
        <v>133</v>
      </c>
      <c r="N239" s="128" t="s">
        <v>134</v>
      </c>
      <c r="O239" s="129" t="s">
        <v>461</v>
      </c>
      <c r="P239" s="130" t="s">
        <v>462</v>
      </c>
      <c r="Q239" s="131" t="s">
        <v>463</v>
      </c>
      <c r="R239" s="132" t="s">
        <v>464</v>
      </c>
      <c r="S239" s="133" t="s">
        <v>465</v>
      </c>
      <c r="T239" s="134" t="s">
        <v>466</v>
      </c>
      <c r="U239" s="135">
        <v>1</v>
      </c>
      <c r="V239" s="136" t="s">
        <v>2801</v>
      </c>
      <c r="W239" s="137">
        <v>40674</v>
      </c>
      <c r="X239" s="138">
        <v>40963</v>
      </c>
      <c r="Y239" s="139">
        <v>1.2</v>
      </c>
      <c r="Z239" s="140" t="s">
        <v>177</v>
      </c>
      <c r="AA239" s="141" t="s">
        <v>141</v>
      </c>
      <c r="AB239" s="142" t="s">
        <v>141</v>
      </c>
      <c r="AC239" s="143" t="s">
        <v>141</v>
      </c>
      <c r="AD239" s="144" t="s">
        <v>141</v>
      </c>
      <c r="AE239" s="145">
        <v>1.2</v>
      </c>
      <c r="AF239" s="146" t="s">
        <v>1571</v>
      </c>
      <c r="AG239" s="147" t="s">
        <v>141</v>
      </c>
      <c r="AH239" s="148" t="s">
        <v>141</v>
      </c>
      <c r="AI239" s="149" t="s">
        <v>141</v>
      </c>
      <c r="AJ239" s="150" t="s">
        <v>2622</v>
      </c>
      <c r="AK239" s="151" t="s">
        <v>2622</v>
      </c>
      <c r="AL239" s="152" t="s">
        <v>141</v>
      </c>
      <c r="AM239" s="153" t="s">
        <v>170</v>
      </c>
      <c r="AN239" s="154" t="s">
        <v>2802</v>
      </c>
      <c r="AO239" s="155">
        <v>1.2</v>
      </c>
      <c r="AP239" s="156" t="s">
        <v>145</v>
      </c>
      <c r="AQ239" s="157" t="s">
        <v>141</v>
      </c>
      <c r="AR239" s="158" t="s">
        <v>141</v>
      </c>
      <c r="AS239" s="159" t="s">
        <v>141</v>
      </c>
      <c r="AT239" s="160" t="s">
        <v>141</v>
      </c>
      <c r="AU239" s="161" t="s">
        <v>141</v>
      </c>
      <c r="AV239" s="162" t="s">
        <v>141</v>
      </c>
      <c r="AW239" s="163" t="s">
        <v>141</v>
      </c>
      <c r="AX239" s="164" t="s">
        <v>141</v>
      </c>
      <c r="AY239" s="165" t="s">
        <v>141</v>
      </c>
      <c r="AZ239" s="166" t="s">
        <v>141</v>
      </c>
      <c r="BA239" s="167" t="s">
        <v>146</v>
      </c>
      <c r="BB239" s="168" t="s">
        <v>263</v>
      </c>
      <c r="BC239" s="169" t="s">
        <v>132</v>
      </c>
      <c r="BD239" s="170" t="s">
        <v>141</v>
      </c>
      <c r="BE239" s="171">
        <v>21</v>
      </c>
      <c r="BF239" s="172" t="s">
        <v>2803</v>
      </c>
      <c r="BG239" s="173">
        <v>21</v>
      </c>
      <c r="BH239" s="174" t="s">
        <v>141</v>
      </c>
      <c r="BI239" s="175" t="s">
        <v>141</v>
      </c>
      <c r="BJ239" s="176" t="s">
        <v>141</v>
      </c>
      <c r="BK239" s="177" t="s">
        <v>2804</v>
      </c>
      <c r="BL239" s="239" t="s">
        <v>2805</v>
      </c>
      <c r="BM239" s="179" t="s">
        <v>141</v>
      </c>
      <c r="BN239" s="180" t="s">
        <v>2806</v>
      </c>
      <c r="BO239" s="181" t="s">
        <v>141</v>
      </c>
      <c r="BP239" s="182" t="s">
        <v>141</v>
      </c>
      <c r="BQ239" s="183" t="s">
        <v>141</v>
      </c>
      <c r="BR239" s="184" t="s">
        <v>2807</v>
      </c>
      <c r="BS239" s="185" t="s">
        <v>2807</v>
      </c>
      <c r="BT239" s="186" t="s">
        <v>2808</v>
      </c>
      <c r="BU239" s="187" t="s">
        <v>141</v>
      </c>
      <c r="BV239" s="188" t="s">
        <v>141</v>
      </c>
      <c r="BW239" s="189" t="s">
        <v>141</v>
      </c>
      <c r="BX239" s="190" t="s">
        <v>141</v>
      </c>
      <c r="BY239" s="191" t="s">
        <v>141</v>
      </c>
      <c r="BZ239" s="192" t="s">
        <v>141</v>
      </c>
      <c r="CA239" s="193" t="s">
        <v>141</v>
      </c>
      <c r="CB239" s="194" t="s">
        <v>141</v>
      </c>
      <c r="CC239" s="195" t="s">
        <v>141</v>
      </c>
      <c r="CD239" s="196" t="s">
        <v>141</v>
      </c>
      <c r="CE239" s="197" t="s">
        <v>141</v>
      </c>
      <c r="CF239" s="198" t="s">
        <v>141</v>
      </c>
      <c r="CG239" s="199" t="s">
        <v>141</v>
      </c>
      <c r="CH239" s="200" t="s">
        <v>141</v>
      </c>
      <c r="CI239" s="201" t="s">
        <v>141</v>
      </c>
      <c r="CJ239" s="202" t="s">
        <v>141</v>
      </c>
      <c r="CK239" s="203" t="s">
        <v>141</v>
      </c>
      <c r="CL239" s="204" t="s">
        <v>141</v>
      </c>
      <c r="CM239" s="205" t="s">
        <v>141</v>
      </c>
      <c r="CN239" s="206" t="s">
        <v>141</v>
      </c>
      <c r="CO239" s="207" t="s">
        <v>141</v>
      </c>
      <c r="CP239" s="208" t="s">
        <v>141</v>
      </c>
      <c r="CQ239" s="209" t="s">
        <v>141</v>
      </c>
      <c r="CR239" s="210" t="s">
        <v>141</v>
      </c>
      <c r="CS239" s="211" t="s">
        <v>141</v>
      </c>
      <c r="CT239" s="212" t="s">
        <v>141</v>
      </c>
      <c r="CU239" s="213" t="s">
        <v>141</v>
      </c>
      <c r="CV239" s="214" t="s">
        <v>141</v>
      </c>
      <c r="CW239" s="215" t="s">
        <v>141</v>
      </c>
      <c r="CX239" s="216">
        <v>72</v>
      </c>
      <c r="CY239" s="217" t="s">
        <v>150</v>
      </c>
      <c r="CZ239" s="218" t="s">
        <v>180</v>
      </c>
      <c r="DA239" s="219" t="s">
        <v>152</v>
      </c>
      <c r="DB239" s="220" t="s">
        <v>153</v>
      </c>
      <c r="DC239" s="221" t="s">
        <v>181</v>
      </c>
      <c r="DD239" s="222" t="s">
        <v>182</v>
      </c>
      <c r="DE239" s="223" t="s">
        <v>469</v>
      </c>
      <c r="DF239" s="224" t="s">
        <v>157</v>
      </c>
      <c r="DG239" s="225">
        <v>2010</v>
      </c>
      <c r="DH239" s="226" t="s">
        <v>470</v>
      </c>
      <c r="DI239" s="228" t="str">
        <f>HYPERLINK("https://my.pitchbook.com?c=18654-22T", "View company online")</f>
        <v>View company online</v>
      </c>
    </row>
    <row r="240" spans="1:113" x14ac:dyDescent="0.2">
      <c r="A240" s="3" t="s">
        <v>2809</v>
      </c>
      <c r="B240" s="4" t="s">
        <v>472</v>
      </c>
      <c r="C240" s="5" t="s">
        <v>473</v>
      </c>
      <c r="D240" s="6" t="s">
        <v>474</v>
      </c>
      <c r="E240" s="7" t="s">
        <v>475</v>
      </c>
      <c r="F240" s="8" t="s">
        <v>126</v>
      </c>
      <c r="G240" s="9" t="s">
        <v>340</v>
      </c>
      <c r="H240" s="10" t="s">
        <v>476</v>
      </c>
      <c r="I240" s="11" t="s">
        <v>477</v>
      </c>
      <c r="J240" s="12" t="s">
        <v>478</v>
      </c>
      <c r="K240" s="13" t="s">
        <v>479</v>
      </c>
      <c r="L240" s="14" t="s">
        <v>132</v>
      </c>
      <c r="M240" s="15" t="s">
        <v>133</v>
      </c>
      <c r="N240" s="16" t="s">
        <v>170</v>
      </c>
      <c r="O240" s="17" t="s">
        <v>480</v>
      </c>
      <c r="P240" s="18" t="s">
        <v>481</v>
      </c>
      <c r="Q240" s="19" t="s">
        <v>141</v>
      </c>
      <c r="R240" s="20" t="s">
        <v>482</v>
      </c>
      <c r="S240" s="21" t="s">
        <v>483</v>
      </c>
      <c r="T240" s="22" t="s">
        <v>484</v>
      </c>
      <c r="U240" s="23">
        <v>2</v>
      </c>
      <c r="V240" s="24" t="s">
        <v>2809</v>
      </c>
      <c r="W240" s="25" t="s">
        <v>141</v>
      </c>
      <c r="X240" s="26">
        <v>42120</v>
      </c>
      <c r="Y240" s="27">
        <v>1.35</v>
      </c>
      <c r="Z240" s="28" t="s">
        <v>177</v>
      </c>
      <c r="AA240" s="29">
        <v>7.99</v>
      </c>
      <c r="AB240" s="30">
        <v>9.34</v>
      </c>
      <c r="AC240" s="31" t="s">
        <v>177</v>
      </c>
      <c r="AD240" s="32">
        <v>14.45</v>
      </c>
      <c r="AE240" s="33">
        <v>1.35</v>
      </c>
      <c r="AF240" s="34" t="s">
        <v>1571</v>
      </c>
      <c r="AG240" s="35" t="s">
        <v>141</v>
      </c>
      <c r="AH240" s="36">
        <v>1.31</v>
      </c>
      <c r="AI240" s="37" t="s">
        <v>141</v>
      </c>
      <c r="AJ240" s="38" t="s">
        <v>2622</v>
      </c>
      <c r="AK240" s="39" t="s">
        <v>2622</v>
      </c>
      <c r="AL240" s="40" t="s">
        <v>141</v>
      </c>
      <c r="AM240" s="41" t="s">
        <v>170</v>
      </c>
      <c r="AN240" s="42" t="s">
        <v>475</v>
      </c>
      <c r="AO240" s="43">
        <v>1.35</v>
      </c>
      <c r="AP240" s="44" t="s">
        <v>145</v>
      </c>
      <c r="AQ240" s="45" t="s">
        <v>141</v>
      </c>
      <c r="AR240" s="46" t="s">
        <v>141</v>
      </c>
      <c r="AS240" s="47" t="s">
        <v>141</v>
      </c>
      <c r="AT240" s="48" t="s">
        <v>141</v>
      </c>
      <c r="AU240" s="49" t="s">
        <v>141</v>
      </c>
      <c r="AV240" s="50" t="s">
        <v>141</v>
      </c>
      <c r="AW240" s="51" t="s">
        <v>141</v>
      </c>
      <c r="AX240" s="52" t="s">
        <v>141</v>
      </c>
      <c r="AY240" s="53" t="s">
        <v>141</v>
      </c>
      <c r="AZ240" s="54" t="s">
        <v>141</v>
      </c>
      <c r="BA240" s="55" t="s">
        <v>146</v>
      </c>
      <c r="BB240" s="56" t="s">
        <v>133</v>
      </c>
      <c r="BC240" s="57" t="s">
        <v>132</v>
      </c>
      <c r="BD240" s="58">
        <v>14</v>
      </c>
      <c r="BE240" s="59">
        <v>2</v>
      </c>
      <c r="BF240" s="60" t="s">
        <v>2810</v>
      </c>
      <c r="BG240" s="61">
        <v>2</v>
      </c>
      <c r="BH240" s="62" t="s">
        <v>141</v>
      </c>
      <c r="BI240" s="63" t="s">
        <v>141</v>
      </c>
      <c r="BJ240" s="64" t="s">
        <v>141</v>
      </c>
      <c r="BK240" s="65" t="s">
        <v>2811</v>
      </c>
      <c r="BL240" s="66" t="s">
        <v>2812</v>
      </c>
      <c r="BM240" s="67" t="s">
        <v>141</v>
      </c>
      <c r="BN240" s="68" t="s">
        <v>141</v>
      </c>
      <c r="BO240" s="69" t="s">
        <v>141</v>
      </c>
      <c r="BP240" s="70" t="s">
        <v>141</v>
      </c>
      <c r="BQ240" s="71" t="s">
        <v>141</v>
      </c>
      <c r="BR240" s="72" t="s">
        <v>1991</v>
      </c>
      <c r="BS240" s="73" t="s">
        <v>1991</v>
      </c>
      <c r="BT240" s="74" t="s">
        <v>141</v>
      </c>
      <c r="BU240" s="75" t="s">
        <v>141</v>
      </c>
      <c r="BV240" s="76" t="s">
        <v>141</v>
      </c>
      <c r="BW240" s="77" t="s">
        <v>141</v>
      </c>
      <c r="BX240" s="78" t="s">
        <v>141</v>
      </c>
      <c r="BY240" s="79" t="s">
        <v>141</v>
      </c>
      <c r="BZ240" s="80" t="s">
        <v>141</v>
      </c>
      <c r="CA240" s="81" t="s">
        <v>141</v>
      </c>
      <c r="CB240" s="82" t="s">
        <v>141</v>
      </c>
      <c r="CC240" s="83" t="s">
        <v>141</v>
      </c>
      <c r="CD240" s="84" t="s">
        <v>141</v>
      </c>
      <c r="CE240" s="85" t="s">
        <v>141</v>
      </c>
      <c r="CF240" s="86" t="s">
        <v>141</v>
      </c>
      <c r="CG240" s="87" t="s">
        <v>141</v>
      </c>
      <c r="CH240" s="88" t="s">
        <v>141</v>
      </c>
      <c r="CI240" s="89" t="s">
        <v>141</v>
      </c>
      <c r="CJ240" s="90" t="s">
        <v>141</v>
      </c>
      <c r="CK240" s="91" t="s">
        <v>141</v>
      </c>
      <c r="CL240" s="92" t="s">
        <v>141</v>
      </c>
      <c r="CM240" s="93" t="s">
        <v>141</v>
      </c>
      <c r="CN240" s="94" t="s">
        <v>141</v>
      </c>
      <c r="CO240" s="95" t="s">
        <v>141</v>
      </c>
      <c r="CP240" s="96" t="s">
        <v>141</v>
      </c>
      <c r="CQ240" s="97" t="s">
        <v>141</v>
      </c>
      <c r="CR240" s="98" t="s">
        <v>141</v>
      </c>
      <c r="CS240" s="99" t="s">
        <v>141</v>
      </c>
      <c r="CT240" s="100" t="s">
        <v>141</v>
      </c>
      <c r="CU240" s="101" t="s">
        <v>141</v>
      </c>
      <c r="CV240" s="102" t="s">
        <v>141</v>
      </c>
      <c r="CW240" s="103" t="s">
        <v>141</v>
      </c>
      <c r="CX240" s="104">
        <v>50</v>
      </c>
      <c r="CY240" s="105" t="s">
        <v>150</v>
      </c>
      <c r="CZ240" s="106" t="s">
        <v>200</v>
      </c>
      <c r="DA240" s="107" t="s">
        <v>152</v>
      </c>
      <c r="DB240" s="108" t="s">
        <v>153</v>
      </c>
      <c r="DC240" s="109" t="s">
        <v>201</v>
      </c>
      <c r="DD240" s="110" t="s">
        <v>201</v>
      </c>
      <c r="DE240" s="111" t="s">
        <v>487</v>
      </c>
      <c r="DF240" s="112" t="s">
        <v>157</v>
      </c>
      <c r="DG240" s="113">
        <v>2013</v>
      </c>
      <c r="DH240" s="114" t="s">
        <v>488</v>
      </c>
      <c r="DI240" s="227" t="str">
        <f>HYPERLINK("https://my.pitchbook.com?c=49319-74T", "View company online")</f>
        <v>View company online</v>
      </c>
    </row>
    <row r="241" spans="1:113" x14ac:dyDescent="0.2">
      <c r="A241" s="115" t="s">
        <v>2813</v>
      </c>
      <c r="B241" s="116" t="s">
        <v>2814</v>
      </c>
      <c r="C241" s="117" t="s">
        <v>2815</v>
      </c>
      <c r="D241" s="118" t="s">
        <v>2816</v>
      </c>
      <c r="E241" s="119" t="s">
        <v>141</v>
      </c>
      <c r="F241" s="120" t="s">
        <v>126</v>
      </c>
      <c r="G241" s="121" t="s">
        <v>340</v>
      </c>
      <c r="H241" s="122" t="s">
        <v>476</v>
      </c>
      <c r="I241" s="123" t="s">
        <v>1421</v>
      </c>
      <c r="J241" s="124" t="s">
        <v>2817</v>
      </c>
      <c r="K241" s="125" t="s">
        <v>2818</v>
      </c>
      <c r="L241" s="126" t="s">
        <v>402</v>
      </c>
      <c r="M241" s="127" t="s">
        <v>133</v>
      </c>
      <c r="N241" s="128" t="s">
        <v>2819</v>
      </c>
      <c r="O241" s="129" t="s">
        <v>2820</v>
      </c>
      <c r="P241" s="130" t="s">
        <v>2821</v>
      </c>
      <c r="Q241" s="131" t="s">
        <v>2822</v>
      </c>
      <c r="R241" s="132" t="s">
        <v>2823</v>
      </c>
      <c r="S241" s="133" t="s">
        <v>2824</v>
      </c>
      <c r="T241" s="134" t="s">
        <v>141</v>
      </c>
      <c r="U241" s="135">
        <v>1</v>
      </c>
      <c r="V241" s="136" t="s">
        <v>2813</v>
      </c>
      <c r="W241" s="137" t="s">
        <v>141</v>
      </c>
      <c r="X241" s="138">
        <v>43422</v>
      </c>
      <c r="Y241" s="139">
        <v>0.1</v>
      </c>
      <c r="Z241" s="140" t="s">
        <v>177</v>
      </c>
      <c r="AA241" s="141">
        <v>0.84</v>
      </c>
      <c r="AB241" s="142">
        <v>0.94</v>
      </c>
      <c r="AC241" s="143" t="s">
        <v>177</v>
      </c>
      <c r="AD241" s="144">
        <v>10.54</v>
      </c>
      <c r="AE241" s="145">
        <v>0.1</v>
      </c>
      <c r="AF241" s="146" t="s">
        <v>1571</v>
      </c>
      <c r="AG241" s="147" t="s">
        <v>141</v>
      </c>
      <c r="AH241" s="148" t="s">
        <v>141</v>
      </c>
      <c r="AI241" s="149" t="s">
        <v>141</v>
      </c>
      <c r="AJ241" s="150" t="s">
        <v>2622</v>
      </c>
      <c r="AK241" s="151" t="s">
        <v>2622</v>
      </c>
      <c r="AL241" s="152" t="s">
        <v>141</v>
      </c>
      <c r="AM241" s="153" t="s">
        <v>170</v>
      </c>
      <c r="AN241" s="154" t="s">
        <v>2825</v>
      </c>
      <c r="AO241" s="155">
        <v>0.1</v>
      </c>
      <c r="AP241" s="156" t="s">
        <v>145</v>
      </c>
      <c r="AQ241" s="157" t="s">
        <v>141</v>
      </c>
      <c r="AR241" s="158" t="s">
        <v>141</v>
      </c>
      <c r="AS241" s="159" t="s">
        <v>141</v>
      </c>
      <c r="AT241" s="160" t="s">
        <v>141</v>
      </c>
      <c r="AU241" s="161" t="s">
        <v>141</v>
      </c>
      <c r="AV241" s="162" t="s">
        <v>141</v>
      </c>
      <c r="AW241" s="163" t="s">
        <v>141</v>
      </c>
      <c r="AX241" s="164" t="s">
        <v>141</v>
      </c>
      <c r="AY241" s="165" t="s">
        <v>141</v>
      </c>
      <c r="AZ241" s="166" t="s">
        <v>141</v>
      </c>
      <c r="BA241" s="167" t="s">
        <v>146</v>
      </c>
      <c r="BB241" s="168" t="s">
        <v>133</v>
      </c>
      <c r="BC241" s="169" t="s">
        <v>402</v>
      </c>
      <c r="BD241" s="170" t="s">
        <v>141</v>
      </c>
      <c r="BE241" s="171" t="s">
        <v>141</v>
      </c>
      <c r="BF241" s="172" t="s">
        <v>141</v>
      </c>
      <c r="BG241" s="173" t="s">
        <v>141</v>
      </c>
      <c r="BH241" s="174" t="s">
        <v>141</v>
      </c>
      <c r="BI241" s="175" t="s">
        <v>141</v>
      </c>
      <c r="BJ241" s="176" t="s">
        <v>141</v>
      </c>
      <c r="BK241" s="177" t="s">
        <v>141</v>
      </c>
      <c r="BL241" s="178" t="s">
        <v>141</v>
      </c>
      <c r="BM241" s="179" t="s">
        <v>141</v>
      </c>
      <c r="BN241" s="180" t="s">
        <v>141</v>
      </c>
      <c r="BO241" s="181" t="s">
        <v>141</v>
      </c>
      <c r="BP241" s="182" t="s">
        <v>141</v>
      </c>
      <c r="BQ241" s="183" t="s">
        <v>141</v>
      </c>
      <c r="BR241" s="184" t="s">
        <v>2826</v>
      </c>
      <c r="BS241" s="185" t="s">
        <v>2826</v>
      </c>
      <c r="BT241" s="186" t="s">
        <v>141</v>
      </c>
      <c r="BU241" s="187" t="s">
        <v>141</v>
      </c>
      <c r="BV241" s="188" t="s">
        <v>141</v>
      </c>
      <c r="BW241" s="189" t="s">
        <v>141</v>
      </c>
      <c r="BX241" s="190" t="s">
        <v>141</v>
      </c>
      <c r="BY241" s="191" t="s">
        <v>141</v>
      </c>
      <c r="BZ241" s="192" t="s">
        <v>141</v>
      </c>
      <c r="CA241" s="193" t="s">
        <v>141</v>
      </c>
      <c r="CB241" s="194" t="s">
        <v>141</v>
      </c>
      <c r="CC241" s="195" t="s">
        <v>141</v>
      </c>
      <c r="CD241" s="196" t="s">
        <v>141</v>
      </c>
      <c r="CE241" s="197">
        <v>2019</v>
      </c>
      <c r="CF241" s="198" t="s">
        <v>141</v>
      </c>
      <c r="CG241" s="199" t="s">
        <v>141</v>
      </c>
      <c r="CH241" s="200" t="s">
        <v>141</v>
      </c>
      <c r="CI241" s="201" t="s">
        <v>141</v>
      </c>
      <c r="CJ241" s="202" t="s">
        <v>141</v>
      </c>
      <c r="CK241" s="203" t="s">
        <v>141</v>
      </c>
      <c r="CL241" s="204" t="s">
        <v>141</v>
      </c>
      <c r="CM241" s="205" t="s">
        <v>141</v>
      </c>
      <c r="CN241" s="206" t="s">
        <v>141</v>
      </c>
      <c r="CO241" s="207" t="s">
        <v>141</v>
      </c>
      <c r="CP241" s="208" t="s">
        <v>141</v>
      </c>
      <c r="CQ241" s="209" t="s">
        <v>141</v>
      </c>
      <c r="CR241" s="210" t="s">
        <v>141</v>
      </c>
      <c r="CS241" s="211" t="s">
        <v>141</v>
      </c>
      <c r="CT241" s="212" t="s">
        <v>141</v>
      </c>
      <c r="CU241" s="213" t="s">
        <v>141</v>
      </c>
      <c r="CV241" s="214" t="s">
        <v>141</v>
      </c>
      <c r="CW241" s="215" t="s">
        <v>141</v>
      </c>
      <c r="CX241" s="216" t="s">
        <v>141</v>
      </c>
      <c r="CY241" s="217" t="s">
        <v>640</v>
      </c>
      <c r="CZ241" s="218" t="s">
        <v>1136</v>
      </c>
      <c r="DA241" s="219" t="s">
        <v>642</v>
      </c>
      <c r="DB241" s="220" t="s">
        <v>643</v>
      </c>
      <c r="DC241" s="221" t="s">
        <v>1137</v>
      </c>
      <c r="DD241" s="222" t="s">
        <v>644</v>
      </c>
      <c r="DE241" s="223" t="s">
        <v>2827</v>
      </c>
      <c r="DF241" s="224" t="s">
        <v>641</v>
      </c>
      <c r="DG241" s="225">
        <v>2015</v>
      </c>
      <c r="DH241" s="226" t="s">
        <v>2828</v>
      </c>
      <c r="DI241" s="228" t="str">
        <f>HYPERLINK("https://my.pitchbook.com?c=124955-11T", "View company online")</f>
        <v>View company online</v>
      </c>
    </row>
    <row r="242" spans="1:113" x14ac:dyDescent="0.2">
      <c r="A242" s="3" t="s">
        <v>2829</v>
      </c>
      <c r="B242" s="4" t="s">
        <v>490</v>
      </c>
      <c r="C242" s="5" t="s">
        <v>491</v>
      </c>
      <c r="D242" s="6" t="s">
        <v>492</v>
      </c>
      <c r="E242" s="7" t="s">
        <v>493</v>
      </c>
      <c r="F242" s="8" t="s">
        <v>126</v>
      </c>
      <c r="G242" s="9" t="s">
        <v>252</v>
      </c>
      <c r="H242" s="10" t="s">
        <v>253</v>
      </c>
      <c r="I242" s="11" t="s">
        <v>494</v>
      </c>
      <c r="J242" s="12" t="s">
        <v>495</v>
      </c>
      <c r="K242" s="13" t="s">
        <v>496</v>
      </c>
      <c r="L242" s="14" t="s">
        <v>345</v>
      </c>
      <c r="M242" s="15" t="s">
        <v>133</v>
      </c>
      <c r="N242" s="16" t="s">
        <v>170</v>
      </c>
      <c r="O242" s="17" t="s">
        <v>497</v>
      </c>
      <c r="P242" s="18" t="s">
        <v>498</v>
      </c>
      <c r="Q242" s="19" t="s">
        <v>141</v>
      </c>
      <c r="R242" s="20" t="s">
        <v>499</v>
      </c>
      <c r="S242" s="21" t="s">
        <v>500</v>
      </c>
      <c r="T242" s="22" t="s">
        <v>501</v>
      </c>
      <c r="U242" s="23">
        <v>3</v>
      </c>
      <c r="V242" s="24" t="s">
        <v>2829</v>
      </c>
      <c r="W242" s="25" t="s">
        <v>141</v>
      </c>
      <c r="X242" s="26">
        <v>41086</v>
      </c>
      <c r="Y242" s="27">
        <v>0.02</v>
      </c>
      <c r="Z242" s="28" t="s">
        <v>177</v>
      </c>
      <c r="AA242" s="29">
        <v>0.04</v>
      </c>
      <c r="AB242" s="30">
        <v>0.06</v>
      </c>
      <c r="AC242" s="31" t="s">
        <v>177</v>
      </c>
      <c r="AD242" s="32">
        <v>33.18</v>
      </c>
      <c r="AE242" s="33">
        <v>0.02</v>
      </c>
      <c r="AF242" s="34" t="s">
        <v>1571</v>
      </c>
      <c r="AG242" s="35" t="s">
        <v>141</v>
      </c>
      <c r="AH242" s="36">
        <v>0.38</v>
      </c>
      <c r="AI242" s="37" t="s">
        <v>141</v>
      </c>
      <c r="AJ242" s="38" t="s">
        <v>2622</v>
      </c>
      <c r="AK242" s="39" t="s">
        <v>2622</v>
      </c>
      <c r="AL242" s="40" t="s">
        <v>141</v>
      </c>
      <c r="AM242" s="41" t="s">
        <v>170</v>
      </c>
      <c r="AN242" s="42" t="s">
        <v>2830</v>
      </c>
      <c r="AO242" s="43">
        <v>0.02</v>
      </c>
      <c r="AP242" s="44" t="s">
        <v>145</v>
      </c>
      <c r="AQ242" s="45" t="s">
        <v>141</v>
      </c>
      <c r="AR242" s="46" t="s">
        <v>141</v>
      </c>
      <c r="AS242" s="47" t="s">
        <v>141</v>
      </c>
      <c r="AT242" s="48" t="s">
        <v>141</v>
      </c>
      <c r="AU242" s="49" t="s">
        <v>141</v>
      </c>
      <c r="AV242" s="50" t="s">
        <v>141</v>
      </c>
      <c r="AW242" s="51" t="s">
        <v>141</v>
      </c>
      <c r="AX242" s="52" t="s">
        <v>141</v>
      </c>
      <c r="AY242" s="53" t="s">
        <v>141</v>
      </c>
      <c r="AZ242" s="54" t="s">
        <v>141</v>
      </c>
      <c r="BA242" s="55" t="s">
        <v>146</v>
      </c>
      <c r="BB242" s="56" t="s">
        <v>263</v>
      </c>
      <c r="BC242" s="57" t="s">
        <v>132</v>
      </c>
      <c r="BD242" s="58" t="s">
        <v>141</v>
      </c>
      <c r="BE242" s="59">
        <v>2</v>
      </c>
      <c r="BF242" s="60" t="s">
        <v>2831</v>
      </c>
      <c r="BG242" s="61">
        <v>2</v>
      </c>
      <c r="BH242" s="62" t="s">
        <v>141</v>
      </c>
      <c r="BI242" s="63" t="s">
        <v>141</v>
      </c>
      <c r="BJ242" s="64" t="s">
        <v>141</v>
      </c>
      <c r="BK242" s="65" t="s">
        <v>2832</v>
      </c>
      <c r="BL242" s="66" t="s">
        <v>2833</v>
      </c>
      <c r="BM242" s="67" t="s">
        <v>2834</v>
      </c>
      <c r="BN242" s="68" t="s">
        <v>2835</v>
      </c>
      <c r="BO242" s="69" t="s">
        <v>141</v>
      </c>
      <c r="BP242" s="70" t="s">
        <v>141</v>
      </c>
      <c r="BQ242" s="71" t="s">
        <v>141</v>
      </c>
      <c r="BR242" s="72" t="s">
        <v>503</v>
      </c>
      <c r="BS242" s="73" t="s">
        <v>503</v>
      </c>
      <c r="BT242" s="74" t="s">
        <v>141</v>
      </c>
      <c r="BU242" s="75" t="s">
        <v>141</v>
      </c>
      <c r="BV242" s="76" t="s">
        <v>141</v>
      </c>
      <c r="BW242" s="77" t="s">
        <v>141</v>
      </c>
      <c r="BX242" s="78" t="s">
        <v>141</v>
      </c>
      <c r="BY242" s="79" t="s">
        <v>141</v>
      </c>
      <c r="BZ242" s="80" t="s">
        <v>141</v>
      </c>
      <c r="CA242" s="81" t="s">
        <v>141</v>
      </c>
      <c r="CB242" s="82" t="s">
        <v>141</v>
      </c>
      <c r="CC242" s="83" t="s">
        <v>141</v>
      </c>
      <c r="CD242" s="84" t="s">
        <v>141</v>
      </c>
      <c r="CE242" s="85" t="s">
        <v>141</v>
      </c>
      <c r="CF242" s="86" t="s">
        <v>141</v>
      </c>
      <c r="CG242" s="87" t="s">
        <v>141</v>
      </c>
      <c r="CH242" s="88" t="s">
        <v>141</v>
      </c>
      <c r="CI242" s="89" t="s">
        <v>141</v>
      </c>
      <c r="CJ242" s="90" t="s">
        <v>141</v>
      </c>
      <c r="CK242" s="91" t="s">
        <v>141</v>
      </c>
      <c r="CL242" s="92" t="s">
        <v>141</v>
      </c>
      <c r="CM242" s="93" t="s">
        <v>141</v>
      </c>
      <c r="CN242" s="94" t="s">
        <v>141</v>
      </c>
      <c r="CO242" s="95" t="s">
        <v>141</v>
      </c>
      <c r="CP242" s="96" t="s">
        <v>141</v>
      </c>
      <c r="CQ242" s="97" t="s">
        <v>141</v>
      </c>
      <c r="CR242" s="98" t="s">
        <v>141</v>
      </c>
      <c r="CS242" s="99" t="s">
        <v>141</v>
      </c>
      <c r="CT242" s="100" t="s">
        <v>141</v>
      </c>
      <c r="CU242" s="101" t="s">
        <v>141</v>
      </c>
      <c r="CV242" s="102" t="s">
        <v>141</v>
      </c>
      <c r="CW242" s="103" t="s">
        <v>141</v>
      </c>
      <c r="CX242" s="104">
        <v>200</v>
      </c>
      <c r="CY242" s="105" t="s">
        <v>150</v>
      </c>
      <c r="CZ242" s="106" t="s">
        <v>200</v>
      </c>
      <c r="DA242" s="107" t="s">
        <v>152</v>
      </c>
      <c r="DB242" s="108" t="s">
        <v>153</v>
      </c>
      <c r="DC242" s="109" t="s">
        <v>201</v>
      </c>
      <c r="DD242" s="110" t="s">
        <v>201</v>
      </c>
      <c r="DE242" s="111" t="s">
        <v>504</v>
      </c>
      <c r="DF242" s="112" t="s">
        <v>157</v>
      </c>
      <c r="DG242" s="113">
        <v>2012</v>
      </c>
      <c r="DH242" s="114" t="s">
        <v>505</v>
      </c>
      <c r="DI242" s="227" t="str">
        <f>HYPERLINK("https://my.pitchbook.com?c=22309-57T", "View company online")</f>
        <v>View company online</v>
      </c>
    </row>
    <row r="243" spans="1:113" x14ac:dyDescent="0.2">
      <c r="A243" s="115" t="s">
        <v>2836</v>
      </c>
      <c r="B243" s="116" t="s">
        <v>1953</v>
      </c>
      <c r="C243" s="117" t="s">
        <v>1954</v>
      </c>
      <c r="D243" s="118" t="s">
        <v>1955</v>
      </c>
      <c r="E243" s="119" t="s">
        <v>1956</v>
      </c>
      <c r="F243" s="120" t="s">
        <v>126</v>
      </c>
      <c r="G243" s="121" t="s">
        <v>127</v>
      </c>
      <c r="H243" s="122" t="s">
        <v>128</v>
      </c>
      <c r="I243" s="123" t="s">
        <v>129</v>
      </c>
      <c r="J243" s="124" t="s">
        <v>141</v>
      </c>
      <c r="K243" s="125" t="s">
        <v>1957</v>
      </c>
      <c r="L243" s="126" t="s">
        <v>132</v>
      </c>
      <c r="M243" s="127" t="s">
        <v>133</v>
      </c>
      <c r="N243" s="128" t="s">
        <v>134</v>
      </c>
      <c r="O243" s="129" t="s">
        <v>1958</v>
      </c>
      <c r="P243" s="130" t="s">
        <v>1959</v>
      </c>
      <c r="Q243" s="131" t="s">
        <v>1960</v>
      </c>
      <c r="R243" s="132" t="s">
        <v>1961</v>
      </c>
      <c r="S243" s="133" t="s">
        <v>1962</v>
      </c>
      <c r="T243" s="134" t="s">
        <v>141</v>
      </c>
      <c r="U243" s="135">
        <v>1</v>
      </c>
      <c r="V243" s="136" t="s">
        <v>2836</v>
      </c>
      <c r="W243" s="137" t="s">
        <v>141</v>
      </c>
      <c r="X243" s="138">
        <v>43696</v>
      </c>
      <c r="Y243" s="139">
        <v>0.25</v>
      </c>
      <c r="Z243" s="140" t="s">
        <v>177</v>
      </c>
      <c r="AA243" s="141" t="s">
        <v>141</v>
      </c>
      <c r="AB243" s="142" t="s">
        <v>141</v>
      </c>
      <c r="AC243" s="143" t="s">
        <v>141</v>
      </c>
      <c r="AD243" s="144" t="s">
        <v>141</v>
      </c>
      <c r="AE243" s="145">
        <v>0.25</v>
      </c>
      <c r="AF243" s="146" t="s">
        <v>1571</v>
      </c>
      <c r="AG243" s="147" t="s">
        <v>141</v>
      </c>
      <c r="AH243" s="148" t="s">
        <v>141</v>
      </c>
      <c r="AI243" s="149" t="s">
        <v>141</v>
      </c>
      <c r="AJ243" s="150" t="s">
        <v>2622</v>
      </c>
      <c r="AK243" s="151" t="s">
        <v>2622</v>
      </c>
      <c r="AL243" s="152" t="s">
        <v>141</v>
      </c>
      <c r="AM243" s="153" t="s">
        <v>170</v>
      </c>
      <c r="AN243" s="154" t="s">
        <v>2837</v>
      </c>
      <c r="AO243" s="155">
        <v>0.25</v>
      </c>
      <c r="AP243" s="156" t="s">
        <v>145</v>
      </c>
      <c r="AQ243" s="157" t="s">
        <v>141</v>
      </c>
      <c r="AR243" s="158" t="s">
        <v>141</v>
      </c>
      <c r="AS243" s="159" t="s">
        <v>141</v>
      </c>
      <c r="AT243" s="160" t="s">
        <v>141</v>
      </c>
      <c r="AU243" s="161" t="s">
        <v>141</v>
      </c>
      <c r="AV243" s="162" t="s">
        <v>141</v>
      </c>
      <c r="AW243" s="163" t="s">
        <v>141</v>
      </c>
      <c r="AX243" s="164" t="s">
        <v>141</v>
      </c>
      <c r="AY243" s="165" t="s">
        <v>141</v>
      </c>
      <c r="AZ243" s="166" t="s">
        <v>141</v>
      </c>
      <c r="BA243" s="167" t="s">
        <v>146</v>
      </c>
      <c r="BB243" s="168" t="s">
        <v>133</v>
      </c>
      <c r="BC243" s="169" t="s">
        <v>132</v>
      </c>
      <c r="BD243" s="170" t="s">
        <v>141</v>
      </c>
      <c r="BE243" s="171">
        <v>1</v>
      </c>
      <c r="BF243" s="172" t="s">
        <v>1969</v>
      </c>
      <c r="BG243" s="173">
        <v>1</v>
      </c>
      <c r="BH243" s="174" t="s">
        <v>141</v>
      </c>
      <c r="BI243" s="175" t="s">
        <v>141</v>
      </c>
      <c r="BJ243" s="176" t="s">
        <v>141</v>
      </c>
      <c r="BK243" s="177" t="s">
        <v>1970</v>
      </c>
      <c r="BL243" s="178" t="s">
        <v>1971</v>
      </c>
      <c r="BM243" s="179" t="s">
        <v>1971</v>
      </c>
      <c r="BN243" s="180" t="s">
        <v>141</v>
      </c>
      <c r="BO243" s="181" t="s">
        <v>141</v>
      </c>
      <c r="BP243" s="182" t="s">
        <v>141</v>
      </c>
      <c r="BQ243" s="183" t="s">
        <v>141</v>
      </c>
      <c r="BR243" s="184" t="s">
        <v>141</v>
      </c>
      <c r="BS243" s="185" t="s">
        <v>141</v>
      </c>
      <c r="BT243" s="186" t="s">
        <v>141</v>
      </c>
      <c r="BU243" s="187" t="s">
        <v>141</v>
      </c>
      <c r="BV243" s="188" t="s">
        <v>141</v>
      </c>
      <c r="BW243" s="189" t="s">
        <v>141</v>
      </c>
      <c r="BX243" s="190" t="s">
        <v>141</v>
      </c>
      <c r="BY243" s="191" t="s">
        <v>141</v>
      </c>
      <c r="BZ243" s="192" t="s">
        <v>141</v>
      </c>
      <c r="CA243" s="193" t="s">
        <v>141</v>
      </c>
      <c r="CB243" s="194" t="s">
        <v>141</v>
      </c>
      <c r="CC243" s="195" t="s">
        <v>141</v>
      </c>
      <c r="CD243" s="196" t="s">
        <v>141</v>
      </c>
      <c r="CE243" s="197" t="s">
        <v>141</v>
      </c>
      <c r="CF243" s="198" t="s">
        <v>141</v>
      </c>
      <c r="CG243" s="199" t="s">
        <v>141</v>
      </c>
      <c r="CH243" s="200" t="s">
        <v>141</v>
      </c>
      <c r="CI243" s="201" t="s">
        <v>141</v>
      </c>
      <c r="CJ243" s="202" t="s">
        <v>141</v>
      </c>
      <c r="CK243" s="203" t="s">
        <v>141</v>
      </c>
      <c r="CL243" s="204" t="s">
        <v>141</v>
      </c>
      <c r="CM243" s="205" t="s">
        <v>141</v>
      </c>
      <c r="CN243" s="206" t="s">
        <v>141</v>
      </c>
      <c r="CO243" s="207" t="s">
        <v>141</v>
      </c>
      <c r="CP243" s="208" t="s">
        <v>141</v>
      </c>
      <c r="CQ243" s="209" t="s">
        <v>141</v>
      </c>
      <c r="CR243" s="210" t="s">
        <v>141</v>
      </c>
      <c r="CS243" s="211" t="s">
        <v>141</v>
      </c>
      <c r="CT243" s="212" t="s">
        <v>141</v>
      </c>
      <c r="CU243" s="213" t="s">
        <v>141</v>
      </c>
      <c r="CV243" s="214" t="s">
        <v>141</v>
      </c>
      <c r="CW243" s="215" t="s">
        <v>141</v>
      </c>
      <c r="CX243" s="216" t="s">
        <v>141</v>
      </c>
      <c r="CY243" s="217" t="s">
        <v>150</v>
      </c>
      <c r="CZ243" s="218" t="s">
        <v>1964</v>
      </c>
      <c r="DA243" s="219" t="s">
        <v>152</v>
      </c>
      <c r="DB243" s="220" t="s">
        <v>153</v>
      </c>
      <c r="DC243" s="221" t="s">
        <v>1965</v>
      </c>
      <c r="DD243" s="222" t="s">
        <v>1966</v>
      </c>
      <c r="DE243" s="223" t="s">
        <v>141</v>
      </c>
      <c r="DF243" s="224" t="s">
        <v>157</v>
      </c>
      <c r="DG243" s="225">
        <v>2019</v>
      </c>
      <c r="DH243" s="226" t="s">
        <v>1967</v>
      </c>
      <c r="DI243" s="228" t="str">
        <f>HYPERLINK("https://my.pitchbook.com?c=123023-44T", "View company online")</f>
        <v>View company online</v>
      </c>
    </row>
    <row r="244" spans="1:113" x14ac:dyDescent="0.2">
      <c r="A244" s="3" t="s">
        <v>2838</v>
      </c>
      <c r="B244" s="4" t="s">
        <v>1953</v>
      </c>
      <c r="C244" s="5" t="s">
        <v>1954</v>
      </c>
      <c r="D244" s="6" t="s">
        <v>1955</v>
      </c>
      <c r="E244" s="7" t="s">
        <v>1956</v>
      </c>
      <c r="F244" s="8" t="s">
        <v>126</v>
      </c>
      <c r="G244" s="9" t="s">
        <v>127</v>
      </c>
      <c r="H244" s="10" t="s">
        <v>128</v>
      </c>
      <c r="I244" s="11" t="s">
        <v>129</v>
      </c>
      <c r="J244" s="12" t="s">
        <v>141</v>
      </c>
      <c r="K244" s="13" t="s">
        <v>1957</v>
      </c>
      <c r="L244" s="14" t="s">
        <v>132</v>
      </c>
      <c r="M244" s="15" t="s">
        <v>133</v>
      </c>
      <c r="N244" s="16" t="s">
        <v>134</v>
      </c>
      <c r="O244" s="17" t="s">
        <v>1958</v>
      </c>
      <c r="P244" s="18" t="s">
        <v>1959</v>
      </c>
      <c r="Q244" s="19" t="s">
        <v>1960</v>
      </c>
      <c r="R244" s="20" t="s">
        <v>1961</v>
      </c>
      <c r="S244" s="21" t="s">
        <v>1962</v>
      </c>
      <c r="T244" s="22" t="s">
        <v>141</v>
      </c>
      <c r="U244" s="23">
        <v>3</v>
      </c>
      <c r="V244" s="24" t="s">
        <v>2838</v>
      </c>
      <c r="W244" s="25" t="s">
        <v>141</v>
      </c>
      <c r="X244" s="26">
        <v>43893</v>
      </c>
      <c r="Y244" s="27">
        <v>1.01</v>
      </c>
      <c r="Z244" s="28" t="s">
        <v>177</v>
      </c>
      <c r="AA244" s="29">
        <v>4</v>
      </c>
      <c r="AB244" s="30">
        <v>5.01</v>
      </c>
      <c r="AC244" s="31" t="s">
        <v>177</v>
      </c>
      <c r="AD244" s="32">
        <v>20.22</v>
      </c>
      <c r="AE244" s="33">
        <v>1.73</v>
      </c>
      <c r="AF244" s="34" t="s">
        <v>1516</v>
      </c>
      <c r="AG244" s="35" t="s">
        <v>141</v>
      </c>
      <c r="AH244" s="36">
        <v>1.7</v>
      </c>
      <c r="AI244" s="37" t="s">
        <v>141</v>
      </c>
      <c r="AJ244" s="38" t="s">
        <v>2622</v>
      </c>
      <c r="AK244" s="39" t="s">
        <v>2622</v>
      </c>
      <c r="AL244" s="40" t="s">
        <v>141</v>
      </c>
      <c r="AM244" s="41" t="s">
        <v>170</v>
      </c>
      <c r="AN244" s="42" t="s">
        <v>2839</v>
      </c>
      <c r="AO244" s="43">
        <v>1.01</v>
      </c>
      <c r="AP244" s="44" t="s">
        <v>145</v>
      </c>
      <c r="AQ244" s="45" t="s">
        <v>141</v>
      </c>
      <c r="AR244" s="46" t="s">
        <v>141</v>
      </c>
      <c r="AS244" s="47" t="s">
        <v>141</v>
      </c>
      <c r="AT244" s="48" t="s">
        <v>141</v>
      </c>
      <c r="AU244" s="49" t="s">
        <v>141</v>
      </c>
      <c r="AV244" s="50" t="s">
        <v>141</v>
      </c>
      <c r="AW244" s="51" t="s">
        <v>141</v>
      </c>
      <c r="AX244" s="52" t="s">
        <v>141</v>
      </c>
      <c r="AY244" s="53" t="s">
        <v>141</v>
      </c>
      <c r="AZ244" s="54" t="s">
        <v>141</v>
      </c>
      <c r="BA244" s="55" t="s">
        <v>146</v>
      </c>
      <c r="BB244" s="56" t="s">
        <v>133</v>
      </c>
      <c r="BC244" s="57" t="s">
        <v>132</v>
      </c>
      <c r="BD244" s="58" t="s">
        <v>141</v>
      </c>
      <c r="BE244" s="59" t="s">
        <v>141</v>
      </c>
      <c r="BF244" s="60" t="s">
        <v>141</v>
      </c>
      <c r="BG244" s="61" t="s">
        <v>141</v>
      </c>
      <c r="BH244" s="62" t="s">
        <v>141</v>
      </c>
      <c r="BI244" s="63" t="s">
        <v>141</v>
      </c>
      <c r="BJ244" s="64" t="s">
        <v>141</v>
      </c>
      <c r="BK244" s="65" t="s">
        <v>141</v>
      </c>
      <c r="BL244" s="66" t="s">
        <v>141</v>
      </c>
      <c r="BM244" s="67" t="s">
        <v>141</v>
      </c>
      <c r="BN244" s="68" t="s">
        <v>141</v>
      </c>
      <c r="BO244" s="69" t="s">
        <v>141</v>
      </c>
      <c r="BP244" s="70" t="s">
        <v>141</v>
      </c>
      <c r="BQ244" s="71" t="s">
        <v>141</v>
      </c>
      <c r="BR244" s="72" t="s">
        <v>141</v>
      </c>
      <c r="BS244" s="73" t="s">
        <v>141</v>
      </c>
      <c r="BT244" s="74" t="s">
        <v>141</v>
      </c>
      <c r="BU244" s="75" t="s">
        <v>141</v>
      </c>
      <c r="BV244" s="76" t="s">
        <v>141</v>
      </c>
      <c r="BW244" s="77" t="s">
        <v>141</v>
      </c>
      <c r="BX244" s="78" t="s">
        <v>141</v>
      </c>
      <c r="BY244" s="79" t="s">
        <v>141</v>
      </c>
      <c r="BZ244" s="80" t="s">
        <v>141</v>
      </c>
      <c r="CA244" s="81" t="s">
        <v>141</v>
      </c>
      <c r="CB244" s="82" t="s">
        <v>141</v>
      </c>
      <c r="CC244" s="83" t="s">
        <v>141</v>
      </c>
      <c r="CD244" s="84" t="s">
        <v>141</v>
      </c>
      <c r="CE244" s="85" t="s">
        <v>141</v>
      </c>
      <c r="CF244" s="86" t="s">
        <v>141</v>
      </c>
      <c r="CG244" s="87" t="s">
        <v>141</v>
      </c>
      <c r="CH244" s="88" t="s">
        <v>141</v>
      </c>
      <c r="CI244" s="89" t="s">
        <v>141</v>
      </c>
      <c r="CJ244" s="90" t="s">
        <v>141</v>
      </c>
      <c r="CK244" s="91" t="s">
        <v>141</v>
      </c>
      <c r="CL244" s="92" t="s">
        <v>141</v>
      </c>
      <c r="CM244" s="93" t="s">
        <v>141</v>
      </c>
      <c r="CN244" s="94" t="s">
        <v>141</v>
      </c>
      <c r="CO244" s="95" t="s">
        <v>141</v>
      </c>
      <c r="CP244" s="96" t="s">
        <v>141</v>
      </c>
      <c r="CQ244" s="97" t="s">
        <v>141</v>
      </c>
      <c r="CR244" s="98" t="s">
        <v>141</v>
      </c>
      <c r="CS244" s="99" t="s">
        <v>141</v>
      </c>
      <c r="CT244" s="100" t="s">
        <v>141</v>
      </c>
      <c r="CU244" s="101" t="s">
        <v>141</v>
      </c>
      <c r="CV244" s="102" t="s">
        <v>141</v>
      </c>
      <c r="CW244" s="103" t="s">
        <v>141</v>
      </c>
      <c r="CX244" s="104" t="s">
        <v>141</v>
      </c>
      <c r="CY244" s="105" t="s">
        <v>150</v>
      </c>
      <c r="CZ244" s="106" t="s">
        <v>1964</v>
      </c>
      <c r="DA244" s="107" t="s">
        <v>152</v>
      </c>
      <c r="DB244" s="108" t="s">
        <v>153</v>
      </c>
      <c r="DC244" s="109" t="s">
        <v>1965</v>
      </c>
      <c r="DD244" s="110" t="s">
        <v>1966</v>
      </c>
      <c r="DE244" s="111" t="s">
        <v>141</v>
      </c>
      <c r="DF244" s="112" t="s">
        <v>157</v>
      </c>
      <c r="DG244" s="113">
        <v>2019</v>
      </c>
      <c r="DH244" s="114" t="s">
        <v>1967</v>
      </c>
      <c r="DI244" s="227" t="str">
        <f>HYPERLINK("https://my.pitchbook.com?c=130104-37T", "View company online")</f>
        <v>View company online</v>
      </c>
    </row>
    <row r="245" spans="1:113" x14ac:dyDescent="0.2">
      <c r="A245" s="115" t="s">
        <v>2840</v>
      </c>
      <c r="B245" s="116" t="s">
        <v>2009</v>
      </c>
      <c r="C245" s="117" t="s">
        <v>2010</v>
      </c>
      <c r="D245" s="118" t="s">
        <v>2011</v>
      </c>
      <c r="E245" s="119" t="s">
        <v>2012</v>
      </c>
      <c r="F245" s="120" t="s">
        <v>164</v>
      </c>
      <c r="G245" s="121" t="s">
        <v>165</v>
      </c>
      <c r="H245" s="122" t="s">
        <v>190</v>
      </c>
      <c r="I245" s="123" t="s">
        <v>2013</v>
      </c>
      <c r="J245" s="124" t="s">
        <v>897</v>
      </c>
      <c r="K245" s="125" t="s">
        <v>2014</v>
      </c>
      <c r="L245" s="126" t="s">
        <v>345</v>
      </c>
      <c r="M245" s="127" t="s">
        <v>133</v>
      </c>
      <c r="N245" s="128" t="s">
        <v>134</v>
      </c>
      <c r="O245" s="129" t="s">
        <v>2015</v>
      </c>
      <c r="P245" s="130" t="s">
        <v>2016</v>
      </c>
      <c r="Q245" s="131" t="s">
        <v>2017</v>
      </c>
      <c r="R245" s="132" t="s">
        <v>141</v>
      </c>
      <c r="S245" s="133" t="s">
        <v>2018</v>
      </c>
      <c r="T245" s="134" t="s">
        <v>2019</v>
      </c>
      <c r="U245" s="135">
        <v>1</v>
      </c>
      <c r="V245" s="136" t="s">
        <v>2840</v>
      </c>
      <c r="W245" s="137" t="s">
        <v>141</v>
      </c>
      <c r="X245" s="138">
        <v>41844</v>
      </c>
      <c r="Y245" s="139">
        <v>2</v>
      </c>
      <c r="Z245" s="140" t="s">
        <v>887</v>
      </c>
      <c r="AA245" s="141" t="s">
        <v>141</v>
      </c>
      <c r="AB245" s="142" t="s">
        <v>141</v>
      </c>
      <c r="AC245" s="143" t="s">
        <v>141</v>
      </c>
      <c r="AD245" s="144" t="s">
        <v>141</v>
      </c>
      <c r="AE245" s="145">
        <v>2</v>
      </c>
      <c r="AF245" s="146" t="s">
        <v>1571</v>
      </c>
      <c r="AG245" s="147" t="s">
        <v>141</v>
      </c>
      <c r="AH245" s="148" t="s">
        <v>141</v>
      </c>
      <c r="AI245" s="149" t="s">
        <v>141</v>
      </c>
      <c r="AJ245" s="150" t="s">
        <v>2622</v>
      </c>
      <c r="AK245" s="151" t="s">
        <v>2622</v>
      </c>
      <c r="AL245" s="152" t="s">
        <v>141</v>
      </c>
      <c r="AM245" s="153" t="s">
        <v>170</v>
      </c>
      <c r="AN245" s="154" t="s">
        <v>2841</v>
      </c>
      <c r="AO245" s="155">
        <v>2</v>
      </c>
      <c r="AP245" s="156" t="s">
        <v>145</v>
      </c>
      <c r="AQ245" s="157" t="s">
        <v>141</v>
      </c>
      <c r="AR245" s="158" t="s">
        <v>141</v>
      </c>
      <c r="AS245" s="159" t="s">
        <v>141</v>
      </c>
      <c r="AT245" s="160" t="s">
        <v>141</v>
      </c>
      <c r="AU245" s="161" t="s">
        <v>141</v>
      </c>
      <c r="AV245" s="162" t="s">
        <v>141</v>
      </c>
      <c r="AW245" s="163" t="s">
        <v>141</v>
      </c>
      <c r="AX245" s="164" t="s">
        <v>141</v>
      </c>
      <c r="AY245" s="165" t="s">
        <v>141</v>
      </c>
      <c r="AZ245" s="166" t="s">
        <v>141</v>
      </c>
      <c r="BA245" s="167" t="s">
        <v>146</v>
      </c>
      <c r="BB245" s="168" t="s">
        <v>263</v>
      </c>
      <c r="BC245" s="169" t="s">
        <v>132</v>
      </c>
      <c r="BD245" s="170" t="s">
        <v>141</v>
      </c>
      <c r="BE245" s="171">
        <v>6</v>
      </c>
      <c r="BF245" s="172" t="s">
        <v>2842</v>
      </c>
      <c r="BG245" s="173">
        <v>6</v>
      </c>
      <c r="BH245" s="174" t="s">
        <v>141</v>
      </c>
      <c r="BI245" s="175" t="s">
        <v>141</v>
      </c>
      <c r="BJ245" s="176" t="s">
        <v>141</v>
      </c>
      <c r="BK245" s="177" t="s">
        <v>2843</v>
      </c>
      <c r="BL245" s="178" t="s">
        <v>2844</v>
      </c>
      <c r="BM245" s="179" t="s">
        <v>141</v>
      </c>
      <c r="BN245" s="180" t="s">
        <v>141</v>
      </c>
      <c r="BO245" s="181" t="s">
        <v>141</v>
      </c>
      <c r="BP245" s="182" t="s">
        <v>141</v>
      </c>
      <c r="BQ245" s="183" t="s">
        <v>141</v>
      </c>
      <c r="BR245" s="184" t="s">
        <v>141</v>
      </c>
      <c r="BS245" s="185" t="s">
        <v>141</v>
      </c>
      <c r="BT245" s="186" t="s">
        <v>141</v>
      </c>
      <c r="BU245" s="187" t="s">
        <v>141</v>
      </c>
      <c r="BV245" s="188" t="s">
        <v>141</v>
      </c>
      <c r="BW245" s="189" t="s">
        <v>141</v>
      </c>
      <c r="BX245" s="190">
        <v>0.42</v>
      </c>
      <c r="BY245" s="191" t="s">
        <v>141</v>
      </c>
      <c r="BZ245" s="192" t="s">
        <v>141</v>
      </c>
      <c r="CA245" s="193" t="s">
        <v>141</v>
      </c>
      <c r="CB245" s="194" t="s">
        <v>141</v>
      </c>
      <c r="CC245" s="195" t="s">
        <v>141</v>
      </c>
      <c r="CD245" s="196" t="s">
        <v>141</v>
      </c>
      <c r="CE245" s="197">
        <v>2014</v>
      </c>
      <c r="CF245" s="198" t="s">
        <v>141</v>
      </c>
      <c r="CG245" s="199" t="s">
        <v>141</v>
      </c>
      <c r="CH245" s="200" t="s">
        <v>141</v>
      </c>
      <c r="CI245" s="201" t="s">
        <v>141</v>
      </c>
      <c r="CJ245" s="202" t="s">
        <v>141</v>
      </c>
      <c r="CK245" s="203" t="s">
        <v>141</v>
      </c>
      <c r="CL245" s="204" t="s">
        <v>141</v>
      </c>
      <c r="CM245" s="205" t="s">
        <v>141</v>
      </c>
      <c r="CN245" s="206">
        <v>4.7300000000000004</v>
      </c>
      <c r="CO245" s="207" t="s">
        <v>141</v>
      </c>
      <c r="CP245" s="208" t="s">
        <v>141</v>
      </c>
      <c r="CQ245" s="209" t="s">
        <v>141</v>
      </c>
      <c r="CR245" s="210" t="s">
        <v>141</v>
      </c>
      <c r="CS245" s="211" t="s">
        <v>141</v>
      </c>
      <c r="CT245" s="212" t="s">
        <v>141</v>
      </c>
      <c r="CU245" s="213" t="s">
        <v>141</v>
      </c>
      <c r="CV245" s="214" t="s">
        <v>141</v>
      </c>
      <c r="CW245" s="215" t="s">
        <v>141</v>
      </c>
      <c r="CX245" s="216">
        <v>1800</v>
      </c>
      <c r="CY245" s="217" t="s">
        <v>150</v>
      </c>
      <c r="CZ245" s="218" t="s">
        <v>327</v>
      </c>
      <c r="DA245" s="219" t="s">
        <v>152</v>
      </c>
      <c r="DB245" s="220" t="s">
        <v>153</v>
      </c>
      <c r="DC245" s="221" t="s">
        <v>328</v>
      </c>
      <c r="DD245" s="222" t="s">
        <v>329</v>
      </c>
      <c r="DE245" s="223" t="s">
        <v>1203</v>
      </c>
      <c r="DF245" s="224" t="s">
        <v>157</v>
      </c>
      <c r="DG245" s="225">
        <v>2013</v>
      </c>
      <c r="DH245" s="226" t="s">
        <v>2026</v>
      </c>
      <c r="DI245" s="228" t="str">
        <f>HYPERLINK("https://my.pitchbook.com?c=36023-32T", "View company online")</f>
        <v>View company online</v>
      </c>
    </row>
    <row r="246" spans="1:113" x14ac:dyDescent="0.2">
      <c r="A246" s="3" t="s">
        <v>2845</v>
      </c>
      <c r="B246" s="4" t="s">
        <v>560</v>
      </c>
      <c r="C246" s="5" t="s">
        <v>561</v>
      </c>
      <c r="D246" s="6" t="s">
        <v>562</v>
      </c>
      <c r="E246" s="7" t="s">
        <v>563</v>
      </c>
      <c r="F246" s="8" t="s">
        <v>126</v>
      </c>
      <c r="G246" s="9" t="s">
        <v>127</v>
      </c>
      <c r="H246" s="10" t="s">
        <v>128</v>
      </c>
      <c r="I246" s="11" t="s">
        <v>129</v>
      </c>
      <c r="J246" s="12" t="s">
        <v>130</v>
      </c>
      <c r="K246" s="13" t="s">
        <v>564</v>
      </c>
      <c r="L246" s="14" t="s">
        <v>132</v>
      </c>
      <c r="M246" s="15" t="s">
        <v>133</v>
      </c>
      <c r="N246" s="16" t="s">
        <v>134</v>
      </c>
      <c r="O246" s="17" t="s">
        <v>565</v>
      </c>
      <c r="P246" s="18" t="s">
        <v>566</v>
      </c>
      <c r="Q246" s="19" t="s">
        <v>567</v>
      </c>
      <c r="R246" s="20" t="s">
        <v>568</v>
      </c>
      <c r="S246" s="21" t="s">
        <v>569</v>
      </c>
      <c r="T246" s="22" t="s">
        <v>570</v>
      </c>
      <c r="U246" s="23">
        <v>1</v>
      </c>
      <c r="V246" s="24" t="s">
        <v>2845</v>
      </c>
      <c r="W246" s="25" t="s">
        <v>141</v>
      </c>
      <c r="X246" s="26">
        <v>42907</v>
      </c>
      <c r="Y246" s="27">
        <v>2.78</v>
      </c>
      <c r="Z246" s="28" t="s">
        <v>177</v>
      </c>
      <c r="AA246" s="29">
        <v>7</v>
      </c>
      <c r="AB246" s="30">
        <v>9.7799999999999994</v>
      </c>
      <c r="AC246" s="31" t="s">
        <v>177</v>
      </c>
      <c r="AD246" s="32">
        <v>28.46</v>
      </c>
      <c r="AE246" s="33">
        <v>2.78</v>
      </c>
      <c r="AF246" s="34" t="s">
        <v>1571</v>
      </c>
      <c r="AG246" s="35" t="s">
        <v>141</v>
      </c>
      <c r="AH246" s="36">
        <v>1.24</v>
      </c>
      <c r="AI246" s="37" t="s">
        <v>141</v>
      </c>
      <c r="AJ246" s="38" t="s">
        <v>2622</v>
      </c>
      <c r="AK246" s="39" t="s">
        <v>2622</v>
      </c>
      <c r="AL246" s="40" t="s">
        <v>141</v>
      </c>
      <c r="AM246" s="41" t="s">
        <v>170</v>
      </c>
      <c r="AN246" s="42" t="s">
        <v>2846</v>
      </c>
      <c r="AO246" s="43">
        <v>2.78</v>
      </c>
      <c r="AP246" s="44" t="s">
        <v>145</v>
      </c>
      <c r="AQ246" s="45" t="s">
        <v>141</v>
      </c>
      <c r="AR246" s="46" t="s">
        <v>141</v>
      </c>
      <c r="AS246" s="47" t="s">
        <v>141</v>
      </c>
      <c r="AT246" s="48" t="s">
        <v>141</v>
      </c>
      <c r="AU246" s="49" t="s">
        <v>141</v>
      </c>
      <c r="AV246" s="50" t="s">
        <v>141</v>
      </c>
      <c r="AW246" s="51" t="s">
        <v>141</v>
      </c>
      <c r="AX246" s="52" t="s">
        <v>141</v>
      </c>
      <c r="AY246" s="53" t="s">
        <v>141</v>
      </c>
      <c r="AZ246" s="54" t="s">
        <v>141</v>
      </c>
      <c r="BA246" s="55" t="s">
        <v>146</v>
      </c>
      <c r="BB246" s="56" t="s">
        <v>133</v>
      </c>
      <c r="BC246" s="57" t="s">
        <v>132</v>
      </c>
      <c r="BD246" s="58">
        <v>2</v>
      </c>
      <c r="BE246" s="59">
        <v>4</v>
      </c>
      <c r="BF246" s="60" t="s">
        <v>2847</v>
      </c>
      <c r="BG246" s="61">
        <v>4</v>
      </c>
      <c r="BH246" s="62" t="s">
        <v>141</v>
      </c>
      <c r="BI246" s="63" t="s">
        <v>141</v>
      </c>
      <c r="BJ246" s="64" t="s">
        <v>141</v>
      </c>
      <c r="BK246" s="65" t="s">
        <v>2848</v>
      </c>
      <c r="BL246" s="66" t="s">
        <v>2849</v>
      </c>
      <c r="BM246" s="67" t="s">
        <v>2850</v>
      </c>
      <c r="BN246" s="68" t="s">
        <v>2851</v>
      </c>
      <c r="BO246" s="69" t="s">
        <v>141</v>
      </c>
      <c r="BP246" s="70" t="s">
        <v>141</v>
      </c>
      <c r="BQ246" s="71" t="s">
        <v>141</v>
      </c>
      <c r="BR246" s="72" t="s">
        <v>2852</v>
      </c>
      <c r="BS246" s="73" t="s">
        <v>2852</v>
      </c>
      <c r="BT246" s="74" t="s">
        <v>141</v>
      </c>
      <c r="BU246" s="75" t="s">
        <v>141</v>
      </c>
      <c r="BV246" s="76" t="s">
        <v>141</v>
      </c>
      <c r="BW246" s="77" t="s">
        <v>141</v>
      </c>
      <c r="BX246" s="78" t="s">
        <v>141</v>
      </c>
      <c r="BY246" s="79" t="s">
        <v>141</v>
      </c>
      <c r="BZ246" s="80" t="s">
        <v>141</v>
      </c>
      <c r="CA246" s="81" t="s">
        <v>141</v>
      </c>
      <c r="CB246" s="82" t="s">
        <v>141</v>
      </c>
      <c r="CC246" s="83" t="s">
        <v>141</v>
      </c>
      <c r="CD246" s="84" t="s">
        <v>141</v>
      </c>
      <c r="CE246" s="85" t="s">
        <v>141</v>
      </c>
      <c r="CF246" s="86" t="s">
        <v>141</v>
      </c>
      <c r="CG246" s="87" t="s">
        <v>141</v>
      </c>
      <c r="CH246" s="88" t="s">
        <v>141</v>
      </c>
      <c r="CI246" s="89" t="s">
        <v>141</v>
      </c>
      <c r="CJ246" s="90" t="s">
        <v>141</v>
      </c>
      <c r="CK246" s="91" t="s">
        <v>141</v>
      </c>
      <c r="CL246" s="92" t="s">
        <v>141</v>
      </c>
      <c r="CM246" s="93" t="s">
        <v>141</v>
      </c>
      <c r="CN246" s="94" t="s">
        <v>141</v>
      </c>
      <c r="CO246" s="95" t="s">
        <v>141</v>
      </c>
      <c r="CP246" s="96" t="s">
        <v>141</v>
      </c>
      <c r="CQ246" s="97" t="s">
        <v>141</v>
      </c>
      <c r="CR246" s="98" t="s">
        <v>141</v>
      </c>
      <c r="CS246" s="99" t="s">
        <v>141</v>
      </c>
      <c r="CT246" s="100" t="s">
        <v>141</v>
      </c>
      <c r="CU246" s="101" t="s">
        <v>141</v>
      </c>
      <c r="CV246" s="102" t="s">
        <v>141</v>
      </c>
      <c r="CW246" s="103" t="s">
        <v>141</v>
      </c>
      <c r="CX246" s="104">
        <v>81</v>
      </c>
      <c r="CY246" s="105" t="s">
        <v>150</v>
      </c>
      <c r="CZ246" s="106" t="s">
        <v>575</v>
      </c>
      <c r="DA246" s="107" t="s">
        <v>152</v>
      </c>
      <c r="DB246" s="108" t="s">
        <v>153</v>
      </c>
      <c r="DC246" s="109" t="s">
        <v>576</v>
      </c>
      <c r="DD246" s="110" t="s">
        <v>577</v>
      </c>
      <c r="DE246" s="111" t="s">
        <v>578</v>
      </c>
      <c r="DF246" s="112" t="s">
        <v>157</v>
      </c>
      <c r="DG246" s="113">
        <v>2017</v>
      </c>
      <c r="DH246" s="114" t="s">
        <v>579</v>
      </c>
      <c r="DI246" s="227" t="str">
        <f>HYPERLINK("https://my.pitchbook.com?c=84927-25T", "View company online")</f>
        <v>View company online</v>
      </c>
    </row>
    <row r="247" spans="1:113" x14ac:dyDescent="0.2">
      <c r="A247" s="115" t="s">
        <v>2853</v>
      </c>
      <c r="B247" s="116" t="s">
        <v>2854</v>
      </c>
      <c r="C247" s="117" t="s">
        <v>2855</v>
      </c>
      <c r="D247" s="118" t="s">
        <v>2856</v>
      </c>
      <c r="E247" s="119" t="s">
        <v>2857</v>
      </c>
      <c r="F247" s="120" t="s">
        <v>126</v>
      </c>
      <c r="G247" s="121" t="s">
        <v>127</v>
      </c>
      <c r="H247" s="122" t="s">
        <v>128</v>
      </c>
      <c r="I247" s="123" t="s">
        <v>129</v>
      </c>
      <c r="J247" s="124" t="s">
        <v>773</v>
      </c>
      <c r="K247" s="125" t="s">
        <v>2858</v>
      </c>
      <c r="L247" s="126" t="s">
        <v>132</v>
      </c>
      <c r="M247" s="127" t="s">
        <v>133</v>
      </c>
      <c r="N247" s="128" t="s">
        <v>170</v>
      </c>
      <c r="O247" s="129" t="s">
        <v>2859</v>
      </c>
      <c r="P247" s="130" t="s">
        <v>2860</v>
      </c>
      <c r="Q247" s="131" t="s">
        <v>141</v>
      </c>
      <c r="R247" s="132" t="s">
        <v>2861</v>
      </c>
      <c r="S247" s="133" t="s">
        <v>2862</v>
      </c>
      <c r="T247" s="134" t="s">
        <v>2863</v>
      </c>
      <c r="U247" s="135">
        <v>1</v>
      </c>
      <c r="V247" s="136" t="s">
        <v>2853</v>
      </c>
      <c r="W247" s="137" t="s">
        <v>141</v>
      </c>
      <c r="X247" s="138">
        <v>43017</v>
      </c>
      <c r="Y247" s="139">
        <v>2.67</v>
      </c>
      <c r="Z247" s="140" t="s">
        <v>177</v>
      </c>
      <c r="AA247" s="141" t="s">
        <v>141</v>
      </c>
      <c r="AB247" s="142" t="s">
        <v>141</v>
      </c>
      <c r="AC247" s="143" t="s">
        <v>141</v>
      </c>
      <c r="AD247" s="144" t="s">
        <v>141</v>
      </c>
      <c r="AE247" s="145">
        <v>2.67</v>
      </c>
      <c r="AF247" s="146" t="s">
        <v>1571</v>
      </c>
      <c r="AG247" s="147" t="s">
        <v>141</v>
      </c>
      <c r="AH247" s="148" t="s">
        <v>141</v>
      </c>
      <c r="AI247" s="149" t="s">
        <v>141</v>
      </c>
      <c r="AJ247" s="150" t="s">
        <v>2622</v>
      </c>
      <c r="AK247" s="151" t="s">
        <v>2622</v>
      </c>
      <c r="AL247" s="152" t="s">
        <v>141</v>
      </c>
      <c r="AM247" s="153" t="s">
        <v>170</v>
      </c>
      <c r="AN247" s="154" t="s">
        <v>2864</v>
      </c>
      <c r="AO247" s="155">
        <v>2.67</v>
      </c>
      <c r="AP247" s="156" t="s">
        <v>145</v>
      </c>
      <c r="AQ247" s="157" t="s">
        <v>141</v>
      </c>
      <c r="AR247" s="158" t="s">
        <v>141</v>
      </c>
      <c r="AS247" s="159" t="s">
        <v>141</v>
      </c>
      <c r="AT247" s="160" t="s">
        <v>141</v>
      </c>
      <c r="AU247" s="161" t="s">
        <v>141</v>
      </c>
      <c r="AV247" s="162" t="s">
        <v>141</v>
      </c>
      <c r="AW247" s="163" t="s">
        <v>141</v>
      </c>
      <c r="AX247" s="164" t="s">
        <v>141</v>
      </c>
      <c r="AY247" s="165" t="s">
        <v>141</v>
      </c>
      <c r="AZ247" s="166" t="s">
        <v>141</v>
      </c>
      <c r="BA247" s="167" t="s">
        <v>146</v>
      </c>
      <c r="BB247" s="168" t="s">
        <v>133</v>
      </c>
      <c r="BC247" s="169" t="s">
        <v>132</v>
      </c>
      <c r="BD247" s="170" t="s">
        <v>141</v>
      </c>
      <c r="BE247" s="171">
        <v>2</v>
      </c>
      <c r="BF247" s="172" t="s">
        <v>2865</v>
      </c>
      <c r="BG247" s="173">
        <v>2</v>
      </c>
      <c r="BH247" s="174" t="s">
        <v>141</v>
      </c>
      <c r="BI247" s="175" t="s">
        <v>141</v>
      </c>
      <c r="BJ247" s="176" t="s">
        <v>141</v>
      </c>
      <c r="BK247" s="177" t="s">
        <v>2866</v>
      </c>
      <c r="BL247" s="178" t="s">
        <v>2867</v>
      </c>
      <c r="BM247" s="179" t="s">
        <v>141</v>
      </c>
      <c r="BN247" s="180" t="s">
        <v>141</v>
      </c>
      <c r="BO247" s="181" t="s">
        <v>141</v>
      </c>
      <c r="BP247" s="182" t="s">
        <v>141</v>
      </c>
      <c r="BQ247" s="183" t="s">
        <v>141</v>
      </c>
      <c r="BR247" s="184" t="s">
        <v>141</v>
      </c>
      <c r="BS247" s="185" t="s">
        <v>141</v>
      </c>
      <c r="BT247" s="186" t="s">
        <v>141</v>
      </c>
      <c r="BU247" s="187" t="s">
        <v>141</v>
      </c>
      <c r="BV247" s="188" t="s">
        <v>141</v>
      </c>
      <c r="BW247" s="189" t="s">
        <v>141</v>
      </c>
      <c r="BX247" s="190" t="s">
        <v>141</v>
      </c>
      <c r="BY247" s="191" t="s">
        <v>141</v>
      </c>
      <c r="BZ247" s="192" t="s">
        <v>141</v>
      </c>
      <c r="CA247" s="193" t="s">
        <v>141</v>
      </c>
      <c r="CB247" s="194" t="s">
        <v>141</v>
      </c>
      <c r="CC247" s="195" t="s">
        <v>141</v>
      </c>
      <c r="CD247" s="196" t="s">
        <v>141</v>
      </c>
      <c r="CE247" s="197">
        <v>2017</v>
      </c>
      <c r="CF247" s="198" t="s">
        <v>141</v>
      </c>
      <c r="CG247" s="199" t="s">
        <v>141</v>
      </c>
      <c r="CH247" s="200" t="s">
        <v>141</v>
      </c>
      <c r="CI247" s="201" t="s">
        <v>141</v>
      </c>
      <c r="CJ247" s="202" t="s">
        <v>141</v>
      </c>
      <c r="CK247" s="203" t="s">
        <v>141</v>
      </c>
      <c r="CL247" s="204" t="s">
        <v>141</v>
      </c>
      <c r="CM247" s="205" t="s">
        <v>141</v>
      </c>
      <c r="CN247" s="206" t="s">
        <v>141</v>
      </c>
      <c r="CO247" s="207" t="s">
        <v>141</v>
      </c>
      <c r="CP247" s="208" t="s">
        <v>141</v>
      </c>
      <c r="CQ247" s="209" t="s">
        <v>141</v>
      </c>
      <c r="CR247" s="210" t="s">
        <v>141</v>
      </c>
      <c r="CS247" s="211" t="s">
        <v>141</v>
      </c>
      <c r="CT247" s="212" t="s">
        <v>141</v>
      </c>
      <c r="CU247" s="213" t="s">
        <v>141</v>
      </c>
      <c r="CV247" s="214" t="s">
        <v>141</v>
      </c>
      <c r="CW247" s="215" t="s">
        <v>141</v>
      </c>
      <c r="CX247" s="216" t="s">
        <v>141</v>
      </c>
      <c r="CY247" s="217" t="s">
        <v>640</v>
      </c>
      <c r="CZ247" s="218" t="s">
        <v>1136</v>
      </c>
      <c r="DA247" s="219" t="s">
        <v>642</v>
      </c>
      <c r="DB247" s="220" t="s">
        <v>643</v>
      </c>
      <c r="DC247" s="221" t="s">
        <v>1137</v>
      </c>
      <c r="DD247" s="222" t="s">
        <v>644</v>
      </c>
      <c r="DE247" s="223" t="s">
        <v>2868</v>
      </c>
      <c r="DF247" s="224" t="s">
        <v>641</v>
      </c>
      <c r="DG247" s="225">
        <v>2014</v>
      </c>
      <c r="DH247" s="226" t="s">
        <v>2869</v>
      </c>
      <c r="DI247" s="228" t="str">
        <f>HYPERLINK("https://my.pitchbook.com?c=95510-53T", "View company online")</f>
        <v>View company online</v>
      </c>
    </row>
    <row r="248" spans="1:113" x14ac:dyDescent="0.2">
      <c r="A248" s="3" t="s">
        <v>2870</v>
      </c>
      <c r="B248" s="4" t="s">
        <v>664</v>
      </c>
      <c r="C248" s="5" t="s">
        <v>665</v>
      </c>
      <c r="D248" s="6" t="s">
        <v>666</v>
      </c>
      <c r="E248" s="7" t="s">
        <v>667</v>
      </c>
      <c r="F248" s="8" t="s">
        <v>126</v>
      </c>
      <c r="G248" s="9" t="s">
        <v>127</v>
      </c>
      <c r="H248" s="10" t="s">
        <v>128</v>
      </c>
      <c r="I248" s="11" t="s">
        <v>668</v>
      </c>
      <c r="J248" s="12" t="s">
        <v>141</v>
      </c>
      <c r="K248" s="13" t="s">
        <v>669</v>
      </c>
      <c r="L248" s="14" t="s">
        <v>132</v>
      </c>
      <c r="M248" s="15" t="s">
        <v>133</v>
      </c>
      <c r="N248" s="16" t="s">
        <v>134</v>
      </c>
      <c r="O248" s="17" t="s">
        <v>670</v>
      </c>
      <c r="P248" s="18" t="s">
        <v>671</v>
      </c>
      <c r="Q248" s="19" t="s">
        <v>672</v>
      </c>
      <c r="R248" s="20" t="s">
        <v>673</v>
      </c>
      <c r="S248" s="21" t="s">
        <v>674</v>
      </c>
      <c r="T248" s="22" t="s">
        <v>141</v>
      </c>
      <c r="U248" s="23">
        <v>2</v>
      </c>
      <c r="V248" s="24" t="s">
        <v>2870</v>
      </c>
      <c r="W248" s="25">
        <v>41864</v>
      </c>
      <c r="X248" s="26">
        <v>41893</v>
      </c>
      <c r="Y248" s="27">
        <v>1.9</v>
      </c>
      <c r="Z248" s="28" t="s">
        <v>177</v>
      </c>
      <c r="AA248" s="29" t="s">
        <v>141</v>
      </c>
      <c r="AB248" s="30" t="s">
        <v>141</v>
      </c>
      <c r="AC248" s="31" t="s">
        <v>141</v>
      </c>
      <c r="AD248" s="32" t="s">
        <v>141</v>
      </c>
      <c r="AE248" s="33">
        <v>2.02</v>
      </c>
      <c r="AF248" s="34" t="s">
        <v>1571</v>
      </c>
      <c r="AG248" s="35" t="s">
        <v>141</v>
      </c>
      <c r="AH248" s="36" t="s">
        <v>141</v>
      </c>
      <c r="AI248" s="37" t="s">
        <v>141</v>
      </c>
      <c r="AJ248" s="38" t="s">
        <v>2622</v>
      </c>
      <c r="AK248" s="39" t="s">
        <v>2622</v>
      </c>
      <c r="AL248" s="40" t="s">
        <v>141</v>
      </c>
      <c r="AM248" s="41" t="s">
        <v>170</v>
      </c>
      <c r="AN248" s="42" t="s">
        <v>2871</v>
      </c>
      <c r="AO248" s="43">
        <v>1.9</v>
      </c>
      <c r="AP248" s="44" t="s">
        <v>145</v>
      </c>
      <c r="AQ248" s="45" t="s">
        <v>141</v>
      </c>
      <c r="AR248" s="46" t="s">
        <v>141</v>
      </c>
      <c r="AS248" s="47" t="s">
        <v>141</v>
      </c>
      <c r="AT248" s="48" t="s">
        <v>141</v>
      </c>
      <c r="AU248" s="49" t="s">
        <v>141</v>
      </c>
      <c r="AV248" s="50" t="s">
        <v>141</v>
      </c>
      <c r="AW248" s="51" t="s">
        <v>141</v>
      </c>
      <c r="AX248" s="52" t="s">
        <v>141</v>
      </c>
      <c r="AY248" s="53" t="s">
        <v>141</v>
      </c>
      <c r="AZ248" s="54" t="s">
        <v>141</v>
      </c>
      <c r="BA248" s="55" t="s">
        <v>146</v>
      </c>
      <c r="BB248" s="56" t="s">
        <v>263</v>
      </c>
      <c r="BC248" s="57" t="s">
        <v>132</v>
      </c>
      <c r="BD248" s="58">
        <v>1</v>
      </c>
      <c r="BE248" s="59">
        <v>22</v>
      </c>
      <c r="BF248" s="60" t="s">
        <v>2872</v>
      </c>
      <c r="BG248" s="61">
        <v>22</v>
      </c>
      <c r="BH248" s="62" t="s">
        <v>141</v>
      </c>
      <c r="BI248" s="63" t="s">
        <v>141</v>
      </c>
      <c r="BJ248" s="64" t="s">
        <v>141</v>
      </c>
      <c r="BK248" s="65" t="s">
        <v>2873</v>
      </c>
      <c r="BL248" s="66" t="s">
        <v>2874</v>
      </c>
      <c r="BM248" s="67" t="s">
        <v>141</v>
      </c>
      <c r="BN248" s="68" t="s">
        <v>2875</v>
      </c>
      <c r="BO248" s="69" t="s">
        <v>141</v>
      </c>
      <c r="BP248" s="70" t="s">
        <v>141</v>
      </c>
      <c r="BQ248" s="71" t="s">
        <v>141</v>
      </c>
      <c r="BR248" s="72" t="s">
        <v>2876</v>
      </c>
      <c r="BS248" s="73" t="s">
        <v>2877</v>
      </c>
      <c r="BT248" s="74" t="s">
        <v>141</v>
      </c>
      <c r="BU248" s="75" t="s">
        <v>2878</v>
      </c>
      <c r="BV248" s="76" t="s">
        <v>141</v>
      </c>
      <c r="BW248" s="77" t="s">
        <v>141</v>
      </c>
      <c r="BX248" s="78" t="s">
        <v>141</v>
      </c>
      <c r="BY248" s="79" t="s">
        <v>141</v>
      </c>
      <c r="BZ248" s="80" t="s">
        <v>141</v>
      </c>
      <c r="CA248" s="81" t="s">
        <v>141</v>
      </c>
      <c r="CB248" s="82" t="s">
        <v>141</v>
      </c>
      <c r="CC248" s="83" t="s">
        <v>141</v>
      </c>
      <c r="CD248" s="84" t="s">
        <v>141</v>
      </c>
      <c r="CE248" s="85" t="s">
        <v>141</v>
      </c>
      <c r="CF248" s="86" t="s">
        <v>141</v>
      </c>
      <c r="CG248" s="87" t="s">
        <v>141</v>
      </c>
      <c r="CH248" s="88" t="s">
        <v>141</v>
      </c>
      <c r="CI248" s="89" t="s">
        <v>141</v>
      </c>
      <c r="CJ248" s="90" t="s">
        <v>141</v>
      </c>
      <c r="CK248" s="91" t="s">
        <v>141</v>
      </c>
      <c r="CL248" s="92" t="s">
        <v>141</v>
      </c>
      <c r="CM248" s="93" t="s">
        <v>141</v>
      </c>
      <c r="CN248" s="94" t="s">
        <v>141</v>
      </c>
      <c r="CO248" s="95" t="s">
        <v>141</v>
      </c>
      <c r="CP248" s="96" t="s">
        <v>141</v>
      </c>
      <c r="CQ248" s="97" t="s">
        <v>141</v>
      </c>
      <c r="CR248" s="98" t="s">
        <v>141</v>
      </c>
      <c r="CS248" s="99" t="s">
        <v>141</v>
      </c>
      <c r="CT248" s="100" t="s">
        <v>141</v>
      </c>
      <c r="CU248" s="101" t="s">
        <v>141</v>
      </c>
      <c r="CV248" s="102" t="s">
        <v>141</v>
      </c>
      <c r="CW248" s="103" t="s">
        <v>141</v>
      </c>
      <c r="CX248" s="104">
        <v>91</v>
      </c>
      <c r="CY248" s="105" t="s">
        <v>150</v>
      </c>
      <c r="CZ248" s="106" t="s">
        <v>676</v>
      </c>
      <c r="DA248" s="107" t="s">
        <v>152</v>
      </c>
      <c r="DB248" s="108" t="s">
        <v>153</v>
      </c>
      <c r="DC248" s="109" t="s">
        <v>677</v>
      </c>
      <c r="DD248" s="110" t="s">
        <v>182</v>
      </c>
      <c r="DE248" s="111" t="s">
        <v>678</v>
      </c>
      <c r="DF248" s="112" t="s">
        <v>157</v>
      </c>
      <c r="DG248" s="113">
        <v>2014</v>
      </c>
      <c r="DH248" s="114" t="s">
        <v>679</v>
      </c>
      <c r="DI248" s="227" t="str">
        <f>HYPERLINK("https://my.pitchbook.com?c=38496-70T", "View company online")</f>
        <v>View company online</v>
      </c>
    </row>
    <row r="249" spans="1:113" x14ac:dyDescent="0.2">
      <c r="A249" s="115" t="s">
        <v>2879</v>
      </c>
      <c r="B249" s="116" t="s">
        <v>681</v>
      </c>
      <c r="C249" s="117" t="s">
        <v>682</v>
      </c>
      <c r="D249" s="118" t="s">
        <v>683</v>
      </c>
      <c r="E249" s="119" t="s">
        <v>684</v>
      </c>
      <c r="F249" s="120" t="s">
        <v>126</v>
      </c>
      <c r="G249" s="121" t="s">
        <v>456</v>
      </c>
      <c r="H249" s="122" t="s">
        <v>457</v>
      </c>
      <c r="I249" s="123" t="s">
        <v>458</v>
      </c>
      <c r="J249" s="124" t="s">
        <v>685</v>
      </c>
      <c r="K249" s="125" t="s">
        <v>686</v>
      </c>
      <c r="L249" s="126" t="s">
        <v>132</v>
      </c>
      <c r="M249" s="127" t="s">
        <v>133</v>
      </c>
      <c r="N249" s="128" t="s">
        <v>170</v>
      </c>
      <c r="O249" s="129" t="s">
        <v>687</v>
      </c>
      <c r="P249" s="130" t="s">
        <v>688</v>
      </c>
      <c r="Q249" s="131" t="s">
        <v>141</v>
      </c>
      <c r="R249" s="132" t="s">
        <v>689</v>
      </c>
      <c r="S249" s="133" t="s">
        <v>690</v>
      </c>
      <c r="T249" s="134" t="s">
        <v>691</v>
      </c>
      <c r="U249" s="135">
        <v>3</v>
      </c>
      <c r="V249" s="136" t="s">
        <v>2879</v>
      </c>
      <c r="W249" s="137" t="s">
        <v>141</v>
      </c>
      <c r="X249" s="138">
        <v>43202</v>
      </c>
      <c r="Y249" s="139">
        <v>1.4</v>
      </c>
      <c r="Z249" s="140" t="s">
        <v>177</v>
      </c>
      <c r="AA249" s="141">
        <v>5</v>
      </c>
      <c r="AB249" s="142">
        <v>6.2</v>
      </c>
      <c r="AC249" s="143" t="s">
        <v>177</v>
      </c>
      <c r="AD249" s="144">
        <v>19.350000000000001</v>
      </c>
      <c r="AE249" s="145">
        <v>1.4</v>
      </c>
      <c r="AF249" s="146" t="s">
        <v>1571</v>
      </c>
      <c r="AG249" s="147" t="s">
        <v>141</v>
      </c>
      <c r="AH249" s="148">
        <v>1</v>
      </c>
      <c r="AI249" s="149" t="s">
        <v>141</v>
      </c>
      <c r="AJ249" s="150" t="s">
        <v>2622</v>
      </c>
      <c r="AK249" s="151" t="s">
        <v>2622</v>
      </c>
      <c r="AL249" s="152" t="s">
        <v>141</v>
      </c>
      <c r="AM249" s="153" t="s">
        <v>170</v>
      </c>
      <c r="AN249" s="154" t="s">
        <v>2880</v>
      </c>
      <c r="AO249" s="155">
        <v>1.2</v>
      </c>
      <c r="AP249" s="156" t="s">
        <v>145</v>
      </c>
      <c r="AQ249" s="157" t="s">
        <v>141</v>
      </c>
      <c r="AR249" s="158" t="s">
        <v>141</v>
      </c>
      <c r="AS249" s="159" t="s">
        <v>143</v>
      </c>
      <c r="AT249" s="160" t="s">
        <v>141</v>
      </c>
      <c r="AU249" s="161" t="s">
        <v>141</v>
      </c>
      <c r="AV249" s="162">
        <v>0.2</v>
      </c>
      <c r="AW249" s="163" t="s">
        <v>141</v>
      </c>
      <c r="AX249" s="164" t="s">
        <v>141</v>
      </c>
      <c r="AY249" s="165">
        <v>0.2</v>
      </c>
      <c r="AZ249" s="166" t="s">
        <v>141</v>
      </c>
      <c r="BA249" s="167" t="s">
        <v>146</v>
      </c>
      <c r="BB249" s="168" t="s">
        <v>133</v>
      </c>
      <c r="BC249" s="169" t="s">
        <v>132</v>
      </c>
      <c r="BD249" s="170" t="s">
        <v>141</v>
      </c>
      <c r="BE249" s="171">
        <v>7</v>
      </c>
      <c r="BF249" s="172" t="s">
        <v>2881</v>
      </c>
      <c r="BG249" s="173">
        <v>7</v>
      </c>
      <c r="BH249" s="174" t="s">
        <v>141</v>
      </c>
      <c r="BI249" s="175" t="s">
        <v>141</v>
      </c>
      <c r="BJ249" s="176" t="s">
        <v>141</v>
      </c>
      <c r="BK249" s="177" t="s">
        <v>2882</v>
      </c>
      <c r="BL249" s="178" t="s">
        <v>2883</v>
      </c>
      <c r="BM249" s="179" t="s">
        <v>2884</v>
      </c>
      <c r="BN249" s="180" t="s">
        <v>2885</v>
      </c>
      <c r="BO249" s="181" t="s">
        <v>141</v>
      </c>
      <c r="BP249" s="182" t="s">
        <v>141</v>
      </c>
      <c r="BQ249" s="183" t="s">
        <v>141</v>
      </c>
      <c r="BR249" s="184" t="s">
        <v>141</v>
      </c>
      <c r="BS249" s="185" t="s">
        <v>141</v>
      </c>
      <c r="BT249" s="186" t="s">
        <v>141</v>
      </c>
      <c r="BU249" s="187" t="s">
        <v>141</v>
      </c>
      <c r="BV249" s="188" t="s">
        <v>141</v>
      </c>
      <c r="BW249" s="189" t="s">
        <v>141</v>
      </c>
      <c r="BX249" s="190">
        <v>0.9</v>
      </c>
      <c r="BY249" s="191" t="s">
        <v>141</v>
      </c>
      <c r="BZ249" s="192" t="s">
        <v>141</v>
      </c>
      <c r="CA249" s="193" t="s">
        <v>141</v>
      </c>
      <c r="CB249" s="194" t="s">
        <v>141</v>
      </c>
      <c r="CC249" s="195" t="s">
        <v>141</v>
      </c>
      <c r="CD249" s="196" t="s">
        <v>141</v>
      </c>
      <c r="CE249" s="197">
        <v>2017</v>
      </c>
      <c r="CF249" s="198" t="s">
        <v>141</v>
      </c>
      <c r="CG249" s="199" t="s">
        <v>141</v>
      </c>
      <c r="CH249" s="200" t="s">
        <v>141</v>
      </c>
      <c r="CI249" s="201">
        <v>6.89</v>
      </c>
      <c r="CJ249" s="202" t="s">
        <v>141</v>
      </c>
      <c r="CK249" s="203" t="s">
        <v>141</v>
      </c>
      <c r="CL249" s="204" t="s">
        <v>141</v>
      </c>
      <c r="CM249" s="205" t="s">
        <v>141</v>
      </c>
      <c r="CN249" s="206">
        <v>1.56</v>
      </c>
      <c r="CO249" s="207" t="s">
        <v>141</v>
      </c>
      <c r="CP249" s="208" t="s">
        <v>141</v>
      </c>
      <c r="CQ249" s="209">
        <v>0.17</v>
      </c>
      <c r="CR249" s="210" t="s">
        <v>141</v>
      </c>
      <c r="CS249" s="211" t="s">
        <v>141</v>
      </c>
      <c r="CT249" s="212" t="s">
        <v>141</v>
      </c>
      <c r="CU249" s="213" t="s">
        <v>141</v>
      </c>
      <c r="CV249" s="214" t="s">
        <v>141</v>
      </c>
      <c r="CW249" s="215" t="s">
        <v>141</v>
      </c>
      <c r="CX249" s="216">
        <v>6</v>
      </c>
      <c r="CY249" s="217" t="s">
        <v>150</v>
      </c>
      <c r="CZ249" s="218" t="s">
        <v>697</v>
      </c>
      <c r="DA249" s="219" t="s">
        <v>152</v>
      </c>
      <c r="DB249" s="220" t="s">
        <v>153</v>
      </c>
      <c r="DC249" s="221" t="s">
        <v>698</v>
      </c>
      <c r="DD249" s="222" t="s">
        <v>699</v>
      </c>
      <c r="DE249" s="223" t="s">
        <v>700</v>
      </c>
      <c r="DF249" s="224" t="s">
        <v>157</v>
      </c>
      <c r="DG249" s="225">
        <v>2015</v>
      </c>
      <c r="DH249" s="226" t="s">
        <v>701</v>
      </c>
      <c r="DI249" s="228" t="str">
        <f>HYPERLINK("https://my.pitchbook.com?c=104372-11T", "View company online")</f>
        <v>View company online</v>
      </c>
    </row>
    <row r="250" spans="1:113" x14ac:dyDescent="0.2">
      <c r="A250" s="3" t="s">
        <v>2886</v>
      </c>
      <c r="B250" s="4" t="s">
        <v>2887</v>
      </c>
      <c r="C250" s="5" t="s">
        <v>2888</v>
      </c>
      <c r="D250" s="6" t="s">
        <v>2889</v>
      </c>
      <c r="E250" s="7" t="s">
        <v>2890</v>
      </c>
      <c r="F250" s="8" t="s">
        <v>126</v>
      </c>
      <c r="G250" s="9" t="s">
        <v>456</v>
      </c>
      <c r="H250" s="10" t="s">
        <v>457</v>
      </c>
      <c r="I250" s="11" t="s">
        <v>1335</v>
      </c>
      <c r="J250" s="12" t="s">
        <v>459</v>
      </c>
      <c r="K250" s="13" t="s">
        <v>2891</v>
      </c>
      <c r="L250" s="14" t="s">
        <v>345</v>
      </c>
      <c r="M250" s="15" t="s">
        <v>133</v>
      </c>
      <c r="N250" s="16" t="s">
        <v>170</v>
      </c>
      <c r="O250" s="17" t="s">
        <v>2892</v>
      </c>
      <c r="P250" s="18" t="s">
        <v>2893</v>
      </c>
      <c r="Q250" s="19" t="s">
        <v>2894</v>
      </c>
      <c r="R250" s="20" t="s">
        <v>2895</v>
      </c>
      <c r="S250" s="21" t="s">
        <v>2896</v>
      </c>
      <c r="T250" s="22" t="s">
        <v>2897</v>
      </c>
      <c r="U250" s="23">
        <v>1</v>
      </c>
      <c r="V250" s="24" t="s">
        <v>2886</v>
      </c>
      <c r="W250" s="25">
        <v>40817</v>
      </c>
      <c r="X250" s="26">
        <v>40847</v>
      </c>
      <c r="Y250" s="27">
        <v>0.05</v>
      </c>
      <c r="Z250" s="28" t="s">
        <v>177</v>
      </c>
      <c r="AA250" s="29" t="s">
        <v>141</v>
      </c>
      <c r="AB250" s="30" t="s">
        <v>141</v>
      </c>
      <c r="AC250" s="31" t="s">
        <v>141</v>
      </c>
      <c r="AD250" s="32" t="s">
        <v>141</v>
      </c>
      <c r="AE250" s="33">
        <v>0.05</v>
      </c>
      <c r="AF250" s="34" t="s">
        <v>1571</v>
      </c>
      <c r="AG250" s="35" t="s">
        <v>141</v>
      </c>
      <c r="AH250" s="36" t="s">
        <v>141</v>
      </c>
      <c r="AI250" s="37" t="s">
        <v>141</v>
      </c>
      <c r="AJ250" s="38" t="s">
        <v>2622</v>
      </c>
      <c r="AK250" s="39" t="s">
        <v>2622</v>
      </c>
      <c r="AL250" s="40" t="s">
        <v>141</v>
      </c>
      <c r="AM250" s="41" t="s">
        <v>170</v>
      </c>
      <c r="AN250" s="42" t="s">
        <v>2898</v>
      </c>
      <c r="AO250" s="43">
        <v>0.05</v>
      </c>
      <c r="AP250" s="44" t="s">
        <v>145</v>
      </c>
      <c r="AQ250" s="45" t="s">
        <v>141</v>
      </c>
      <c r="AR250" s="46" t="s">
        <v>141</v>
      </c>
      <c r="AS250" s="47" t="s">
        <v>141</v>
      </c>
      <c r="AT250" s="48" t="s">
        <v>141</v>
      </c>
      <c r="AU250" s="49" t="s">
        <v>141</v>
      </c>
      <c r="AV250" s="50" t="s">
        <v>141</v>
      </c>
      <c r="AW250" s="51" t="s">
        <v>141</v>
      </c>
      <c r="AX250" s="52" t="s">
        <v>141</v>
      </c>
      <c r="AY250" s="53" t="s">
        <v>141</v>
      </c>
      <c r="AZ250" s="54" t="s">
        <v>141</v>
      </c>
      <c r="BA250" s="55" t="s">
        <v>146</v>
      </c>
      <c r="BB250" s="56" t="s">
        <v>263</v>
      </c>
      <c r="BC250" s="57" t="s">
        <v>132</v>
      </c>
      <c r="BD250" s="58" t="s">
        <v>141</v>
      </c>
      <c r="BE250" s="59">
        <v>4</v>
      </c>
      <c r="BF250" s="60" t="s">
        <v>2899</v>
      </c>
      <c r="BG250" s="61">
        <v>4</v>
      </c>
      <c r="BH250" s="62" t="s">
        <v>141</v>
      </c>
      <c r="BI250" s="63" t="s">
        <v>141</v>
      </c>
      <c r="BJ250" s="64" t="s">
        <v>141</v>
      </c>
      <c r="BK250" s="65" t="s">
        <v>2900</v>
      </c>
      <c r="BL250" s="66" t="s">
        <v>2901</v>
      </c>
      <c r="BM250" s="67" t="s">
        <v>141</v>
      </c>
      <c r="BN250" s="68" t="s">
        <v>2902</v>
      </c>
      <c r="BO250" s="69" t="s">
        <v>141</v>
      </c>
      <c r="BP250" s="70" t="s">
        <v>141</v>
      </c>
      <c r="BQ250" s="71" t="s">
        <v>141</v>
      </c>
      <c r="BR250" s="72" t="s">
        <v>221</v>
      </c>
      <c r="BS250" s="73" t="s">
        <v>221</v>
      </c>
      <c r="BT250" s="74" t="s">
        <v>141</v>
      </c>
      <c r="BU250" s="75" t="s">
        <v>141</v>
      </c>
      <c r="BV250" s="76" t="s">
        <v>141</v>
      </c>
      <c r="BW250" s="77" t="s">
        <v>141</v>
      </c>
      <c r="BX250" s="78">
        <v>0.1</v>
      </c>
      <c r="BY250" s="79" t="s">
        <v>141</v>
      </c>
      <c r="BZ250" s="80" t="s">
        <v>141</v>
      </c>
      <c r="CA250" s="81" t="s">
        <v>141</v>
      </c>
      <c r="CB250" s="82" t="s">
        <v>141</v>
      </c>
      <c r="CC250" s="83" t="s">
        <v>141</v>
      </c>
      <c r="CD250" s="84" t="s">
        <v>141</v>
      </c>
      <c r="CE250" s="85">
        <v>2011</v>
      </c>
      <c r="CF250" s="86" t="s">
        <v>141</v>
      </c>
      <c r="CG250" s="87" t="s">
        <v>141</v>
      </c>
      <c r="CH250" s="88" t="s">
        <v>141</v>
      </c>
      <c r="CI250" s="89" t="s">
        <v>141</v>
      </c>
      <c r="CJ250" s="90" t="s">
        <v>141</v>
      </c>
      <c r="CK250" s="91" t="s">
        <v>141</v>
      </c>
      <c r="CL250" s="92" t="s">
        <v>141</v>
      </c>
      <c r="CM250" s="93" t="s">
        <v>141</v>
      </c>
      <c r="CN250" s="94">
        <v>0.49</v>
      </c>
      <c r="CO250" s="95" t="s">
        <v>141</v>
      </c>
      <c r="CP250" s="96" t="s">
        <v>141</v>
      </c>
      <c r="CQ250" s="97" t="s">
        <v>141</v>
      </c>
      <c r="CR250" s="98" t="s">
        <v>141</v>
      </c>
      <c r="CS250" s="99" t="s">
        <v>141</v>
      </c>
      <c r="CT250" s="100" t="s">
        <v>141</v>
      </c>
      <c r="CU250" s="101" t="s">
        <v>141</v>
      </c>
      <c r="CV250" s="102" t="s">
        <v>141</v>
      </c>
      <c r="CW250" s="103" t="s">
        <v>141</v>
      </c>
      <c r="CX250" s="104">
        <v>11</v>
      </c>
      <c r="CY250" s="105" t="s">
        <v>150</v>
      </c>
      <c r="CZ250" s="106" t="s">
        <v>2903</v>
      </c>
      <c r="DA250" s="107" t="s">
        <v>152</v>
      </c>
      <c r="DB250" s="108" t="s">
        <v>153</v>
      </c>
      <c r="DC250" s="109" t="s">
        <v>2904</v>
      </c>
      <c r="DD250" s="110" t="s">
        <v>182</v>
      </c>
      <c r="DE250" s="111" t="s">
        <v>2905</v>
      </c>
      <c r="DF250" s="112" t="s">
        <v>157</v>
      </c>
      <c r="DG250" s="113">
        <v>2009</v>
      </c>
      <c r="DH250" s="114" t="s">
        <v>2906</v>
      </c>
      <c r="DI250" s="227" t="str">
        <f>HYPERLINK("https://my.pitchbook.com?c=21860-20T", "View company online")</f>
        <v>View company online</v>
      </c>
    </row>
    <row r="251" spans="1:113" x14ac:dyDescent="0.2">
      <c r="A251" s="115" t="s">
        <v>2907</v>
      </c>
      <c r="B251" s="116" t="s">
        <v>2887</v>
      </c>
      <c r="C251" s="117" t="s">
        <v>2888</v>
      </c>
      <c r="D251" s="118" t="s">
        <v>2889</v>
      </c>
      <c r="E251" s="119" t="s">
        <v>2890</v>
      </c>
      <c r="F251" s="120" t="s">
        <v>126</v>
      </c>
      <c r="G251" s="121" t="s">
        <v>456</v>
      </c>
      <c r="H251" s="122" t="s">
        <v>457</v>
      </c>
      <c r="I251" s="123" t="s">
        <v>1335</v>
      </c>
      <c r="J251" s="124" t="s">
        <v>459</v>
      </c>
      <c r="K251" s="125" t="s">
        <v>2891</v>
      </c>
      <c r="L251" s="126" t="s">
        <v>345</v>
      </c>
      <c r="M251" s="127" t="s">
        <v>133</v>
      </c>
      <c r="N251" s="128" t="s">
        <v>170</v>
      </c>
      <c r="O251" s="129" t="s">
        <v>2892</v>
      </c>
      <c r="P251" s="130" t="s">
        <v>2893</v>
      </c>
      <c r="Q251" s="131" t="s">
        <v>2894</v>
      </c>
      <c r="R251" s="132" t="s">
        <v>2895</v>
      </c>
      <c r="S251" s="133" t="s">
        <v>2896</v>
      </c>
      <c r="T251" s="134" t="s">
        <v>2897</v>
      </c>
      <c r="U251" s="135">
        <v>2</v>
      </c>
      <c r="V251" s="136" t="s">
        <v>2907</v>
      </c>
      <c r="W251" s="137" t="s">
        <v>141</v>
      </c>
      <c r="X251" s="138">
        <v>41100</v>
      </c>
      <c r="Y251" s="139">
        <v>0.64</v>
      </c>
      <c r="Z251" s="140" t="s">
        <v>177</v>
      </c>
      <c r="AA251" s="141">
        <v>1</v>
      </c>
      <c r="AB251" s="142">
        <v>1.64</v>
      </c>
      <c r="AC251" s="143" t="s">
        <v>887</v>
      </c>
      <c r="AD251" s="144">
        <v>39.21</v>
      </c>
      <c r="AE251" s="145">
        <v>0.69</v>
      </c>
      <c r="AF251" s="146" t="s">
        <v>1582</v>
      </c>
      <c r="AG251" s="147" t="s">
        <v>141</v>
      </c>
      <c r="AH251" s="148">
        <v>0.31</v>
      </c>
      <c r="AI251" s="149" t="s">
        <v>141</v>
      </c>
      <c r="AJ251" s="150" t="s">
        <v>2622</v>
      </c>
      <c r="AK251" s="151" t="s">
        <v>2622</v>
      </c>
      <c r="AL251" s="152" t="s">
        <v>141</v>
      </c>
      <c r="AM251" s="153" t="s">
        <v>170</v>
      </c>
      <c r="AN251" s="154" t="s">
        <v>2908</v>
      </c>
      <c r="AO251" s="155">
        <v>0.64</v>
      </c>
      <c r="AP251" s="156" t="s">
        <v>145</v>
      </c>
      <c r="AQ251" s="157" t="s">
        <v>141</v>
      </c>
      <c r="AR251" s="158" t="s">
        <v>141</v>
      </c>
      <c r="AS251" s="159" t="s">
        <v>141</v>
      </c>
      <c r="AT251" s="160" t="s">
        <v>141</v>
      </c>
      <c r="AU251" s="161" t="s">
        <v>141</v>
      </c>
      <c r="AV251" s="162" t="s">
        <v>141</v>
      </c>
      <c r="AW251" s="163" t="s">
        <v>141</v>
      </c>
      <c r="AX251" s="164" t="s">
        <v>141</v>
      </c>
      <c r="AY251" s="165" t="s">
        <v>141</v>
      </c>
      <c r="AZ251" s="166" t="s">
        <v>141</v>
      </c>
      <c r="BA251" s="167" t="s">
        <v>146</v>
      </c>
      <c r="BB251" s="168" t="s">
        <v>263</v>
      </c>
      <c r="BC251" s="169" t="s">
        <v>132</v>
      </c>
      <c r="BD251" s="170" t="s">
        <v>141</v>
      </c>
      <c r="BE251" s="171">
        <v>6</v>
      </c>
      <c r="BF251" s="172" t="s">
        <v>2909</v>
      </c>
      <c r="BG251" s="173">
        <v>5</v>
      </c>
      <c r="BH251" s="174" t="s">
        <v>2910</v>
      </c>
      <c r="BI251" s="175">
        <v>1</v>
      </c>
      <c r="BJ251" s="176" t="s">
        <v>141</v>
      </c>
      <c r="BK251" s="177" t="s">
        <v>2911</v>
      </c>
      <c r="BL251" s="178" t="s">
        <v>2912</v>
      </c>
      <c r="BM251" s="179" t="s">
        <v>141</v>
      </c>
      <c r="BN251" s="180" t="s">
        <v>2913</v>
      </c>
      <c r="BO251" s="181" t="s">
        <v>141</v>
      </c>
      <c r="BP251" s="182" t="s">
        <v>141</v>
      </c>
      <c r="BQ251" s="183" t="s">
        <v>141</v>
      </c>
      <c r="BR251" s="184" t="s">
        <v>2914</v>
      </c>
      <c r="BS251" s="185" t="s">
        <v>2914</v>
      </c>
      <c r="BT251" s="186" t="s">
        <v>141</v>
      </c>
      <c r="BU251" s="187" t="s">
        <v>141</v>
      </c>
      <c r="BV251" s="188" t="s">
        <v>141</v>
      </c>
      <c r="BW251" s="189" t="s">
        <v>141</v>
      </c>
      <c r="BX251" s="190">
        <v>0.25</v>
      </c>
      <c r="BY251" s="191">
        <v>144.75</v>
      </c>
      <c r="BZ251" s="192" t="s">
        <v>141</v>
      </c>
      <c r="CA251" s="193" t="s">
        <v>141</v>
      </c>
      <c r="CB251" s="194" t="s">
        <v>141</v>
      </c>
      <c r="CC251" s="195" t="s">
        <v>141</v>
      </c>
      <c r="CD251" s="196" t="s">
        <v>141</v>
      </c>
      <c r="CE251" s="197">
        <v>2012</v>
      </c>
      <c r="CF251" s="198" t="s">
        <v>141</v>
      </c>
      <c r="CG251" s="199" t="s">
        <v>141</v>
      </c>
      <c r="CH251" s="200" t="s">
        <v>141</v>
      </c>
      <c r="CI251" s="201">
        <v>6.58</v>
      </c>
      <c r="CJ251" s="202" t="s">
        <v>141</v>
      </c>
      <c r="CK251" s="203" t="s">
        <v>141</v>
      </c>
      <c r="CL251" s="204" t="s">
        <v>141</v>
      </c>
      <c r="CM251" s="205" t="s">
        <v>141</v>
      </c>
      <c r="CN251" s="206">
        <v>2.58</v>
      </c>
      <c r="CO251" s="207" t="s">
        <v>141</v>
      </c>
      <c r="CP251" s="208" t="s">
        <v>141</v>
      </c>
      <c r="CQ251" s="209" t="s">
        <v>141</v>
      </c>
      <c r="CR251" s="210" t="s">
        <v>141</v>
      </c>
      <c r="CS251" s="211" t="s">
        <v>141</v>
      </c>
      <c r="CT251" s="212" t="s">
        <v>141</v>
      </c>
      <c r="CU251" s="213" t="s">
        <v>141</v>
      </c>
      <c r="CV251" s="214" t="s">
        <v>141</v>
      </c>
      <c r="CW251" s="215" t="s">
        <v>141</v>
      </c>
      <c r="CX251" s="216">
        <v>11</v>
      </c>
      <c r="CY251" s="217" t="s">
        <v>150</v>
      </c>
      <c r="CZ251" s="218" t="s">
        <v>2903</v>
      </c>
      <c r="DA251" s="219" t="s">
        <v>152</v>
      </c>
      <c r="DB251" s="220" t="s">
        <v>153</v>
      </c>
      <c r="DC251" s="221" t="s">
        <v>2904</v>
      </c>
      <c r="DD251" s="222" t="s">
        <v>182</v>
      </c>
      <c r="DE251" s="223" t="s">
        <v>2905</v>
      </c>
      <c r="DF251" s="224" t="s">
        <v>157</v>
      </c>
      <c r="DG251" s="225">
        <v>2009</v>
      </c>
      <c r="DH251" s="226" t="s">
        <v>2906</v>
      </c>
      <c r="DI251" s="228" t="str">
        <f>HYPERLINK("https://my.pitchbook.com?c=21860-29T", "View company online")</f>
        <v>View company online</v>
      </c>
    </row>
    <row r="252" spans="1:113" x14ac:dyDescent="0.2">
      <c r="A252" s="3" t="s">
        <v>2915</v>
      </c>
      <c r="B252" s="4" t="s">
        <v>2887</v>
      </c>
      <c r="C252" s="5" t="s">
        <v>2888</v>
      </c>
      <c r="D252" s="6" t="s">
        <v>2889</v>
      </c>
      <c r="E252" s="7" t="s">
        <v>2890</v>
      </c>
      <c r="F252" s="8" t="s">
        <v>126</v>
      </c>
      <c r="G252" s="9" t="s">
        <v>456</v>
      </c>
      <c r="H252" s="10" t="s">
        <v>457</v>
      </c>
      <c r="I252" s="11" t="s">
        <v>1335</v>
      </c>
      <c r="J252" s="12" t="s">
        <v>459</v>
      </c>
      <c r="K252" s="13" t="s">
        <v>2891</v>
      </c>
      <c r="L252" s="14" t="s">
        <v>345</v>
      </c>
      <c r="M252" s="15" t="s">
        <v>133</v>
      </c>
      <c r="N252" s="16" t="s">
        <v>170</v>
      </c>
      <c r="O252" s="17" t="s">
        <v>2892</v>
      </c>
      <c r="P252" s="18" t="s">
        <v>2893</v>
      </c>
      <c r="Q252" s="19" t="s">
        <v>2894</v>
      </c>
      <c r="R252" s="20" t="s">
        <v>2895</v>
      </c>
      <c r="S252" s="21" t="s">
        <v>2896</v>
      </c>
      <c r="T252" s="22" t="s">
        <v>2897</v>
      </c>
      <c r="U252" s="23">
        <v>3</v>
      </c>
      <c r="V252" s="24" t="s">
        <v>2915</v>
      </c>
      <c r="W252" s="25">
        <v>41576</v>
      </c>
      <c r="X252" s="26">
        <v>41800</v>
      </c>
      <c r="Y252" s="27">
        <v>1.4</v>
      </c>
      <c r="Z252" s="28" t="s">
        <v>177</v>
      </c>
      <c r="AA252" s="29">
        <v>3.5</v>
      </c>
      <c r="AB252" s="30">
        <v>4.9000000000000004</v>
      </c>
      <c r="AC252" s="31" t="s">
        <v>887</v>
      </c>
      <c r="AD252" s="32">
        <v>28.57</v>
      </c>
      <c r="AE252" s="33">
        <v>2.09</v>
      </c>
      <c r="AF252" s="34" t="s">
        <v>1516</v>
      </c>
      <c r="AG252" s="35" t="s">
        <v>1188</v>
      </c>
      <c r="AH252" s="36">
        <v>0.66</v>
      </c>
      <c r="AI252" s="37" t="s">
        <v>141</v>
      </c>
      <c r="AJ252" s="38" t="s">
        <v>2622</v>
      </c>
      <c r="AK252" s="39" t="s">
        <v>2622</v>
      </c>
      <c r="AL252" s="40" t="s">
        <v>141</v>
      </c>
      <c r="AM252" s="41" t="s">
        <v>170</v>
      </c>
      <c r="AN252" s="42" t="s">
        <v>2916</v>
      </c>
      <c r="AO252" s="43">
        <v>1.4</v>
      </c>
      <c r="AP252" s="44" t="s">
        <v>145</v>
      </c>
      <c r="AQ252" s="45" t="s">
        <v>141</v>
      </c>
      <c r="AR252" s="46" t="s">
        <v>141</v>
      </c>
      <c r="AS252" s="47" t="s">
        <v>141</v>
      </c>
      <c r="AT252" s="48" t="s">
        <v>141</v>
      </c>
      <c r="AU252" s="49" t="s">
        <v>141</v>
      </c>
      <c r="AV252" s="50" t="s">
        <v>141</v>
      </c>
      <c r="AW252" s="51" t="s">
        <v>141</v>
      </c>
      <c r="AX252" s="52" t="s">
        <v>141</v>
      </c>
      <c r="AY252" s="53" t="s">
        <v>141</v>
      </c>
      <c r="AZ252" s="54" t="s">
        <v>141</v>
      </c>
      <c r="BA252" s="55" t="s">
        <v>146</v>
      </c>
      <c r="BB252" s="56" t="s">
        <v>263</v>
      </c>
      <c r="BC252" s="57" t="s">
        <v>132</v>
      </c>
      <c r="BD252" s="58">
        <v>12</v>
      </c>
      <c r="BE252" s="59">
        <v>14</v>
      </c>
      <c r="BF252" s="60" t="s">
        <v>2917</v>
      </c>
      <c r="BG252" s="61">
        <v>12</v>
      </c>
      <c r="BH252" s="62" t="s">
        <v>2918</v>
      </c>
      <c r="BI252" s="63">
        <v>2</v>
      </c>
      <c r="BJ252" s="64" t="s">
        <v>141</v>
      </c>
      <c r="BK252" s="65" t="s">
        <v>2919</v>
      </c>
      <c r="BL252" s="66" t="s">
        <v>2920</v>
      </c>
      <c r="BM252" s="67" t="s">
        <v>141</v>
      </c>
      <c r="BN252" s="68" t="s">
        <v>2921</v>
      </c>
      <c r="BO252" s="69" t="s">
        <v>141</v>
      </c>
      <c r="BP252" s="70" t="s">
        <v>141</v>
      </c>
      <c r="BQ252" s="71" t="s">
        <v>141</v>
      </c>
      <c r="BR252" s="72" t="s">
        <v>221</v>
      </c>
      <c r="BS252" s="73" t="s">
        <v>221</v>
      </c>
      <c r="BT252" s="74" t="s">
        <v>141</v>
      </c>
      <c r="BU252" s="75" t="s">
        <v>141</v>
      </c>
      <c r="BV252" s="76" t="s">
        <v>141</v>
      </c>
      <c r="BW252" s="77" t="s">
        <v>141</v>
      </c>
      <c r="BX252" s="78">
        <v>1.6</v>
      </c>
      <c r="BY252" s="79">
        <v>540</v>
      </c>
      <c r="BZ252" s="80" t="s">
        <v>141</v>
      </c>
      <c r="CA252" s="81" t="s">
        <v>141</v>
      </c>
      <c r="CB252" s="82" t="s">
        <v>141</v>
      </c>
      <c r="CC252" s="83" t="s">
        <v>141</v>
      </c>
      <c r="CD252" s="84" t="s">
        <v>141</v>
      </c>
      <c r="CE252" s="85">
        <v>2013</v>
      </c>
      <c r="CF252" s="86" t="s">
        <v>141</v>
      </c>
      <c r="CG252" s="87" t="s">
        <v>141</v>
      </c>
      <c r="CH252" s="88" t="s">
        <v>141</v>
      </c>
      <c r="CI252" s="89">
        <v>3.06</v>
      </c>
      <c r="CJ252" s="90" t="s">
        <v>141</v>
      </c>
      <c r="CK252" s="91" t="s">
        <v>141</v>
      </c>
      <c r="CL252" s="92" t="s">
        <v>141</v>
      </c>
      <c r="CM252" s="93" t="s">
        <v>141</v>
      </c>
      <c r="CN252" s="94">
        <v>0.87</v>
      </c>
      <c r="CO252" s="95" t="s">
        <v>141</v>
      </c>
      <c r="CP252" s="96" t="s">
        <v>141</v>
      </c>
      <c r="CQ252" s="97" t="s">
        <v>141</v>
      </c>
      <c r="CR252" s="98" t="s">
        <v>141</v>
      </c>
      <c r="CS252" s="99" t="s">
        <v>141</v>
      </c>
      <c r="CT252" s="100" t="s">
        <v>141</v>
      </c>
      <c r="CU252" s="101" t="s">
        <v>141</v>
      </c>
      <c r="CV252" s="102" t="s">
        <v>141</v>
      </c>
      <c r="CW252" s="103" t="s">
        <v>141</v>
      </c>
      <c r="CX252" s="104">
        <v>11</v>
      </c>
      <c r="CY252" s="105" t="s">
        <v>150</v>
      </c>
      <c r="CZ252" s="106" t="s">
        <v>2903</v>
      </c>
      <c r="DA252" s="107" t="s">
        <v>152</v>
      </c>
      <c r="DB252" s="108" t="s">
        <v>153</v>
      </c>
      <c r="DC252" s="109" t="s">
        <v>2904</v>
      </c>
      <c r="DD252" s="110" t="s">
        <v>182</v>
      </c>
      <c r="DE252" s="111" t="s">
        <v>2905</v>
      </c>
      <c r="DF252" s="112" t="s">
        <v>157</v>
      </c>
      <c r="DG252" s="113">
        <v>2009</v>
      </c>
      <c r="DH252" s="114" t="s">
        <v>2906</v>
      </c>
      <c r="DI252" s="227" t="str">
        <f>HYPERLINK("https://my.pitchbook.com?c=34565-50T", "View company online")</f>
        <v>View company online</v>
      </c>
    </row>
    <row r="253" spans="1:113" x14ac:dyDescent="0.2">
      <c r="A253" s="115" t="s">
        <v>2922</v>
      </c>
      <c r="B253" s="116" t="s">
        <v>2887</v>
      </c>
      <c r="C253" s="117" t="s">
        <v>2888</v>
      </c>
      <c r="D253" s="118" t="s">
        <v>2889</v>
      </c>
      <c r="E253" s="119" t="s">
        <v>2890</v>
      </c>
      <c r="F253" s="120" t="s">
        <v>126</v>
      </c>
      <c r="G253" s="121" t="s">
        <v>456</v>
      </c>
      <c r="H253" s="122" t="s">
        <v>457</v>
      </c>
      <c r="I253" s="123" t="s">
        <v>1335</v>
      </c>
      <c r="J253" s="124" t="s">
        <v>459</v>
      </c>
      <c r="K253" s="125" t="s">
        <v>2891</v>
      </c>
      <c r="L253" s="126" t="s">
        <v>345</v>
      </c>
      <c r="M253" s="127" t="s">
        <v>133</v>
      </c>
      <c r="N253" s="128" t="s">
        <v>170</v>
      </c>
      <c r="O253" s="129" t="s">
        <v>2892</v>
      </c>
      <c r="P253" s="130" t="s">
        <v>2893</v>
      </c>
      <c r="Q253" s="131" t="s">
        <v>2894</v>
      </c>
      <c r="R253" s="132" t="s">
        <v>2895</v>
      </c>
      <c r="S253" s="133" t="s">
        <v>2896</v>
      </c>
      <c r="T253" s="134" t="s">
        <v>2897</v>
      </c>
      <c r="U253" s="135">
        <v>4</v>
      </c>
      <c r="V253" s="136" t="s">
        <v>2922</v>
      </c>
      <c r="W253" s="137" t="s">
        <v>141</v>
      </c>
      <c r="X253" s="138">
        <v>42305</v>
      </c>
      <c r="Y253" s="139">
        <v>1</v>
      </c>
      <c r="Z253" s="140" t="s">
        <v>887</v>
      </c>
      <c r="AA253" s="141">
        <v>6.5</v>
      </c>
      <c r="AB253" s="142">
        <v>7.5</v>
      </c>
      <c r="AC253" s="143" t="s">
        <v>887</v>
      </c>
      <c r="AD253" s="144">
        <v>13.33</v>
      </c>
      <c r="AE253" s="145">
        <v>3.09</v>
      </c>
      <c r="AF253" s="146" t="s">
        <v>1550</v>
      </c>
      <c r="AG253" s="147" t="s">
        <v>1188</v>
      </c>
      <c r="AH253" s="148">
        <v>0.78</v>
      </c>
      <c r="AI253" s="149" t="s">
        <v>141</v>
      </c>
      <c r="AJ253" s="150" t="s">
        <v>2622</v>
      </c>
      <c r="AK253" s="151" t="s">
        <v>2622</v>
      </c>
      <c r="AL253" s="152" t="s">
        <v>141</v>
      </c>
      <c r="AM253" s="153" t="s">
        <v>170</v>
      </c>
      <c r="AN253" s="154" t="s">
        <v>2923</v>
      </c>
      <c r="AO253" s="155">
        <v>1</v>
      </c>
      <c r="AP253" s="156" t="s">
        <v>145</v>
      </c>
      <c r="AQ253" s="157" t="s">
        <v>141</v>
      </c>
      <c r="AR253" s="158" t="s">
        <v>141</v>
      </c>
      <c r="AS253" s="159" t="s">
        <v>141</v>
      </c>
      <c r="AT253" s="160" t="s">
        <v>141</v>
      </c>
      <c r="AU253" s="161" t="s">
        <v>141</v>
      </c>
      <c r="AV253" s="162" t="s">
        <v>141</v>
      </c>
      <c r="AW253" s="163" t="s">
        <v>141</v>
      </c>
      <c r="AX253" s="164" t="s">
        <v>141</v>
      </c>
      <c r="AY253" s="165" t="s">
        <v>141</v>
      </c>
      <c r="AZ253" s="166" t="s">
        <v>141</v>
      </c>
      <c r="BA253" s="167" t="s">
        <v>146</v>
      </c>
      <c r="BB253" s="168" t="s">
        <v>263</v>
      </c>
      <c r="BC253" s="169" t="s">
        <v>132</v>
      </c>
      <c r="BD253" s="170">
        <v>11</v>
      </c>
      <c r="BE253" s="171">
        <v>1</v>
      </c>
      <c r="BF253" s="172" t="s">
        <v>2924</v>
      </c>
      <c r="BG253" s="173">
        <v>1</v>
      </c>
      <c r="BH253" s="174" t="s">
        <v>141</v>
      </c>
      <c r="BI253" s="175" t="s">
        <v>141</v>
      </c>
      <c r="BJ253" s="176" t="s">
        <v>141</v>
      </c>
      <c r="BK253" s="177" t="s">
        <v>2925</v>
      </c>
      <c r="BL253" s="178" t="s">
        <v>2924</v>
      </c>
      <c r="BM253" s="179" t="s">
        <v>2924</v>
      </c>
      <c r="BN253" s="180" t="s">
        <v>141</v>
      </c>
      <c r="BO253" s="181" t="s">
        <v>141</v>
      </c>
      <c r="BP253" s="182" t="s">
        <v>141</v>
      </c>
      <c r="BQ253" s="183" t="s">
        <v>141</v>
      </c>
      <c r="BR253" s="184" t="s">
        <v>221</v>
      </c>
      <c r="BS253" s="185" t="s">
        <v>221</v>
      </c>
      <c r="BT253" s="186" t="s">
        <v>141</v>
      </c>
      <c r="BU253" s="187" t="s">
        <v>141</v>
      </c>
      <c r="BV253" s="188" t="s">
        <v>141</v>
      </c>
      <c r="BW253" s="189" t="s">
        <v>141</v>
      </c>
      <c r="BX253" s="190">
        <v>5</v>
      </c>
      <c r="BY253" s="191">
        <v>212.5</v>
      </c>
      <c r="BZ253" s="192" t="s">
        <v>141</v>
      </c>
      <c r="CA253" s="193" t="s">
        <v>141</v>
      </c>
      <c r="CB253" s="194" t="s">
        <v>141</v>
      </c>
      <c r="CC253" s="195" t="s">
        <v>141</v>
      </c>
      <c r="CD253" s="196" t="s">
        <v>141</v>
      </c>
      <c r="CE253" s="197">
        <v>2015</v>
      </c>
      <c r="CF253" s="198" t="s">
        <v>141</v>
      </c>
      <c r="CG253" s="199" t="s">
        <v>141</v>
      </c>
      <c r="CH253" s="200" t="s">
        <v>141</v>
      </c>
      <c r="CI253" s="201">
        <v>1.5</v>
      </c>
      <c r="CJ253" s="202" t="s">
        <v>141</v>
      </c>
      <c r="CK253" s="203" t="s">
        <v>141</v>
      </c>
      <c r="CL253" s="204" t="s">
        <v>141</v>
      </c>
      <c r="CM253" s="205" t="s">
        <v>141</v>
      </c>
      <c r="CN253" s="206">
        <v>0.2</v>
      </c>
      <c r="CO253" s="207" t="s">
        <v>141</v>
      </c>
      <c r="CP253" s="208" t="s">
        <v>141</v>
      </c>
      <c r="CQ253" s="209" t="s">
        <v>141</v>
      </c>
      <c r="CR253" s="210" t="s">
        <v>141</v>
      </c>
      <c r="CS253" s="211" t="s">
        <v>141</v>
      </c>
      <c r="CT253" s="212" t="s">
        <v>141</v>
      </c>
      <c r="CU253" s="213" t="s">
        <v>141</v>
      </c>
      <c r="CV253" s="214" t="s">
        <v>141</v>
      </c>
      <c r="CW253" s="215" t="s">
        <v>141</v>
      </c>
      <c r="CX253" s="216">
        <v>11</v>
      </c>
      <c r="CY253" s="217" t="s">
        <v>150</v>
      </c>
      <c r="CZ253" s="218" t="s">
        <v>2903</v>
      </c>
      <c r="DA253" s="219" t="s">
        <v>152</v>
      </c>
      <c r="DB253" s="220" t="s">
        <v>153</v>
      </c>
      <c r="DC253" s="221" t="s">
        <v>2904</v>
      </c>
      <c r="DD253" s="222" t="s">
        <v>182</v>
      </c>
      <c r="DE253" s="223" t="s">
        <v>2905</v>
      </c>
      <c r="DF253" s="224" t="s">
        <v>157</v>
      </c>
      <c r="DG253" s="225">
        <v>2009</v>
      </c>
      <c r="DH253" s="226" t="s">
        <v>2906</v>
      </c>
      <c r="DI253" s="228" t="str">
        <f>HYPERLINK("https://my.pitchbook.com?c=106875-01T", "View company online")</f>
        <v>View company online</v>
      </c>
    </row>
    <row r="254" spans="1:113" x14ac:dyDescent="0.2">
      <c r="A254" s="3" t="s">
        <v>2926</v>
      </c>
      <c r="B254" s="4" t="s">
        <v>2927</v>
      </c>
      <c r="C254" s="5" t="s">
        <v>2928</v>
      </c>
      <c r="D254" s="6" t="s">
        <v>2929</v>
      </c>
      <c r="E254" s="7" t="s">
        <v>2930</v>
      </c>
      <c r="F254" s="8" t="s">
        <v>126</v>
      </c>
      <c r="G254" s="9" t="s">
        <v>456</v>
      </c>
      <c r="H254" s="10" t="s">
        <v>2931</v>
      </c>
      <c r="I254" s="11" t="s">
        <v>2932</v>
      </c>
      <c r="J254" s="12" t="s">
        <v>1608</v>
      </c>
      <c r="K254" s="13" t="s">
        <v>2933</v>
      </c>
      <c r="L254" s="14" t="s">
        <v>132</v>
      </c>
      <c r="M254" s="15" t="s">
        <v>133</v>
      </c>
      <c r="N254" s="16" t="s">
        <v>170</v>
      </c>
      <c r="O254" s="17" t="s">
        <v>2934</v>
      </c>
      <c r="P254" s="18" t="s">
        <v>2935</v>
      </c>
      <c r="Q254" s="19" t="s">
        <v>2936</v>
      </c>
      <c r="R254" s="20" t="s">
        <v>2937</v>
      </c>
      <c r="S254" s="21" t="s">
        <v>2938</v>
      </c>
      <c r="T254" s="22" t="s">
        <v>2939</v>
      </c>
      <c r="U254" s="23">
        <v>1</v>
      </c>
      <c r="V254" s="24" t="s">
        <v>2926</v>
      </c>
      <c r="W254" s="25">
        <v>42807</v>
      </c>
      <c r="X254" s="26">
        <v>42962</v>
      </c>
      <c r="Y254" s="27">
        <v>6.8</v>
      </c>
      <c r="Z254" s="28" t="s">
        <v>177</v>
      </c>
      <c r="AA254" s="29">
        <v>10</v>
      </c>
      <c r="AB254" s="30">
        <v>16.8</v>
      </c>
      <c r="AC254" s="31" t="s">
        <v>887</v>
      </c>
      <c r="AD254" s="32" t="s">
        <v>141</v>
      </c>
      <c r="AE254" s="33">
        <v>6.8</v>
      </c>
      <c r="AF254" s="34" t="s">
        <v>1571</v>
      </c>
      <c r="AG254" s="35" t="s">
        <v>141</v>
      </c>
      <c r="AH254" s="36">
        <v>5.27</v>
      </c>
      <c r="AI254" s="37" t="s">
        <v>141</v>
      </c>
      <c r="AJ254" s="38" t="s">
        <v>2622</v>
      </c>
      <c r="AK254" s="39" t="s">
        <v>2622</v>
      </c>
      <c r="AL254" s="40" t="s">
        <v>141</v>
      </c>
      <c r="AM254" s="41" t="s">
        <v>170</v>
      </c>
      <c r="AN254" s="42" t="s">
        <v>2930</v>
      </c>
      <c r="AO254" s="43">
        <v>5</v>
      </c>
      <c r="AP254" s="44" t="s">
        <v>145</v>
      </c>
      <c r="AQ254" s="45" t="s">
        <v>141</v>
      </c>
      <c r="AR254" s="46" t="s">
        <v>141</v>
      </c>
      <c r="AS254" s="47" t="s">
        <v>281</v>
      </c>
      <c r="AT254" s="48" t="s">
        <v>141</v>
      </c>
      <c r="AU254" s="49" t="s">
        <v>141</v>
      </c>
      <c r="AV254" s="50">
        <v>1.8</v>
      </c>
      <c r="AW254" s="51" t="s">
        <v>141</v>
      </c>
      <c r="AX254" s="52" t="s">
        <v>141</v>
      </c>
      <c r="AY254" s="53">
        <v>1.8</v>
      </c>
      <c r="AZ254" s="54" t="s">
        <v>141</v>
      </c>
      <c r="BA254" s="55" t="s">
        <v>146</v>
      </c>
      <c r="BB254" s="56" t="s">
        <v>133</v>
      </c>
      <c r="BC254" s="57" t="s">
        <v>132</v>
      </c>
      <c r="BD254" s="58">
        <v>37</v>
      </c>
      <c r="BE254" s="59">
        <v>8</v>
      </c>
      <c r="BF254" s="60" t="s">
        <v>2940</v>
      </c>
      <c r="BG254" s="61">
        <v>8</v>
      </c>
      <c r="BH254" s="62" t="s">
        <v>141</v>
      </c>
      <c r="BI254" s="63" t="s">
        <v>141</v>
      </c>
      <c r="BJ254" s="64" t="s">
        <v>141</v>
      </c>
      <c r="BK254" s="65" t="s">
        <v>2941</v>
      </c>
      <c r="BL254" s="66" t="s">
        <v>2942</v>
      </c>
      <c r="BM254" s="67" t="s">
        <v>2943</v>
      </c>
      <c r="BN254" s="68" t="s">
        <v>2944</v>
      </c>
      <c r="BO254" s="69" t="s">
        <v>141</v>
      </c>
      <c r="BP254" s="70" t="s">
        <v>141</v>
      </c>
      <c r="BQ254" s="71" t="s">
        <v>141</v>
      </c>
      <c r="BR254" s="72" t="s">
        <v>2945</v>
      </c>
      <c r="BS254" s="73" t="s">
        <v>2946</v>
      </c>
      <c r="BT254" s="74" t="s">
        <v>141</v>
      </c>
      <c r="BU254" s="75" t="s">
        <v>2947</v>
      </c>
      <c r="BV254" s="76" t="s">
        <v>141</v>
      </c>
      <c r="BW254" s="77" t="s">
        <v>141</v>
      </c>
      <c r="BX254" s="78" t="s">
        <v>141</v>
      </c>
      <c r="BY254" s="79" t="s">
        <v>141</v>
      </c>
      <c r="BZ254" s="80" t="s">
        <v>141</v>
      </c>
      <c r="CA254" s="81" t="s">
        <v>141</v>
      </c>
      <c r="CB254" s="82" t="s">
        <v>141</v>
      </c>
      <c r="CC254" s="83" t="s">
        <v>141</v>
      </c>
      <c r="CD254" s="84" t="s">
        <v>141</v>
      </c>
      <c r="CE254" s="85" t="s">
        <v>141</v>
      </c>
      <c r="CF254" s="86" t="s">
        <v>141</v>
      </c>
      <c r="CG254" s="87" t="s">
        <v>141</v>
      </c>
      <c r="CH254" s="88" t="s">
        <v>141</v>
      </c>
      <c r="CI254" s="89" t="s">
        <v>141</v>
      </c>
      <c r="CJ254" s="90" t="s">
        <v>141</v>
      </c>
      <c r="CK254" s="91" t="s">
        <v>141</v>
      </c>
      <c r="CL254" s="92" t="s">
        <v>141</v>
      </c>
      <c r="CM254" s="93" t="s">
        <v>141</v>
      </c>
      <c r="CN254" s="94" t="s">
        <v>141</v>
      </c>
      <c r="CO254" s="95" t="s">
        <v>141</v>
      </c>
      <c r="CP254" s="96" t="s">
        <v>141</v>
      </c>
      <c r="CQ254" s="97">
        <v>0.36</v>
      </c>
      <c r="CR254" s="98" t="s">
        <v>141</v>
      </c>
      <c r="CS254" s="99" t="s">
        <v>141</v>
      </c>
      <c r="CT254" s="100" t="s">
        <v>141</v>
      </c>
      <c r="CU254" s="101" t="s">
        <v>141</v>
      </c>
      <c r="CV254" s="102" t="s">
        <v>141</v>
      </c>
      <c r="CW254" s="103" t="s">
        <v>141</v>
      </c>
      <c r="CX254" s="104">
        <v>37</v>
      </c>
      <c r="CY254" s="105" t="s">
        <v>150</v>
      </c>
      <c r="CZ254" s="106" t="s">
        <v>200</v>
      </c>
      <c r="DA254" s="107" t="s">
        <v>152</v>
      </c>
      <c r="DB254" s="108" t="s">
        <v>153</v>
      </c>
      <c r="DC254" s="109" t="s">
        <v>201</v>
      </c>
      <c r="DD254" s="110" t="s">
        <v>201</v>
      </c>
      <c r="DE254" s="111" t="s">
        <v>1804</v>
      </c>
      <c r="DF254" s="112" t="s">
        <v>157</v>
      </c>
      <c r="DG254" s="113">
        <v>2013</v>
      </c>
      <c r="DH254" s="114" t="s">
        <v>2948</v>
      </c>
      <c r="DI254" s="227" t="str">
        <f>HYPERLINK("https://my.pitchbook.com?c=92742-67T", "View company online")</f>
        <v>View company online</v>
      </c>
    </row>
    <row r="255" spans="1:113" x14ac:dyDescent="0.2">
      <c r="A255" s="115" t="s">
        <v>2949</v>
      </c>
      <c r="B255" s="116" t="s">
        <v>2950</v>
      </c>
      <c r="C255" s="117" t="s">
        <v>2951</v>
      </c>
      <c r="D255" s="118" t="s">
        <v>2952</v>
      </c>
      <c r="E255" s="119" t="s">
        <v>2953</v>
      </c>
      <c r="F255" s="120" t="s">
        <v>126</v>
      </c>
      <c r="G255" s="121" t="s">
        <v>127</v>
      </c>
      <c r="H255" s="122" t="s">
        <v>128</v>
      </c>
      <c r="I255" s="123" t="s">
        <v>2954</v>
      </c>
      <c r="J255" s="124" t="s">
        <v>838</v>
      </c>
      <c r="K255" s="125" t="s">
        <v>2955</v>
      </c>
      <c r="L255" s="126" t="s">
        <v>402</v>
      </c>
      <c r="M255" s="127" t="s">
        <v>133</v>
      </c>
      <c r="N255" s="128" t="s">
        <v>2956</v>
      </c>
      <c r="O255" s="129" t="s">
        <v>2957</v>
      </c>
      <c r="P255" s="130" t="s">
        <v>2958</v>
      </c>
      <c r="Q255" s="131" t="s">
        <v>2959</v>
      </c>
      <c r="R255" s="132" t="s">
        <v>2960</v>
      </c>
      <c r="S255" s="133" t="s">
        <v>2961</v>
      </c>
      <c r="T255" s="134" t="s">
        <v>2962</v>
      </c>
      <c r="U255" s="135">
        <v>1</v>
      </c>
      <c r="V255" s="136" t="s">
        <v>2949</v>
      </c>
      <c r="W255" s="137">
        <v>41334</v>
      </c>
      <c r="X255" s="138">
        <v>41595</v>
      </c>
      <c r="Y255" s="139">
        <v>0.27</v>
      </c>
      <c r="Z255" s="140" t="s">
        <v>177</v>
      </c>
      <c r="AA255" s="141" t="s">
        <v>141</v>
      </c>
      <c r="AB255" s="142" t="s">
        <v>141</v>
      </c>
      <c r="AC255" s="143" t="s">
        <v>141</v>
      </c>
      <c r="AD255" s="144" t="s">
        <v>141</v>
      </c>
      <c r="AE255" s="145">
        <v>0.27</v>
      </c>
      <c r="AF255" s="146" t="s">
        <v>1571</v>
      </c>
      <c r="AG255" s="147" t="s">
        <v>141</v>
      </c>
      <c r="AH255" s="148" t="s">
        <v>141</v>
      </c>
      <c r="AI255" s="149" t="s">
        <v>141</v>
      </c>
      <c r="AJ255" s="150" t="s">
        <v>2622</v>
      </c>
      <c r="AK255" s="151" t="s">
        <v>2622</v>
      </c>
      <c r="AL255" s="152" t="s">
        <v>141</v>
      </c>
      <c r="AM255" s="153" t="s">
        <v>170</v>
      </c>
      <c r="AN255" s="154" t="s">
        <v>2953</v>
      </c>
      <c r="AO255" s="155">
        <v>0.27</v>
      </c>
      <c r="AP255" s="156" t="s">
        <v>145</v>
      </c>
      <c r="AQ255" s="157" t="s">
        <v>141</v>
      </c>
      <c r="AR255" s="158" t="s">
        <v>141</v>
      </c>
      <c r="AS255" s="159" t="s">
        <v>141</v>
      </c>
      <c r="AT255" s="160" t="s">
        <v>141</v>
      </c>
      <c r="AU255" s="161" t="s">
        <v>141</v>
      </c>
      <c r="AV255" s="162" t="s">
        <v>141</v>
      </c>
      <c r="AW255" s="163" t="s">
        <v>141</v>
      </c>
      <c r="AX255" s="164" t="s">
        <v>141</v>
      </c>
      <c r="AY255" s="165" t="s">
        <v>141</v>
      </c>
      <c r="AZ255" s="166" t="s">
        <v>141</v>
      </c>
      <c r="BA255" s="167" t="s">
        <v>146</v>
      </c>
      <c r="BB255" s="168" t="s">
        <v>133</v>
      </c>
      <c r="BC255" s="169" t="s">
        <v>402</v>
      </c>
      <c r="BD255" s="170" t="s">
        <v>141</v>
      </c>
      <c r="BE255" s="171">
        <v>3</v>
      </c>
      <c r="BF255" s="172" t="s">
        <v>2963</v>
      </c>
      <c r="BG255" s="173">
        <v>3</v>
      </c>
      <c r="BH255" s="174" t="s">
        <v>141</v>
      </c>
      <c r="BI255" s="175" t="s">
        <v>141</v>
      </c>
      <c r="BJ255" s="176" t="s">
        <v>141</v>
      </c>
      <c r="BK255" s="177" t="s">
        <v>141</v>
      </c>
      <c r="BL255" s="178" t="s">
        <v>2963</v>
      </c>
      <c r="BM255" s="179" t="s">
        <v>141</v>
      </c>
      <c r="BN255" s="180" t="s">
        <v>141</v>
      </c>
      <c r="BO255" s="181" t="s">
        <v>141</v>
      </c>
      <c r="BP255" s="182" t="s">
        <v>141</v>
      </c>
      <c r="BQ255" s="183" t="s">
        <v>141</v>
      </c>
      <c r="BR255" s="184" t="s">
        <v>141</v>
      </c>
      <c r="BS255" s="185" t="s">
        <v>141</v>
      </c>
      <c r="BT255" s="186" t="s">
        <v>141</v>
      </c>
      <c r="BU255" s="187" t="s">
        <v>141</v>
      </c>
      <c r="BV255" s="188" t="s">
        <v>141</v>
      </c>
      <c r="BW255" s="189" t="s">
        <v>141</v>
      </c>
      <c r="BX255" s="190">
        <v>4.4000000000000004</v>
      </c>
      <c r="BY255" s="191" t="s">
        <v>141</v>
      </c>
      <c r="BZ255" s="192" t="s">
        <v>141</v>
      </c>
      <c r="CA255" s="193" t="s">
        <v>141</v>
      </c>
      <c r="CB255" s="194" t="s">
        <v>141</v>
      </c>
      <c r="CC255" s="195" t="s">
        <v>141</v>
      </c>
      <c r="CD255" s="196" t="s">
        <v>141</v>
      </c>
      <c r="CE255" s="197">
        <v>2013</v>
      </c>
      <c r="CF255" s="198" t="s">
        <v>141</v>
      </c>
      <c r="CG255" s="199" t="s">
        <v>141</v>
      </c>
      <c r="CH255" s="200" t="s">
        <v>141</v>
      </c>
      <c r="CI255" s="201" t="s">
        <v>141</v>
      </c>
      <c r="CJ255" s="202" t="s">
        <v>141</v>
      </c>
      <c r="CK255" s="203" t="s">
        <v>141</v>
      </c>
      <c r="CL255" s="204" t="s">
        <v>141</v>
      </c>
      <c r="CM255" s="205" t="s">
        <v>141</v>
      </c>
      <c r="CN255" s="206">
        <v>0.06</v>
      </c>
      <c r="CO255" s="207" t="s">
        <v>141</v>
      </c>
      <c r="CP255" s="208" t="s">
        <v>141</v>
      </c>
      <c r="CQ255" s="209" t="s">
        <v>141</v>
      </c>
      <c r="CR255" s="210" t="s">
        <v>141</v>
      </c>
      <c r="CS255" s="211" t="s">
        <v>141</v>
      </c>
      <c r="CT255" s="212" t="s">
        <v>141</v>
      </c>
      <c r="CU255" s="213" t="s">
        <v>141</v>
      </c>
      <c r="CV255" s="214" t="s">
        <v>141</v>
      </c>
      <c r="CW255" s="215" t="s">
        <v>141</v>
      </c>
      <c r="CX255" s="216">
        <v>51</v>
      </c>
      <c r="CY255" s="217" t="s">
        <v>150</v>
      </c>
      <c r="CZ255" s="218" t="s">
        <v>200</v>
      </c>
      <c r="DA255" s="219" t="s">
        <v>152</v>
      </c>
      <c r="DB255" s="220" t="s">
        <v>153</v>
      </c>
      <c r="DC255" s="221" t="s">
        <v>201</v>
      </c>
      <c r="DD255" s="222" t="s">
        <v>201</v>
      </c>
      <c r="DE255" s="223" t="s">
        <v>2964</v>
      </c>
      <c r="DF255" s="224" t="s">
        <v>157</v>
      </c>
      <c r="DG255" s="225">
        <v>2009</v>
      </c>
      <c r="DH255" s="226" t="s">
        <v>2965</v>
      </c>
      <c r="DI255" s="228" t="str">
        <f>HYPERLINK("https://my.pitchbook.com?c=53859-07T", "View company online")</f>
        <v>View company online</v>
      </c>
    </row>
    <row r="256" spans="1:113" x14ac:dyDescent="0.2">
      <c r="A256" s="3" t="s">
        <v>2966</v>
      </c>
      <c r="B256" s="4" t="s">
        <v>2163</v>
      </c>
      <c r="C256" s="5" t="s">
        <v>2164</v>
      </c>
      <c r="D256" s="6" t="s">
        <v>2165</v>
      </c>
      <c r="E256" s="7" t="s">
        <v>2166</v>
      </c>
      <c r="F256" s="8" t="s">
        <v>585</v>
      </c>
      <c r="G256" s="9" t="s">
        <v>586</v>
      </c>
      <c r="H256" s="10" t="s">
        <v>587</v>
      </c>
      <c r="I256" s="11" t="s">
        <v>2167</v>
      </c>
      <c r="J256" s="12" t="s">
        <v>1351</v>
      </c>
      <c r="K256" s="13" t="s">
        <v>2168</v>
      </c>
      <c r="L256" s="14" t="s">
        <v>132</v>
      </c>
      <c r="M256" s="15" t="s">
        <v>133</v>
      </c>
      <c r="N256" s="16" t="s">
        <v>134</v>
      </c>
      <c r="O256" s="17" t="s">
        <v>2169</v>
      </c>
      <c r="P256" s="18" t="s">
        <v>2170</v>
      </c>
      <c r="Q256" s="19" t="s">
        <v>2171</v>
      </c>
      <c r="R256" s="20" t="s">
        <v>2172</v>
      </c>
      <c r="S256" s="21" t="s">
        <v>2173</v>
      </c>
      <c r="T256" s="22" t="s">
        <v>2174</v>
      </c>
      <c r="U256" s="23">
        <v>1</v>
      </c>
      <c r="V256" s="24" t="s">
        <v>2966</v>
      </c>
      <c r="W256" s="25" t="s">
        <v>141</v>
      </c>
      <c r="X256" s="26">
        <v>41830</v>
      </c>
      <c r="Y256" s="27">
        <v>2.75</v>
      </c>
      <c r="Z256" s="28" t="s">
        <v>177</v>
      </c>
      <c r="AA256" s="29" t="s">
        <v>141</v>
      </c>
      <c r="AB256" s="30" t="s">
        <v>141</v>
      </c>
      <c r="AC256" s="31" t="s">
        <v>141</v>
      </c>
      <c r="AD256" s="32" t="s">
        <v>141</v>
      </c>
      <c r="AE256" s="33">
        <v>2.75</v>
      </c>
      <c r="AF256" s="34" t="s">
        <v>1571</v>
      </c>
      <c r="AG256" s="35" t="s">
        <v>141</v>
      </c>
      <c r="AH256" s="36" t="s">
        <v>141</v>
      </c>
      <c r="AI256" s="37" t="s">
        <v>141</v>
      </c>
      <c r="AJ256" s="38" t="s">
        <v>2622</v>
      </c>
      <c r="AK256" s="39" t="s">
        <v>2622</v>
      </c>
      <c r="AL256" s="40" t="s">
        <v>141</v>
      </c>
      <c r="AM256" s="41" t="s">
        <v>170</v>
      </c>
      <c r="AN256" s="42" t="s">
        <v>2967</v>
      </c>
      <c r="AO256" s="43">
        <v>2.75</v>
      </c>
      <c r="AP256" s="44" t="s">
        <v>145</v>
      </c>
      <c r="AQ256" s="45" t="s">
        <v>141</v>
      </c>
      <c r="AR256" s="46" t="s">
        <v>141</v>
      </c>
      <c r="AS256" s="47" t="s">
        <v>141</v>
      </c>
      <c r="AT256" s="48" t="s">
        <v>141</v>
      </c>
      <c r="AU256" s="49" t="s">
        <v>141</v>
      </c>
      <c r="AV256" s="50" t="s">
        <v>141</v>
      </c>
      <c r="AW256" s="51" t="s">
        <v>141</v>
      </c>
      <c r="AX256" s="52" t="s">
        <v>141</v>
      </c>
      <c r="AY256" s="53" t="s">
        <v>141</v>
      </c>
      <c r="AZ256" s="54" t="s">
        <v>141</v>
      </c>
      <c r="BA256" s="55" t="s">
        <v>146</v>
      </c>
      <c r="BB256" s="56" t="s">
        <v>263</v>
      </c>
      <c r="BC256" s="57" t="s">
        <v>132</v>
      </c>
      <c r="BD256" s="58">
        <v>5</v>
      </c>
      <c r="BE256" s="59">
        <v>3</v>
      </c>
      <c r="BF256" s="60" t="s">
        <v>2968</v>
      </c>
      <c r="BG256" s="61">
        <v>3</v>
      </c>
      <c r="BH256" s="62" t="s">
        <v>141</v>
      </c>
      <c r="BI256" s="63" t="s">
        <v>141</v>
      </c>
      <c r="BJ256" s="64" t="s">
        <v>141</v>
      </c>
      <c r="BK256" s="65" t="s">
        <v>2969</v>
      </c>
      <c r="BL256" s="66" t="s">
        <v>2970</v>
      </c>
      <c r="BM256" s="67" t="s">
        <v>2971</v>
      </c>
      <c r="BN256" s="68" t="s">
        <v>2972</v>
      </c>
      <c r="BO256" s="69" t="s">
        <v>141</v>
      </c>
      <c r="BP256" s="70" t="s">
        <v>141</v>
      </c>
      <c r="BQ256" s="71" t="s">
        <v>141</v>
      </c>
      <c r="BR256" s="72" t="s">
        <v>2973</v>
      </c>
      <c r="BS256" s="73" t="s">
        <v>1991</v>
      </c>
      <c r="BT256" s="74" t="s">
        <v>141</v>
      </c>
      <c r="BU256" s="75" t="s">
        <v>2974</v>
      </c>
      <c r="BV256" s="76" t="s">
        <v>141</v>
      </c>
      <c r="BW256" s="77" t="s">
        <v>141</v>
      </c>
      <c r="BX256" s="78" t="s">
        <v>141</v>
      </c>
      <c r="BY256" s="79" t="s">
        <v>141</v>
      </c>
      <c r="BZ256" s="80" t="s">
        <v>141</v>
      </c>
      <c r="CA256" s="81" t="s">
        <v>141</v>
      </c>
      <c r="CB256" s="82" t="s">
        <v>141</v>
      </c>
      <c r="CC256" s="83" t="s">
        <v>141</v>
      </c>
      <c r="CD256" s="84" t="s">
        <v>141</v>
      </c>
      <c r="CE256" s="85" t="s">
        <v>141</v>
      </c>
      <c r="CF256" s="86" t="s">
        <v>141</v>
      </c>
      <c r="CG256" s="87" t="s">
        <v>141</v>
      </c>
      <c r="CH256" s="88" t="s">
        <v>141</v>
      </c>
      <c r="CI256" s="89" t="s">
        <v>141</v>
      </c>
      <c r="CJ256" s="90" t="s">
        <v>141</v>
      </c>
      <c r="CK256" s="91" t="s">
        <v>141</v>
      </c>
      <c r="CL256" s="92" t="s">
        <v>141</v>
      </c>
      <c r="CM256" s="93" t="s">
        <v>141</v>
      </c>
      <c r="CN256" s="94" t="s">
        <v>141</v>
      </c>
      <c r="CO256" s="95" t="s">
        <v>141</v>
      </c>
      <c r="CP256" s="96" t="s">
        <v>141</v>
      </c>
      <c r="CQ256" s="97" t="s">
        <v>141</v>
      </c>
      <c r="CR256" s="98" t="s">
        <v>141</v>
      </c>
      <c r="CS256" s="99" t="s">
        <v>141</v>
      </c>
      <c r="CT256" s="100" t="s">
        <v>141</v>
      </c>
      <c r="CU256" s="101" t="s">
        <v>141</v>
      </c>
      <c r="CV256" s="102" t="s">
        <v>141</v>
      </c>
      <c r="CW256" s="103" t="s">
        <v>141</v>
      </c>
      <c r="CX256" s="104">
        <v>22</v>
      </c>
      <c r="CY256" s="105" t="s">
        <v>150</v>
      </c>
      <c r="CZ256" s="106" t="s">
        <v>811</v>
      </c>
      <c r="DA256" s="107" t="s">
        <v>152</v>
      </c>
      <c r="DB256" s="108" t="s">
        <v>153</v>
      </c>
      <c r="DC256" s="109" t="s">
        <v>812</v>
      </c>
      <c r="DD256" s="110" t="s">
        <v>618</v>
      </c>
      <c r="DE256" s="111" t="s">
        <v>2182</v>
      </c>
      <c r="DF256" s="112" t="s">
        <v>157</v>
      </c>
      <c r="DG256" s="113">
        <v>2014</v>
      </c>
      <c r="DH256" s="114" t="s">
        <v>2183</v>
      </c>
      <c r="DI256" s="227" t="str">
        <f>HYPERLINK("https://my.pitchbook.com?c=35556-76T", "View company online")</f>
        <v>View company online</v>
      </c>
    </row>
    <row r="257" spans="1:113" x14ac:dyDescent="0.2">
      <c r="A257" s="115" t="s">
        <v>2975</v>
      </c>
      <c r="B257" s="116" t="s">
        <v>735</v>
      </c>
      <c r="C257" s="117" t="s">
        <v>736</v>
      </c>
      <c r="D257" s="118" t="s">
        <v>737</v>
      </c>
      <c r="E257" s="119" t="s">
        <v>738</v>
      </c>
      <c r="F257" s="120" t="s">
        <v>126</v>
      </c>
      <c r="G257" s="121" t="s">
        <v>456</v>
      </c>
      <c r="H257" s="122" t="s">
        <v>457</v>
      </c>
      <c r="I257" s="123" t="s">
        <v>515</v>
      </c>
      <c r="J257" s="124" t="s">
        <v>211</v>
      </c>
      <c r="K257" s="125" t="s">
        <v>739</v>
      </c>
      <c r="L257" s="126" t="s">
        <v>740</v>
      </c>
      <c r="M257" s="127" t="s">
        <v>133</v>
      </c>
      <c r="N257" s="128" t="s">
        <v>741</v>
      </c>
      <c r="O257" s="129" t="s">
        <v>742</v>
      </c>
      <c r="P257" s="130" t="s">
        <v>743</v>
      </c>
      <c r="Q257" s="131" t="s">
        <v>744</v>
      </c>
      <c r="R257" s="132" t="s">
        <v>141</v>
      </c>
      <c r="S257" s="133" t="s">
        <v>745</v>
      </c>
      <c r="T257" s="134" t="s">
        <v>746</v>
      </c>
      <c r="U257" s="135">
        <v>1</v>
      </c>
      <c r="V257" s="136" t="s">
        <v>2975</v>
      </c>
      <c r="W257" s="137" t="s">
        <v>141</v>
      </c>
      <c r="X257" s="138">
        <v>41200</v>
      </c>
      <c r="Y257" s="139">
        <v>0.38</v>
      </c>
      <c r="Z257" s="140" t="s">
        <v>177</v>
      </c>
      <c r="AA257" s="141">
        <v>0.79</v>
      </c>
      <c r="AB257" s="142">
        <v>1.17</v>
      </c>
      <c r="AC257" s="143" t="s">
        <v>177</v>
      </c>
      <c r="AD257" s="144">
        <v>32.619999999999997</v>
      </c>
      <c r="AE257" s="145">
        <v>0.38</v>
      </c>
      <c r="AF257" s="146" t="s">
        <v>1571</v>
      </c>
      <c r="AG257" s="147" t="s">
        <v>141</v>
      </c>
      <c r="AH257" s="148">
        <v>0.24</v>
      </c>
      <c r="AI257" s="149" t="s">
        <v>141</v>
      </c>
      <c r="AJ257" s="150" t="s">
        <v>2622</v>
      </c>
      <c r="AK257" s="151" t="s">
        <v>2622</v>
      </c>
      <c r="AL257" s="152" t="s">
        <v>141</v>
      </c>
      <c r="AM257" s="153" t="s">
        <v>170</v>
      </c>
      <c r="AN257" s="154" t="s">
        <v>2976</v>
      </c>
      <c r="AO257" s="155">
        <v>0.38</v>
      </c>
      <c r="AP257" s="156" t="s">
        <v>145</v>
      </c>
      <c r="AQ257" s="157" t="s">
        <v>141</v>
      </c>
      <c r="AR257" s="158" t="s">
        <v>141</v>
      </c>
      <c r="AS257" s="159" t="s">
        <v>141</v>
      </c>
      <c r="AT257" s="160" t="s">
        <v>141</v>
      </c>
      <c r="AU257" s="161" t="s">
        <v>141</v>
      </c>
      <c r="AV257" s="162" t="s">
        <v>141</v>
      </c>
      <c r="AW257" s="163" t="s">
        <v>141</v>
      </c>
      <c r="AX257" s="164" t="s">
        <v>141</v>
      </c>
      <c r="AY257" s="165" t="s">
        <v>141</v>
      </c>
      <c r="AZ257" s="166" t="s">
        <v>141</v>
      </c>
      <c r="BA257" s="167" t="s">
        <v>146</v>
      </c>
      <c r="BB257" s="168" t="s">
        <v>263</v>
      </c>
      <c r="BC257" s="169" t="s">
        <v>132</v>
      </c>
      <c r="BD257" s="170" t="s">
        <v>141</v>
      </c>
      <c r="BE257" s="171">
        <v>2</v>
      </c>
      <c r="BF257" s="172" t="s">
        <v>2977</v>
      </c>
      <c r="BG257" s="173">
        <v>2</v>
      </c>
      <c r="BH257" s="174" t="s">
        <v>141</v>
      </c>
      <c r="BI257" s="175" t="s">
        <v>141</v>
      </c>
      <c r="BJ257" s="176" t="s">
        <v>141</v>
      </c>
      <c r="BK257" s="177" t="s">
        <v>2978</v>
      </c>
      <c r="BL257" s="178" t="s">
        <v>2979</v>
      </c>
      <c r="BM257" s="179" t="s">
        <v>141</v>
      </c>
      <c r="BN257" s="180" t="s">
        <v>141</v>
      </c>
      <c r="BO257" s="181" t="s">
        <v>141</v>
      </c>
      <c r="BP257" s="182" t="s">
        <v>141</v>
      </c>
      <c r="BQ257" s="183" t="s">
        <v>141</v>
      </c>
      <c r="BR257" s="184" t="s">
        <v>141</v>
      </c>
      <c r="BS257" s="185" t="s">
        <v>141</v>
      </c>
      <c r="BT257" s="186" t="s">
        <v>141</v>
      </c>
      <c r="BU257" s="187" t="s">
        <v>141</v>
      </c>
      <c r="BV257" s="188" t="s">
        <v>141</v>
      </c>
      <c r="BW257" s="189" t="s">
        <v>141</v>
      </c>
      <c r="BX257" s="190" t="s">
        <v>141</v>
      </c>
      <c r="BY257" s="191" t="s">
        <v>141</v>
      </c>
      <c r="BZ257" s="192" t="s">
        <v>141</v>
      </c>
      <c r="CA257" s="193" t="s">
        <v>141</v>
      </c>
      <c r="CB257" s="194" t="s">
        <v>141</v>
      </c>
      <c r="CC257" s="195" t="s">
        <v>141</v>
      </c>
      <c r="CD257" s="196" t="s">
        <v>141</v>
      </c>
      <c r="CE257" s="197" t="s">
        <v>141</v>
      </c>
      <c r="CF257" s="198" t="s">
        <v>141</v>
      </c>
      <c r="CG257" s="199" t="s">
        <v>141</v>
      </c>
      <c r="CH257" s="200" t="s">
        <v>141</v>
      </c>
      <c r="CI257" s="201" t="s">
        <v>141</v>
      </c>
      <c r="CJ257" s="202" t="s">
        <v>141</v>
      </c>
      <c r="CK257" s="203" t="s">
        <v>141</v>
      </c>
      <c r="CL257" s="204" t="s">
        <v>141</v>
      </c>
      <c r="CM257" s="205" t="s">
        <v>141</v>
      </c>
      <c r="CN257" s="206" t="s">
        <v>141</v>
      </c>
      <c r="CO257" s="207" t="s">
        <v>141</v>
      </c>
      <c r="CP257" s="208" t="s">
        <v>141</v>
      </c>
      <c r="CQ257" s="209" t="s">
        <v>141</v>
      </c>
      <c r="CR257" s="210" t="s">
        <v>141</v>
      </c>
      <c r="CS257" s="211" t="s">
        <v>141</v>
      </c>
      <c r="CT257" s="212" t="s">
        <v>141</v>
      </c>
      <c r="CU257" s="213" t="s">
        <v>141</v>
      </c>
      <c r="CV257" s="214" t="s">
        <v>141</v>
      </c>
      <c r="CW257" s="215" t="s">
        <v>141</v>
      </c>
      <c r="CX257" s="216">
        <v>501</v>
      </c>
      <c r="CY257" s="217" t="s">
        <v>150</v>
      </c>
      <c r="CZ257" s="218" t="s">
        <v>200</v>
      </c>
      <c r="DA257" s="219" t="s">
        <v>152</v>
      </c>
      <c r="DB257" s="220" t="s">
        <v>153</v>
      </c>
      <c r="DC257" s="221" t="s">
        <v>201</v>
      </c>
      <c r="DD257" s="222" t="s">
        <v>201</v>
      </c>
      <c r="DE257" s="223" t="s">
        <v>141</v>
      </c>
      <c r="DF257" s="224" t="s">
        <v>157</v>
      </c>
      <c r="DG257" s="225">
        <v>2012</v>
      </c>
      <c r="DH257" s="226" t="s">
        <v>749</v>
      </c>
      <c r="DI257" s="228" t="str">
        <f>HYPERLINK("https://my.pitchbook.com?c=25442-56T", "View company online")</f>
        <v>View company online</v>
      </c>
    </row>
    <row r="258" spans="1:113" x14ac:dyDescent="0.2">
      <c r="A258" s="3" t="s">
        <v>2980</v>
      </c>
      <c r="B258" s="4" t="s">
        <v>735</v>
      </c>
      <c r="C258" s="5" t="s">
        <v>736</v>
      </c>
      <c r="D258" s="6" t="s">
        <v>737</v>
      </c>
      <c r="E258" s="7" t="s">
        <v>738</v>
      </c>
      <c r="F258" s="8" t="s">
        <v>126</v>
      </c>
      <c r="G258" s="9" t="s">
        <v>456</v>
      </c>
      <c r="H258" s="10" t="s">
        <v>457</v>
      </c>
      <c r="I258" s="11" t="s">
        <v>515</v>
      </c>
      <c r="J258" s="12" t="s">
        <v>211</v>
      </c>
      <c r="K258" s="13" t="s">
        <v>739</v>
      </c>
      <c r="L258" s="14" t="s">
        <v>740</v>
      </c>
      <c r="M258" s="15" t="s">
        <v>133</v>
      </c>
      <c r="N258" s="16" t="s">
        <v>741</v>
      </c>
      <c r="O258" s="17" t="s">
        <v>742</v>
      </c>
      <c r="P258" s="18" t="s">
        <v>743</v>
      </c>
      <c r="Q258" s="19" t="s">
        <v>744</v>
      </c>
      <c r="R258" s="20" t="s">
        <v>141</v>
      </c>
      <c r="S258" s="21" t="s">
        <v>745</v>
      </c>
      <c r="T258" s="22" t="s">
        <v>746</v>
      </c>
      <c r="U258" s="23">
        <v>3</v>
      </c>
      <c r="V258" s="24" t="s">
        <v>2980</v>
      </c>
      <c r="W258" s="25">
        <v>41453</v>
      </c>
      <c r="X258" s="26">
        <v>41645</v>
      </c>
      <c r="Y258" s="27">
        <v>6.4</v>
      </c>
      <c r="Z258" s="28" t="s">
        <v>177</v>
      </c>
      <c r="AA258" s="29">
        <v>3.6</v>
      </c>
      <c r="AB258" s="30">
        <v>10</v>
      </c>
      <c r="AC258" s="31" t="s">
        <v>177</v>
      </c>
      <c r="AD258" s="32">
        <v>64</v>
      </c>
      <c r="AE258" s="33">
        <v>6.9</v>
      </c>
      <c r="AF258" s="34" t="s">
        <v>1582</v>
      </c>
      <c r="AG258" s="35" t="s">
        <v>1188</v>
      </c>
      <c r="AH258" s="36">
        <v>0.71</v>
      </c>
      <c r="AI258" s="37" t="s">
        <v>141</v>
      </c>
      <c r="AJ258" s="38" t="s">
        <v>2622</v>
      </c>
      <c r="AK258" s="39" t="s">
        <v>2622</v>
      </c>
      <c r="AL258" s="40" t="s">
        <v>141</v>
      </c>
      <c r="AM258" s="41" t="s">
        <v>170</v>
      </c>
      <c r="AN258" s="42" t="s">
        <v>2981</v>
      </c>
      <c r="AO258" s="43">
        <v>6.4</v>
      </c>
      <c r="AP258" s="44" t="s">
        <v>145</v>
      </c>
      <c r="AQ258" s="45" t="s">
        <v>141</v>
      </c>
      <c r="AR258" s="46" t="s">
        <v>141</v>
      </c>
      <c r="AS258" s="47" t="s">
        <v>141</v>
      </c>
      <c r="AT258" s="48" t="s">
        <v>141</v>
      </c>
      <c r="AU258" s="49" t="s">
        <v>141</v>
      </c>
      <c r="AV258" s="50" t="s">
        <v>141</v>
      </c>
      <c r="AW258" s="51" t="s">
        <v>141</v>
      </c>
      <c r="AX258" s="52" t="s">
        <v>141</v>
      </c>
      <c r="AY258" s="53" t="s">
        <v>141</v>
      </c>
      <c r="AZ258" s="54" t="s">
        <v>141</v>
      </c>
      <c r="BA258" s="55" t="s">
        <v>146</v>
      </c>
      <c r="BB258" s="56" t="s">
        <v>263</v>
      </c>
      <c r="BC258" s="57" t="s">
        <v>132</v>
      </c>
      <c r="BD258" s="58">
        <v>20</v>
      </c>
      <c r="BE258" s="59">
        <v>13</v>
      </c>
      <c r="BF258" s="60" t="s">
        <v>2982</v>
      </c>
      <c r="BG258" s="61">
        <v>12</v>
      </c>
      <c r="BH258" s="62" t="s">
        <v>147</v>
      </c>
      <c r="BI258" s="63">
        <v>1</v>
      </c>
      <c r="BJ258" s="64" t="s">
        <v>141</v>
      </c>
      <c r="BK258" s="65" t="s">
        <v>2983</v>
      </c>
      <c r="BL258" s="66" t="s">
        <v>2984</v>
      </c>
      <c r="BM258" s="67" t="s">
        <v>2985</v>
      </c>
      <c r="BN258" s="68" t="s">
        <v>2986</v>
      </c>
      <c r="BO258" s="69" t="s">
        <v>141</v>
      </c>
      <c r="BP258" s="70" t="s">
        <v>141</v>
      </c>
      <c r="BQ258" s="71" t="s">
        <v>141</v>
      </c>
      <c r="BR258" s="72" t="s">
        <v>2987</v>
      </c>
      <c r="BS258" s="73" t="s">
        <v>2987</v>
      </c>
      <c r="BT258" s="74" t="s">
        <v>141</v>
      </c>
      <c r="BU258" s="75" t="s">
        <v>141</v>
      </c>
      <c r="BV258" s="76" t="s">
        <v>141</v>
      </c>
      <c r="BW258" s="77" t="s">
        <v>141</v>
      </c>
      <c r="BX258" s="78" t="s">
        <v>141</v>
      </c>
      <c r="BY258" s="79" t="s">
        <v>141</v>
      </c>
      <c r="BZ258" s="80" t="s">
        <v>141</v>
      </c>
      <c r="CA258" s="81" t="s">
        <v>141</v>
      </c>
      <c r="CB258" s="82" t="s">
        <v>141</v>
      </c>
      <c r="CC258" s="83" t="s">
        <v>141</v>
      </c>
      <c r="CD258" s="84" t="s">
        <v>141</v>
      </c>
      <c r="CE258" s="85" t="s">
        <v>141</v>
      </c>
      <c r="CF258" s="86" t="s">
        <v>141</v>
      </c>
      <c r="CG258" s="87" t="s">
        <v>141</v>
      </c>
      <c r="CH258" s="88" t="s">
        <v>141</v>
      </c>
      <c r="CI258" s="89" t="s">
        <v>141</v>
      </c>
      <c r="CJ258" s="90" t="s">
        <v>141</v>
      </c>
      <c r="CK258" s="91" t="s">
        <v>141</v>
      </c>
      <c r="CL258" s="92" t="s">
        <v>141</v>
      </c>
      <c r="CM258" s="93" t="s">
        <v>141</v>
      </c>
      <c r="CN258" s="94" t="s">
        <v>141</v>
      </c>
      <c r="CO258" s="95" t="s">
        <v>141</v>
      </c>
      <c r="CP258" s="96" t="s">
        <v>141</v>
      </c>
      <c r="CQ258" s="97" t="s">
        <v>141</v>
      </c>
      <c r="CR258" s="98" t="s">
        <v>141</v>
      </c>
      <c r="CS258" s="99" t="s">
        <v>141</v>
      </c>
      <c r="CT258" s="100" t="s">
        <v>141</v>
      </c>
      <c r="CU258" s="101" t="s">
        <v>141</v>
      </c>
      <c r="CV258" s="102" t="s">
        <v>141</v>
      </c>
      <c r="CW258" s="103" t="s">
        <v>141</v>
      </c>
      <c r="CX258" s="104">
        <v>501</v>
      </c>
      <c r="CY258" s="105" t="s">
        <v>150</v>
      </c>
      <c r="CZ258" s="106" t="s">
        <v>200</v>
      </c>
      <c r="DA258" s="107" t="s">
        <v>152</v>
      </c>
      <c r="DB258" s="108" t="s">
        <v>153</v>
      </c>
      <c r="DC258" s="109" t="s">
        <v>201</v>
      </c>
      <c r="DD258" s="110" t="s">
        <v>201</v>
      </c>
      <c r="DE258" s="111" t="s">
        <v>141</v>
      </c>
      <c r="DF258" s="112" t="s">
        <v>157</v>
      </c>
      <c r="DG258" s="113">
        <v>2012</v>
      </c>
      <c r="DH258" s="114" t="s">
        <v>749</v>
      </c>
      <c r="DI258" s="227" t="str">
        <f>HYPERLINK("https://my.pitchbook.com?c=26849-80T", "View company online")</f>
        <v>View company online</v>
      </c>
    </row>
    <row r="259" spans="1:113" x14ac:dyDescent="0.2">
      <c r="A259" s="115" t="s">
        <v>2988</v>
      </c>
      <c r="B259" s="116" t="s">
        <v>751</v>
      </c>
      <c r="C259" s="117" t="s">
        <v>752</v>
      </c>
      <c r="D259" s="118" t="s">
        <v>753</v>
      </c>
      <c r="E259" s="119" t="s">
        <v>754</v>
      </c>
      <c r="F259" s="120" t="s">
        <v>126</v>
      </c>
      <c r="G259" s="121" t="s">
        <v>252</v>
      </c>
      <c r="H259" s="122" t="s">
        <v>253</v>
      </c>
      <c r="I259" s="123" t="s">
        <v>755</v>
      </c>
      <c r="J259" s="124" t="s">
        <v>756</v>
      </c>
      <c r="K259" s="125" t="s">
        <v>757</v>
      </c>
      <c r="L259" s="126" t="s">
        <v>132</v>
      </c>
      <c r="M259" s="127" t="s">
        <v>133</v>
      </c>
      <c r="N259" s="128" t="s">
        <v>134</v>
      </c>
      <c r="O259" s="129" t="s">
        <v>758</v>
      </c>
      <c r="P259" s="130" t="s">
        <v>759</v>
      </c>
      <c r="Q259" s="131" t="s">
        <v>760</v>
      </c>
      <c r="R259" s="132" t="s">
        <v>761</v>
      </c>
      <c r="S259" s="133" t="s">
        <v>762</v>
      </c>
      <c r="T259" s="134" t="s">
        <v>763</v>
      </c>
      <c r="U259" s="135">
        <v>2</v>
      </c>
      <c r="V259" s="136" t="s">
        <v>2988</v>
      </c>
      <c r="W259" s="137" t="s">
        <v>141</v>
      </c>
      <c r="X259" s="138">
        <v>41576</v>
      </c>
      <c r="Y259" s="139" t="s">
        <v>141</v>
      </c>
      <c r="Z259" s="140" t="s">
        <v>141</v>
      </c>
      <c r="AA259" s="141" t="s">
        <v>141</v>
      </c>
      <c r="AB259" s="142" t="s">
        <v>141</v>
      </c>
      <c r="AC259" s="143" t="s">
        <v>141</v>
      </c>
      <c r="AD259" s="144" t="s">
        <v>141</v>
      </c>
      <c r="AE259" s="145">
        <v>0.05</v>
      </c>
      <c r="AF259" s="146" t="s">
        <v>1582</v>
      </c>
      <c r="AG259" s="147" t="s">
        <v>141</v>
      </c>
      <c r="AH259" s="148" t="s">
        <v>141</v>
      </c>
      <c r="AI259" s="149" t="s">
        <v>141</v>
      </c>
      <c r="AJ259" s="150" t="s">
        <v>2622</v>
      </c>
      <c r="AK259" s="151" t="s">
        <v>2622</v>
      </c>
      <c r="AL259" s="152" t="s">
        <v>141</v>
      </c>
      <c r="AM259" s="153" t="s">
        <v>170</v>
      </c>
      <c r="AN259" s="154" t="s">
        <v>2989</v>
      </c>
      <c r="AO259" s="155" t="s">
        <v>141</v>
      </c>
      <c r="AP259" s="156" t="s">
        <v>145</v>
      </c>
      <c r="AQ259" s="157" t="s">
        <v>141</v>
      </c>
      <c r="AR259" s="158" t="s">
        <v>141</v>
      </c>
      <c r="AS259" s="159" t="s">
        <v>141</v>
      </c>
      <c r="AT259" s="160" t="s">
        <v>141</v>
      </c>
      <c r="AU259" s="161" t="s">
        <v>141</v>
      </c>
      <c r="AV259" s="162" t="s">
        <v>141</v>
      </c>
      <c r="AW259" s="163" t="s">
        <v>141</v>
      </c>
      <c r="AX259" s="164" t="s">
        <v>141</v>
      </c>
      <c r="AY259" s="165" t="s">
        <v>141</v>
      </c>
      <c r="AZ259" s="166" t="s">
        <v>141</v>
      </c>
      <c r="BA259" s="167" t="s">
        <v>146</v>
      </c>
      <c r="BB259" s="168" t="s">
        <v>263</v>
      </c>
      <c r="BC259" s="169" t="s">
        <v>132</v>
      </c>
      <c r="BD259" s="170" t="s">
        <v>141</v>
      </c>
      <c r="BE259" s="171">
        <v>8</v>
      </c>
      <c r="BF259" s="172" t="s">
        <v>2990</v>
      </c>
      <c r="BG259" s="173">
        <v>8</v>
      </c>
      <c r="BH259" s="174" t="s">
        <v>141</v>
      </c>
      <c r="BI259" s="175" t="s">
        <v>141</v>
      </c>
      <c r="BJ259" s="176" t="s">
        <v>141</v>
      </c>
      <c r="BK259" s="177" t="s">
        <v>2991</v>
      </c>
      <c r="BL259" s="178" t="s">
        <v>2992</v>
      </c>
      <c r="BM259" s="179" t="s">
        <v>141</v>
      </c>
      <c r="BN259" s="180" t="s">
        <v>2993</v>
      </c>
      <c r="BO259" s="181" t="s">
        <v>141</v>
      </c>
      <c r="BP259" s="182" t="s">
        <v>141</v>
      </c>
      <c r="BQ259" s="183" t="s">
        <v>141</v>
      </c>
      <c r="BR259" s="184" t="s">
        <v>766</v>
      </c>
      <c r="BS259" s="185" t="s">
        <v>766</v>
      </c>
      <c r="BT259" s="186" t="s">
        <v>141</v>
      </c>
      <c r="BU259" s="187" t="s">
        <v>141</v>
      </c>
      <c r="BV259" s="188" t="s">
        <v>141</v>
      </c>
      <c r="BW259" s="189" t="s">
        <v>141</v>
      </c>
      <c r="BX259" s="190" t="s">
        <v>141</v>
      </c>
      <c r="BY259" s="191" t="s">
        <v>141</v>
      </c>
      <c r="BZ259" s="192" t="s">
        <v>141</v>
      </c>
      <c r="CA259" s="193" t="s">
        <v>141</v>
      </c>
      <c r="CB259" s="194" t="s">
        <v>141</v>
      </c>
      <c r="CC259" s="195" t="s">
        <v>141</v>
      </c>
      <c r="CD259" s="196" t="s">
        <v>141</v>
      </c>
      <c r="CE259" s="197" t="s">
        <v>141</v>
      </c>
      <c r="CF259" s="198" t="s">
        <v>141</v>
      </c>
      <c r="CG259" s="199" t="s">
        <v>141</v>
      </c>
      <c r="CH259" s="200" t="s">
        <v>141</v>
      </c>
      <c r="CI259" s="201" t="s">
        <v>141</v>
      </c>
      <c r="CJ259" s="202" t="s">
        <v>141</v>
      </c>
      <c r="CK259" s="203" t="s">
        <v>141</v>
      </c>
      <c r="CL259" s="204" t="s">
        <v>141</v>
      </c>
      <c r="CM259" s="205" t="s">
        <v>141</v>
      </c>
      <c r="CN259" s="206" t="s">
        <v>141</v>
      </c>
      <c r="CO259" s="207" t="s">
        <v>141</v>
      </c>
      <c r="CP259" s="208" t="s">
        <v>141</v>
      </c>
      <c r="CQ259" s="209" t="s">
        <v>141</v>
      </c>
      <c r="CR259" s="210" t="s">
        <v>141</v>
      </c>
      <c r="CS259" s="211" t="s">
        <v>141</v>
      </c>
      <c r="CT259" s="212" t="s">
        <v>141</v>
      </c>
      <c r="CU259" s="213" t="s">
        <v>141</v>
      </c>
      <c r="CV259" s="214" t="s">
        <v>141</v>
      </c>
      <c r="CW259" s="215" t="s">
        <v>141</v>
      </c>
      <c r="CX259" s="216">
        <v>13</v>
      </c>
      <c r="CY259" s="217" t="s">
        <v>150</v>
      </c>
      <c r="CZ259" s="218" t="s">
        <v>180</v>
      </c>
      <c r="DA259" s="219" t="s">
        <v>152</v>
      </c>
      <c r="DB259" s="220" t="s">
        <v>153</v>
      </c>
      <c r="DC259" s="221" t="s">
        <v>181</v>
      </c>
      <c r="DD259" s="222" t="s">
        <v>182</v>
      </c>
      <c r="DE259" s="223" t="s">
        <v>469</v>
      </c>
      <c r="DF259" s="224" t="s">
        <v>157</v>
      </c>
      <c r="DG259" s="225">
        <v>2012</v>
      </c>
      <c r="DH259" s="226" t="s">
        <v>767</v>
      </c>
      <c r="DI259" s="228" t="str">
        <f>HYPERLINK("https://my.pitchbook.com?c=30775-33T", "View company online")</f>
        <v>View company online</v>
      </c>
    </row>
    <row r="260" spans="1:113" x14ac:dyDescent="0.2">
      <c r="A260" s="3" t="s">
        <v>2994</v>
      </c>
      <c r="B260" s="4" t="s">
        <v>751</v>
      </c>
      <c r="C260" s="5" t="s">
        <v>752</v>
      </c>
      <c r="D260" s="6" t="s">
        <v>753</v>
      </c>
      <c r="E260" s="7" t="s">
        <v>754</v>
      </c>
      <c r="F260" s="8" t="s">
        <v>126</v>
      </c>
      <c r="G260" s="9" t="s">
        <v>252</v>
      </c>
      <c r="H260" s="10" t="s">
        <v>253</v>
      </c>
      <c r="I260" s="11" t="s">
        <v>755</v>
      </c>
      <c r="J260" s="12" t="s">
        <v>756</v>
      </c>
      <c r="K260" s="13" t="s">
        <v>757</v>
      </c>
      <c r="L260" s="14" t="s">
        <v>132</v>
      </c>
      <c r="M260" s="15" t="s">
        <v>133</v>
      </c>
      <c r="N260" s="16" t="s">
        <v>134</v>
      </c>
      <c r="O260" s="17" t="s">
        <v>758</v>
      </c>
      <c r="P260" s="18" t="s">
        <v>759</v>
      </c>
      <c r="Q260" s="19" t="s">
        <v>760</v>
      </c>
      <c r="R260" s="20" t="s">
        <v>761</v>
      </c>
      <c r="S260" s="21" t="s">
        <v>762</v>
      </c>
      <c r="T260" s="22" t="s">
        <v>763</v>
      </c>
      <c r="U260" s="23">
        <v>1</v>
      </c>
      <c r="V260" s="24" t="s">
        <v>2994</v>
      </c>
      <c r="W260" s="25" t="s">
        <v>141</v>
      </c>
      <c r="X260" s="26">
        <v>41134</v>
      </c>
      <c r="Y260" s="27">
        <v>0.05</v>
      </c>
      <c r="Z260" s="28" t="s">
        <v>177</v>
      </c>
      <c r="AA260" s="29" t="s">
        <v>141</v>
      </c>
      <c r="AB260" s="30" t="s">
        <v>141</v>
      </c>
      <c r="AC260" s="31" t="s">
        <v>141</v>
      </c>
      <c r="AD260" s="32" t="s">
        <v>141</v>
      </c>
      <c r="AE260" s="33">
        <v>0.05</v>
      </c>
      <c r="AF260" s="34" t="s">
        <v>1571</v>
      </c>
      <c r="AG260" s="35" t="s">
        <v>141</v>
      </c>
      <c r="AH260" s="36" t="s">
        <v>141</v>
      </c>
      <c r="AI260" s="37" t="s">
        <v>141</v>
      </c>
      <c r="AJ260" s="38" t="s">
        <v>2622</v>
      </c>
      <c r="AK260" s="39" t="s">
        <v>2622</v>
      </c>
      <c r="AL260" s="40" t="s">
        <v>141</v>
      </c>
      <c r="AM260" s="41" t="s">
        <v>170</v>
      </c>
      <c r="AN260" s="42" t="s">
        <v>2995</v>
      </c>
      <c r="AO260" s="43">
        <v>0.05</v>
      </c>
      <c r="AP260" s="44" t="s">
        <v>145</v>
      </c>
      <c r="AQ260" s="45" t="s">
        <v>141</v>
      </c>
      <c r="AR260" s="46" t="s">
        <v>141</v>
      </c>
      <c r="AS260" s="47" t="s">
        <v>141</v>
      </c>
      <c r="AT260" s="48" t="s">
        <v>141</v>
      </c>
      <c r="AU260" s="49" t="s">
        <v>141</v>
      </c>
      <c r="AV260" s="50" t="s">
        <v>141</v>
      </c>
      <c r="AW260" s="51" t="s">
        <v>141</v>
      </c>
      <c r="AX260" s="52" t="s">
        <v>141</v>
      </c>
      <c r="AY260" s="53" t="s">
        <v>141</v>
      </c>
      <c r="AZ260" s="54" t="s">
        <v>141</v>
      </c>
      <c r="BA260" s="55" t="s">
        <v>146</v>
      </c>
      <c r="BB260" s="56" t="s">
        <v>263</v>
      </c>
      <c r="BC260" s="57" t="s">
        <v>132</v>
      </c>
      <c r="BD260" s="58" t="s">
        <v>141</v>
      </c>
      <c r="BE260" s="59">
        <v>1</v>
      </c>
      <c r="BF260" s="60" t="s">
        <v>2996</v>
      </c>
      <c r="BG260" s="61">
        <v>1</v>
      </c>
      <c r="BH260" s="62" t="s">
        <v>141</v>
      </c>
      <c r="BI260" s="63" t="s">
        <v>141</v>
      </c>
      <c r="BJ260" s="64" t="s">
        <v>141</v>
      </c>
      <c r="BK260" s="65" t="s">
        <v>2997</v>
      </c>
      <c r="BL260" s="66" t="s">
        <v>2996</v>
      </c>
      <c r="BM260" s="67" t="s">
        <v>2996</v>
      </c>
      <c r="BN260" s="68" t="s">
        <v>2998</v>
      </c>
      <c r="BO260" s="69" t="s">
        <v>141</v>
      </c>
      <c r="BP260" s="70" t="s">
        <v>141</v>
      </c>
      <c r="BQ260" s="71" t="s">
        <v>141</v>
      </c>
      <c r="BR260" s="72" t="s">
        <v>141</v>
      </c>
      <c r="BS260" s="73" t="s">
        <v>141</v>
      </c>
      <c r="BT260" s="74" t="s">
        <v>141</v>
      </c>
      <c r="BU260" s="75" t="s">
        <v>141</v>
      </c>
      <c r="BV260" s="76" t="s">
        <v>141</v>
      </c>
      <c r="BW260" s="77" t="s">
        <v>141</v>
      </c>
      <c r="BX260" s="78" t="s">
        <v>141</v>
      </c>
      <c r="BY260" s="79" t="s">
        <v>141</v>
      </c>
      <c r="BZ260" s="80" t="s">
        <v>141</v>
      </c>
      <c r="CA260" s="81" t="s">
        <v>141</v>
      </c>
      <c r="CB260" s="82" t="s">
        <v>141</v>
      </c>
      <c r="CC260" s="83" t="s">
        <v>141</v>
      </c>
      <c r="CD260" s="84" t="s">
        <v>141</v>
      </c>
      <c r="CE260" s="85" t="s">
        <v>141</v>
      </c>
      <c r="CF260" s="86" t="s">
        <v>141</v>
      </c>
      <c r="CG260" s="87" t="s">
        <v>141</v>
      </c>
      <c r="CH260" s="88" t="s">
        <v>141</v>
      </c>
      <c r="CI260" s="89" t="s">
        <v>141</v>
      </c>
      <c r="CJ260" s="90" t="s">
        <v>141</v>
      </c>
      <c r="CK260" s="91" t="s">
        <v>141</v>
      </c>
      <c r="CL260" s="92" t="s">
        <v>141</v>
      </c>
      <c r="CM260" s="93" t="s">
        <v>141</v>
      </c>
      <c r="CN260" s="94" t="s">
        <v>141</v>
      </c>
      <c r="CO260" s="95" t="s">
        <v>141</v>
      </c>
      <c r="CP260" s="96" t="s">
        <v>141</v>
      </c>
      <c r="CQ260" s="97" t="s">
        <v>141</v>
      </c>
      <c r="CR260" s="98" t="s">
        <v>141</v>
      </c>
      <c r="CS260" s="99" t="s">
        <v>141</v>
      </c>
      <c r="CT260" s="100" t="s">
        <v>141</v>
      </c>
      <c r="CU260" s="101" t="s">
        <v>141</v>
      </c>
      <c r="CV260" s="102" t="s">
        <v>141</v>
      </c>
      <c r="CW260" s="103" t="s">
        <v>141</v>
      </c>
      <c r="CX260" s="104">
        <v>13</v>
      </c>
      <c r="CY260" s="105" t="s">
        <v>150</v>
      </c>
      <c r="CZ260" s="106" t="s">
        <v>180</v>
      </c>
      <c r="DA260" s="107" t="s">
        <v>152</v>
      </c>
      <c r="DB260" s="108" t="s">
        <v>153</v>
      </c>
      <c r="DC260" s="109" t="s">
        <v>181</v>
      </c>
      <c r="DD260" s="110" t="s">
        <v>182</v>
      </c>
      <c r="DE260" s="111" t="s">
        <v>469</v>
      </c>
      <c r="DF260" s="112" t="s">
        <v>157</v>
      </c>
      <c r="DG260" s="113">
        <v>2012</v>
      </c>
      <c r="DH260" s="114" t="s">
        <v>767</v>
      </c>
      <c r="DI260" s="227" t="str">
        <f>HYPERLINK("https://my.pitchbook.com?c=35515-36T", "View company online")</f>
        <v>View company online</v>
      </c>
    </row>
    <row r="261" spans="1:113" x14ac:dyDescent="0.2">
      <c r="A261" s="115" t="s">
        <v>2999</v>
      </c>
      <c r="B261" s="116" t="s">
        <v>751</v>
      </c>
      <c r="C261" s="117" t="s">
        <v>752</v>
      </c>
      <c r="D261" s="118" t="s">
        <v>753</v>
      </c>
      <c r="E261" s="119" t="s">
        <v>754</v>
      </c>
      <c r="F261" s="120" t="s">
        <v>126</v>
      </c>
      <c r="G261" s="121" t="s">
        <v>252</v>
      </c>
      <c r="H261" s="122" t="s">
        <v>253</v>
      </c>
      <c r="I261" s="123" t="s">
        <v>755</v>
      </c>
      <c r="J261" s="124" t="s">
        <v>756</v>
      </c>
      <c r="K261" s="125" t="s">
        <v>757</v>
      </c>
      <c r="L261" s="126" t="s">
        <v>132</v>
      </c>
      <c r="M261" s="127" t="s">
        <v>133</v>
      </c>
      <c r="N261" s="128" t="s">
        <v>134</v>
      </c>
      <c r="O261" s="129" t="s">
        <v>758</v>
      </c>
      <c r="P261" s="130" t="s">
        <v>759</v>
      </c>
      <c r="Q261" s="131" t="s">
        <v>760</v>
      </c>
      <c r="R261" s="132" t="s">
        <v>761</v>
      </c>
      <c r="S261" s="133" t="s">
        <v>762</v>
      </c>
      <c r="T261" s="134" t="s">
        <v>763</v>
      </c>
      <c r="U261" s="135">
        <v>4</v>
      </c>
      <c r="V261" s="136" t="s">
        <v>2999</v>
      </c>
      <c r="W261" s="137" t="s">
        <v>141</v>
      </c>
      <c r="X261" s="138">
        <v>42123</v>
      </c>
      <c r="Y261" s="139">
        <v>1.7</v>
      </c>
      <c r="Z261" s="140" t="s">
        <v>177</v>
      </c>
      <c r="AA261" s="141" t="s">
        <v>141</v>
      </c>
      <c r="AB261" s="142" t="s">
        <v>141</v>
      </c>
      <c r="AC261" s="143" t="s">
        <v>141</v>
      </c>
      <c r="AD261" s="144" t="s">
        <v>141</v>
      </c>
      <c r="AE261" s="145">
        <v>2.5499999999999998</v>
      </c>
      <c r="AF261" s="146" t="s">
        <v>1516</v>
      </c>
      <c r="AG261" s="147" t="s">
        <v>141</v>
      </c>
      <c r="AH261" s="148" t="s">
        <v>141</v>
      </c>
      <c r="AI261" s="149" t="s">
        <v>141</v>
      </c>
      <c r="AJ261" s="150" t="s">
        <v>2622</v>
      </c>
      <c r="AK261" s="151" t="s">
        <v>2622</v>
      </c>
      <c r="AL261" s="152" t="s">
        <v>141</v>
      </c>
      <c r="AM261" s="153" t="s">
        <v>170</v>
      </c>
      <c r="AN261" s="154" t="s">
        <v>3000</v>
      </c>
      <c r="AO261" s="155">
        <v>1.7</v>
      </c>
      <c r="AP261" s="156" t="s">
        <v>145</v>
      </c>
      <c r="AQ261" s="157" t="s">
        <v>141</v>
      </c>
      <c r="AR261" s="158" t="s">
        <v>141</v>
      </c>
      <c r="AS261" s="159" t="s">
        <v>141</v>
      </c>
      <c r="AT261" s="160" t="s">
        <v>141</v>
      </c>
      <c r="AU261" s="161" t="s">
        <v>141</v>
      </c>
      <c r="AV261" s="162" t="s">
        <v>141</v>
      </c>
      <c r="AW261" s="163" t="s">
        <v>141</v>
      </c>
      <c r="AX261" s="164" t="s">
        <v>141</v>
      </c>
      <c r="AY261" s="165" t="s">
        <v>141</v>
      </c>
      <c r="AZ261" s="166" t="s">
        <v>141</v>
      </c>
      <c r="BA261" s="167" t="s">
        <v>146</v>
      </c>
      <c r="BB261" s="168" t="s">
        <v>263</v>
      </c>
      <c r="BC261" s="169" t="s">
        <v>132</v>
      </c>
      <c r="BD261" s="170" t="s">
        <v>141</v>
      </c>
      <c r="BE261" s="171">
        <v>9</v>
      </c>
      <c r="BF261" s="172" t="s">
        <v>3001</v>
      </c>
      <c r="BG261" s="173">
        <v>6</v>
      </c>
      <c r="BH261" s="174" t="s">
        <v>3002</v>
      </c>
      <c r="BI261" s="175">
        <v>3</v>
      </c>
      <c r="BJ261" s="176" t="s">
        <v>141</v>
      </c>
      <c r="BK261" s="177" t="s">
        <v>3003</v>
      </c>
      <c r="BL261" s="178" t="s">
        <v>3004</v>
      </c>
      <c r="BM261" s="179" t="s">
        <v>141</v>
      </c>
      <c r="BN261" s="180" t="s">
        <v>3005</v>
      </c>
      <c r="BO261" s="181" t="s">
        <v>141</v>
      </c>
      <c r="BP261" s="182" t="s">
        <v>141</v>
      </c>
      <c r="BQ261" s="183" t="s">
        <v>141</v>
      </c>
      <c r="BR261" s="184" t="s">
        <v>766</v>
      </c>
      <c r="BS261" s="185" t="s">
        <v>766</v>
      </c>
      <c r="BT261" s="186" t="s">
        <v>141</v>
      </c>
      <c r="BU261" s="187" t="s">
        <v>141</v>
      </c>
      <c r="BV261" s="188" t="s">
        <v>141</v>
      </c>
      <c r="BW261" s="189" t="s">
        <v>141</v>
      </c>
      <c r="BX261" s="190" t="s">
        <v>141</v>
      </c>
      <c r="BY261" s="191" t="s">
        <v>141</v>
      </c>
      <c r="BZ261" s="192" t="s">
        <v>141</v>
      </c>
      <c r="CA261" s="193" t="s">
        <v>141</v>
      </c>
      <c r="CB261" s="194" t="s">
        <v>141</v>
      </c>
      <c r="CC261" s="195" t="s">
        <v>141</v>
      </c>
      <c r="CD261" s="196" t="s">
        <v>141</v>
      </c>
      <c r="CE261" s="197" t="s">
        <v>141</v>
      </c>
      <c r="CF261" s="198" t="s">
        <v>141</v>
      </c>
      <c r="CG261" s="199" t="s">
        <v>141</v>
      </c>
      <c r="CH261" s="200" t="s">
        <v>141</v>
      </c>
      <c r="CI261" s="201" t="s">
        <v>141</v>
      </c>
      <c r="CJ261" s="202" t="s">
        <v>141</v>
      </c>
      <c r="CK261" s="203" t="s">
        <v>141</v>
      </c>
      <c r="CL261" s="204" t="s">
        <v>141</v>
      </c>
      <c r="CM261" s="205" t="s">
        <v>141</v>
      </c>
      <c r="CN261" s="206" t="s">
        <v>141</v>
      </c>
      <c r="CO261" s="207" t="s">
        <v>141</v>
      </c>
      <c r="CP261" s="208" t="s">
        <v>141</v>
      </c>
      <c r="CQ261" s="209" t="s">
        <v>141</v>
      </c>
      <c r="CR261" s="210" t="s">
        <v>141</v>
      </c>
      <c r="CS261" s="211" t="s">
        <v>141</v>
      </c>
      <c r="CT261" s="212" t="s">
        <v>141</v>
      </c>
      <c r="CU261" s="213" t="s">
        <v>141</v>
      </c>
      <c r="CV261" s="214" t="s">
        <v>141</v>
      </c>
      <c r="CW261" s="215" t="s">
        <v>141</v>
      </c>
      <c r="CX261" s="216">
        <v>13</v>
      </c>
      <c r="CY261" s="217" t="s">
        <v>150</v>
      </c>
      <c r="CZ261" s="218" t="s">
        <v>180</v>
      </c>
      <c r="DA261" s="219" t="s">
        <v>152</v>
      </c>
      <c r="DB261" s="220" t="s">
        <v>153</v>
      </c>
      <c r="DC261" s="221" t="s">
        <v>181</v>
      </c>
      <c r="DD261" s="222" t="s">
        <v>182</v>
      </c>
      <c r="DE261" s="223" t="s">
        <v>469</v>
      </c>
      <c r="DF261" s="224" t="s">
        <v>157</v>
      </c>
      <c r="DG261" s="225">
        <v>2012</v>
      </c>
      <c r="DH261" s="226" t="s">
        <v>767</v>
      </c>
      <c r="DI261" s="228" t="str">
        <f>HYPERLINK("https://my.pitchbook.com?c=49300-93T", "View company online")</f>
        <v>View company online</v>
      </c>
    </row>
    <row r="262" spans="1:113" x14ac:dyDescent="0.2">
      <c r="A262" s="3" t="s">
        <v>3006</v>
      </c>
      <c r="B262" s="4" t="s">
        <v>769</v>
      </c>
      <c r="C262" s="5" t="s">
        <v>770</v>
      </c>
      <c r="D262" s="6" t="s">
        <v>771</v>
      </c>
      <c r="E262" s="7" t="s">
        <v>772</v>
      </c>
      <c r="F262" s="8" t="s">
        <v>126</v>
      </c>
      <c r="G262" s="9" t="s">
        <v>127</v>
      </c>
      <c r="H262" s="10" t="s">
        <v>128</v>
      </c>
      <c r="I262" s="11" t="s">
        <v>129</v>
      </c>
      <c r="J262" s="12" t="s">
        <v>773</v>
      </c>
      <c r="K262" s="13" t="s">
        <v>774</v>
      </c>
      <c r="L262" s="14" t="s">
        <v>132</v>
      </c>
      <c r="M262" s="15" t="s">
        <v>133</v>
      </c>
      <c r="N262" s="16" t="s">
        <v>170</v>
      </c>
      <c r="O262" s="17" t="s">
        <v>775</v>
      </c>
      <c r="P262" s="18" t="s">
        <v>776</v>
      </c>
      <c r="Q262" s="19" t="s">
        <v>777</v>
      </c>
      <c r="R262" s="20" t="s">
        <v>778</v>
      </c>
      <c r="S262" s="21" t="s">
        <v>779</v>
      </c>
      <c r="T262" s="22" t="s">
        <v>141</v>
      </c>
      <c r="U262" s="23">
        <v>3</v>
      </c>
      <c r="V262" s="24" t="s">
        <v>3006</v>
      </c>
      <c r="W262" s="25" t="s">
        <v>141</v>
      </c>
      <c r="X262" s="26">
        <v>43024</v>
      </c>
      <c r="Y262" s="27">
        <v>0.5</v>
      </c>
      <c r="Z262" s="28" t="s">
        <v>177</v>
      </c>
      <c r="AA262" s="29" t="s">
        <v>141</v>
      </c>
      <c r="AB262" s="30" t="s">
        <v>141</v>
      </c>
      <c r="AC262" s="31" t="s">
        <v>141</v>
      </c>
      <c r="AD262" s="32" t="s">
        <v>141</v>
      </c>
      <c r="AE262" s="33">
        <v>0.53</v>
      </c>
      <c r="AF262" s="34" t="s">
        <v>1582</v>
      </c>
      <c r="AG262" s="35" t="s">
        <v>141</v>
      </c>
      <c r="AH262" s="36" t="s">
        <v>141</v>
      </c>
      <c r="AI262" s="37" t="s">
        <v>141</v>
      </c>
      <c r="AJ262" s="38" t="s">
        <v>2622</v>
      </c>
      <c r="AK262" s="39" t="s">
        <v>2622</v>
      </c>
      <c r="AL262" s="40" t="s">
        <v>141</v>
      </c>
      <c r="AM262" s="41" t="s">
        <v>170</v>
      </c>
      <c r="AN262" s="42" t="s">
        <v>3007</v>
      </c>
      <c r="AO262" s="43">
        <v>0.5</v>
      </c>
      <c r="AP262" s="44" t="s">
        <v>145</v>
      </c>
      <c r="AQ262" s="45" t="s">
        <v>141</v>
      </c>
      <c r="AR262" s="46" t="s">
        <v>141</v>
      </c>
      <c r="AS262" s="47" t="s">
        <v>141</v>
      </c>
      <c r="AT262" s="48" t="s">
        <v>141</v>
      </c>
      <c r="AU262" s="49" t="s">
        <v>141</v>
      </c>
      <c r="AV262" s="50" t="s">
        <v>141</v>
      </c>
      <c r="AW262" s="51" t="s">
        <v>141</v>
      </c>
      <c r="AX262" s="52" t="s">
        <v>141</v>
      </c>
      <c r="AY262" s="53" t="s">
        <v>141</v>
      </c>
      <c r="AZ262" s="54" t="s">
        <v>141</v>
      </c>
      <c r="BA262" s="55" t="s">
        <v>146</v>
      </c>
      <c r="BB262" s="56" t="s">
        <v>263</v>
      </c>
      <c r="BC262" s="57" t="s">
        <v>132</v>
      </c>
      <c r="BD262" s="58" t="s">
        <v>141</v>
      </c>
      <c r="BE262" s="59">
        <v>1</v>
      </c>
      <c r="BF262" s="60" t="s">
        <v>3008</v>
      </c>
      <c r="BG262" s="61">
        <v>1</v>
      </c>
      <c r="BH262" s="62" t="s">
        <v>141</v>
      </c>
      <c r="BI262" s="63" t="s">
        <v>141</v>
      </c>
      <c r="BJ262" s="64" t="s">
        <v>141</v>
      </c>
      <c r="BK262" s="65" t="s">
        <v>3009</v>
      </c>
      <c r="BL262" s="66" t="s">
        <v>3008</v>
      </c>
      <c r="BM262" s="67" t="s">
        <v>3008</v>
      </c>
      <c r="BN262" s="68" t="s">
        <v>3010</v>
      </c>
      <c r="BO262" s="69" t="s">
        <v>141</v>
      </c>
      <c r="BP262" s="70" t="s">
        <v>141</v>
      </c>
      <c r="BQ262" s="71" t="s">
        <v>141</v>
      </c>
      <c r="BR262" s="72" t="s">
        <v>141</v>
      </c>
      <c r="BS262" s="73" t="s">
        <v>141</v>
      </c>
      <c r="BT262" s="74" t="s">
        <v>141</v>
      </c>
      <c r="BU262" s="75" t="s">
        <v>141</v>
      </c>
      <c r="BV262" s="76" t="s">
        <v>141</v>
      </c>
      <c r="BW262" s="77" t="s">
        <v>141</v>
      </c>
      <c r="BX262" s="78" t="s">
        <v>141</v>
      </c>
      <c r="BY262" s="79" t="s">
        <v>141</v>
      </c>
      <c r="BZ262" s="80" t="s">
        <v>141</v>
      </c>
      <c r="CA262" s="81" t="s">
        <v>141</v>
      </c>
      <c r="CB262" s="82" t="s">
        <v>141</v>
      </c>
      <c r="CC262" s="83" t="s">
        <v>141</v>
      </c>
      <c r="CD262" s="84" t="s">
        <v>141</v>
      </c>
      <c r="CE262" s="85" t="s">
        <v>141</v>
      </c>
      <c r="CF262" s="86" t="s">
        <v>141</v>
      </c>
      <c r="CG262" s="87" t="s">
        <v>141</v>
      </c>
      <c r="CH262" s="88" t="s">
        <v>141</v>
      </c>
      <c r="CI262" s="89" t="s">
        <v>141</v>
      </c>
      <c r="CJ262" s="90" t="s">
        <v>141</v>
      </c>
      <c r="CK262" s="91" t="s">
        <v>141</v>
      </c>
      <c r="CL262" s="92" t="s">
        <v>141</v>
      </c>
      <c r="CM262" s="93" t="s">
        <v>141</v>
      </c>
      <c r="CN262" s="94" t="s">
        <v>141</v>
      </c>
      <c r="CO262" s="95" t="s">
        <v>141</v>
      </c>
      <c r="CP262" s="96" t="s">
        <v>141</v>
      </c>
      <c r="CQ262" s="97" t="s">
        <v>141</v>
      </c>
      <c r="CR262" s="98" t="s">
        <v>141</v>
      </c>
      <c r="CS262" s="99" t="s">
        <v>141</v>
      </c>
      <c r="CT262" s="100" t="s">
        <v>141</v>
      </c>
      <c r="CU262" s="101" t="s">
        <v>141</v>
      </c>
      <c r="CV262" s="102" t="s">
        <v>141</v>
      </c>
      <c r="CW262" s="103" t="s">
        <v>141</v>
      </c>
      <c r="CX262" s="104">
        <v>11</v>
      </c>
      <c r="CY262" s="105" t="s">
        <v>150</v>
      </c>
      <c r="CZ262" s="106" t="s">
        <v>783</v>
      </c>
      <c r="DA262" s="107" t="s">
        <v>152</v>
      </c>
      <c r="DB262" s="108" t="s">
        <v>153</v>
      </c>
      <c r="DC262" s="109" t="s">
        <v>784</v>
      </c>
      <c r="DD262" s="110" t="s">
        <v>785</v>
      </c>
      <c r="DE262" s="111" t="s">
        <v>786</v>
      </c>
      <c r="DF262" s="112" t="s">
        <v>157</v>
      </c>
      <c r="DG262" s="113">
        <v>2017</v>
      </c>
      <c r="DH262" s="114" t="s">
        <v>787</v>
      </c>
      <c r="DI262" s="227" t="str">
        <f>HYPERLINK("https://my.pitchbook.com?c=103238-11T", "View company online")</f>
        <v>View company online</v>
      </c>
    </row>
    <row r="263" spans="1:113" x14ac:dyDescent="0.2">
      <c r="A263" s="115" t="s">
        <v>3011</v>
      </c>
      <c r="B263" s="116" t="s">
        <v>769</v>
      </c>
      <c r="C263" s="117" t="s">
        <v>770</v>
      </c>
      <c r="D263" s="118" t="s">
        <v>771</v>
      </c>
      <c r="E263" s="119" t="s">
        <v>772</v>
      </c>
      <c r="F263" s="120" t="s">
        <v>126</v>
      </c>
      <c r="G263" s="121" t="s">
        <v>127</v>
      </c>
      <c r="H263" s="122" t="s">
        <v>128</v>
      </c>
      <c r="I263" s="123" t="s">
        <v>129</v>
      </c>
      <c r="J263" s="124" t="s">
        <v>773</v>
      </c>
      <c r="K263" s="125" t="s">
        <v>774</v>
      </c>
      <c r="L263" s="126" t="s">
        <v>132</v>
      </c>
      <c r="M263" s="127" t="s">
        <v>133</v>
      </c>
      <c r="N263" s="128" t="s">
        <v>170</v>
      </c>
      <c r="O263" s="129" t="s">
        <v>775</v>
      </c>
      <c r="P263" s="130" t="s">
        <v>776</v>
      </c>
      <c r="Q263" s="131" t="s">
        <v>777</v>
      </c>
      <c r="R263" s="132" t="s">
        <v>778</v>
      </c>
      <c r="S263" s="133" t="s">
        <v>779</v>
      </c>
      <c r="T263" s="134" t="s">
        <v>141</v>
      </c>
      <c r="U263" s="135">
        <v>2</v>
      </c>
      <c r="V263" s="136" t="s">
        <v>3011</v>
      </c>
      <c r="W263" s="137" t="s">
        <v>141</v>
      </c>
      <c r="X263" s="138">
        <v>42736</v>
      </c>
      <c r="Y263" s="139">
        <v>0.03</v>
      </c>
      <c r="Z263" s="140" t="s">
        <v>177</v>
      </c>
      <c r="AA263" s="141" t="s">
        <v>141</v>
      </c>
      <c r="AB263" s="142" t="s">
        <v>141</v>
      </c>
      <c r="AC263" s="143" t="s">
        <v>141</v>
      </c>
      <c r="AD263" s="144" t="s">
        <v>141</v>
      </c>
      <c r="AE263" s="145">
        <v>0.03</v>
      </c>
      <c r="AF263" s="146" t="s">
        <v>1571</v>
      </c>
      <c r="AG263" s="147" t="s">
        <v>141</v>
      </c>
      <c r="AH263" s="148" t="s">
        <v>141</v>
      </c>
      <c r="AI263" s="149" t="s">
        <v>141</v>
      </c>
      <c r="AJ263" s="150" t="s">
        <v>2622</v>
      </c>
      <c r="AK263" s="151" t="s">
        <v>2622</v>
      </c>
      <c r="AL263" s="152" t="s">
        <v>141</v>
      </c>
      <c r="AM263" s="153" t="s">
        <v>170</v>
      </c>
      <c r="AN263" s="154" t="s">
        <v>3012</v>
      </c>
      <c r="AO263" s="155">
        <v>0.03</v>
      </c>
      <c r="AP263" s="156" t="s">
        <v>145</v>
      </c>
      <c r="AQ263" s="157" t="s">
        <v>141</v>
      </c>
      <c r="AR263" s="158" t="s">
        <v>141</v>
      </c>
      <c r="AS263" s="159" t="s">
        <v>141</v>
      </c>
      <c r="AT263" s="160" t="s">
        <v>141</v>
      </c>
      <c r="AU263" s="161" t="s">
        <v>141</v>
      </c>
      <c r="AV263" s="162" t="s">
        <v>141</v>
      </c>
      <c r="AW263" s="163" t="s">
        <v>141</v>
      </c>
      <c r="AX263" s="164" t="s">
        <v>141</v>
      </c>
      <c r="AY263" s="165" t="s">
        <v>141</v>
      </c>
      <c r="AZ263" s="166" t="s">
        <v>141</v>
      </c>
      <c r="BA263" s="167" t="s">
        <v>146</v>
      </c>
      <c r="BB263" s="168" t="s">
        <v>263</v>
      </c>
      <c r="BC263" s="169" t="s">
        <v>132</v>
      </c>
      <c r="BD263" s="170" t="s">
        <v>141</v>
      </c>
      <c r="BE263" s="171">
        <v>1</v>
      </c>
      <c r="BF263" s="172" t="s">
        <v>790</v>
      </c>
      <c r="BG263" s="173">
        <v>1</v>
      </c>
      <c r="BH263" s="174" t="s">
        <v>141</v>
      </c>
      <c r="BI263" s="175" t="s">
        <v>141</v>
      </c>
      <c r="BJ263" s="176" t="s">
        <v>141</v>
      </c>
      <c r="BK263" s="177" t="s">
        <v>791</v>
      </c>
      <c r="BL263" s="178" t="s">
        <v>790</v>
      </c>
      <c r="BM263" s="179" t="s">
        <v>790</v>
      </c>
      <c r="BN263" s="180" t="s">
        <v>141</v>
      </c>
      <c r="BO263" s="181" t="s">
        <v>141</v>
      </c>
      <c r="BP263" s="182" t="s">
        <v>141</v>
      </c>
      <c r="BQ263" s="183" t="s">
        <v>141</v>
      </c>
      <c r="BR263" s="184" t="s">
        <v>141</v>
      </c>
      <c r="BS263" s="185" t="s">
        <v>141</v>
      </c>
      <c r="BT263" s="186" t="s">
        <v>141</v>
      </c>
      <c r="BU263" s="187" t="s">
        <v>141</v>
      </c>
      <c r="BV263" s="188" t="s">
        <v>141</v>
      </c>
      <c r="BW263" s="189" t="s">
        <v>141</v>
      </c>
      <c r="BX263" s="190" t="s">
        <v>141</v>
      </c>
      <c r="BY263" s="191" t="s">
        <v>141</v>
      </c>
      <c r="BZ263" s="192" t="s">
        <v>141</v>
      </c>
      <c r="CA263" s="193" t="s">
        <v>141</v>
      </c>
      <c r="CB263" s="194" t="s">
        <v>141</v>
      </c>
      <c r="CC263" s="195" t="s">
        <v>141</v>
      </c>
      <c r="CD263" s="196" t="s">
        <v>141</v>
      </c>
      <c r="CE263" s="197" t="s">
        <v>141</v>
      </c>
      <c r="CF263" s="198" t="s">
        <v>141</v>
      </c>
      <c r="CG263" s="199" t="s">
        <v>141</v>
      </c>
      <c r="CH263" s="200" t="s">
        <v>141</v>
      </c>
      <c r="CI263" s="201" t="s">
        <v>141</v>
      </c>
      <c r="CJ263" s="202" t="s">
        <v>141</v>
      </c>
      <c r="CK263" s="203" t="s">
        <v>141</v>
      </c>
      <c r="CL263" s="204" t="s">
        <v>141</v>
      </c>
      <c r="CM263" s="205" t="s">
        <v>141</v>
      </c>
      <c r="CN263" s="206" t="s">
        <v>141</v>
      </c>
      <c r="CO263" s="207" t="s">
        <v>141</v>
      </c>
      <c r="CP263" s="208" t="s">
        <v>141</v>
      </c>
      <c r="CQ263" s="209" t="s">
        <v>141</v>
      </c>
      <c r="CR263" s="210" t="s">
        <v>141</v>
      </c>
      <c r="CS263" s="211" t="s">
        <v>141</v>
      </c>
      <c r="CT263" s="212" t="s">
        <v>141</v>
      </c>
      <c r="CU263" s="213" t="s">
        <v>141</v>
      </c>
      <c r="CV263" s="214" t="s">
        <v>141</v>
      </c>
      <c r="CW263" s="215" t="s">
        <v>141</v>
      </c>
      <c r="CX263" s="216">
        <v>11</v>
      </c>
      <c r="CY263" s="217" t="s">
        <v>150</v>
      </c>
      <c r="CZ263" s="218" t="s">
        <v>783</v>
      </c>
      <c r="DA263" s="219" t="s">
        <v>152</v>
      </c>
      <c r="DB263" s="220" t="s">
        <v>153</v>
      </c>
      <c r="DC263" s="221" t="s">
        <v>784</v>
      </c>
      <c r="DD263" s="222" t="s">
        <v>785</v>
      </c>
      <c r="DE263" s="223" t="s">
        <v>786</v>
      </c>
      <c r="DF263" s="224" t="s">
        <v>157</v>
      </c>
      <c r="DG263" s="225">
        <v>2017</v>
      </c>
      <c r="DH263" s="226" t="s">
        <v>787</v>
      </c>
      <c r="DI263" s="228" t="str">
        <f>HYPERLINK("https://my.pitchbook.com?c=103238-65T", "View company online")</f>
        <v>View company online</v>
      </c>
    </row>
    <row r="264" spans="1:113" x14ac:dyDescent="0.2">
      <c r="A264" s="3" t="s">
        <v>3013</v>
      </c>
      <c r="B264" s="4" t="s">
        <v>769</v>
      </c>
      <c r="C264" s="5" t="s">
        <v>770</v>
      </c>
      <c r="D264" s="6" t="s">
        <v>771</v>
      </c>
      <c r="E264" s="7" t="s">
        <v>772</v>
      </c>
      <c r="F264" s="8" t="s">
        <v>126</v>
      </c>
      <c r="G264" s="9" t="s">
        <v>127</v>
      </c>
      <c r="H264" s="10" t="s">
        <v>128</v>
      </c>
      <c r="I264" s="11" t="s">
        <v>129</v>
      </c>
      <c r="J264" s="12" t="s">
        <v>773</v>
      </c>
      <c r="K264" s="13" t="s">
        <v>774</v>
      </c>
      <c r="L264" s="14" t="s">
        <v>132</v>
      </c>
      <c r="M264" s="15" t="s">
        <v>133</v>
      </c>
      <c r="N264" s="16" t="s">
        <v>170</v>
      </c>
      <c r="O264" s="17" t="s">
        <v>775</v>
      </c>
      <c r="P264" s="18" t="s">
        <v>776</v>
      </c>
      <c r="Q264" s="19" t="s">
        <v>777</v>
      </c>
      <c r="R264" s="20" t="s">
        <v>778</v>
      </c>
      <c r="S264" s="21" t="s">
        <v>779</v>
      </c>
      <c r="T264" s="22" t="s">
        <v>141</v>
      </c>
      <c r="U264" s="23">
        <v>4</v>
      </c>
      <c r="V264" s="24" t="s">
        <v>3013</v>
      </c>
      <c r="W264" s="25" t="s">
        <v>141</v>
      </c>
      <c r="X264" s="26">
        <v>43336</v>
      </c>
      <c r="Y264" s="27">
        <v>0.01</v>
      </c>
      <c r="Z264" s="28" t="s">
        <v>177</v>
      </c>
      <c r="AA264" s="29" t="s">
        <v>141</v>
      </c>
      <c r="AB264" s="30" t="s">
        <v>141</v>
      </c>
      <c r="AC264" s="31" t="s">
        <v>141</v>
      </c>
      <c r="AD264" s="32" t="s">
        <v>141</v>
      </c>
      <c r="AE264" s="33">
        <v>0.53</v>
      </c>
      <c r="AF264" s="34" t="s">
        <v>1516</v>
      </c>
      <c r="AG264" s="35" t="s">
        <v>141</v>
      </c>
      <c r="AH264" s="36" t="s">
        <v>141</v>
      </c>
      <c r="AI264" s="37" t="s">
        <v>141</v>
      </c>
      <c r="AJ264" s="38" t="s">
        <v>2622</v>
      </c>
      <c r="AK264" s="39" t="s">
        <v>2622</v>
      </c>
      <c r="AL264" s="40" t="s">
        <v>141</v>
      </c>
      <c r="AM264" s="41" t="s">
        <v>170</v>
      </c>
      <c r="AN264" s="42" t="s">
        <v>3014</v>
      </c>
      <c r="AO264" s="43" t="s">
        <v>141</v>
      </c>
      <c r="AP264" s="44" t="s">
        <v>145</v>
      </c>
      <c r="AQ264" s="45" t="s">
        <v>141</v>
      </c>
      <c r="AR264" s="46" t="s">
        <v>141</v>
      </c>
      <c r="AS264" s="47" t="s">
        <v>141</v>
      </c>
      <c r="AT264" s="48" t="s">
        <v>141</v>
      </c>
      <c r="AU264" s="49" t="s">
        <v>141</v>
      </c>
      <c r="AV264" s="50" t="s">
        <v>141</v>
      </c>
      <c r="AW264" s="51" t="s">
        <v>141</v>
      </c>
      <c r="AX264" s="52" t="s">
        <v>141</v>
      </c>
      <c r="AY264" s="53" t="s">
        <v>141</v>
      </c>
      <c r="AZ264" s="54" t="s">
        <v>141</v>
      </c>
      <c r="BA264" s="55" t="s">
        <v>146</v>
      </c>
      <c r="BB264" s="56" t="s">
        <v>133</v>
      </c>
      <c r="BC264" s="57" t="s">
        <v>132</v>
      </c>
      <c r="BD264" s="58" t="s">
        <v>141</v>
      </c>
      <c r="BE264" s="59">
        <v>1</v>
      </c>
      <c r="BF264" s="60" t="s">
        <v>3015</v>
      </c>
      <c r="BG264" s="61">
        <v>1</v>
      </c>
      <c r="BH264" s="62" t="s">
        <v>141</v>
      </c>
      <c r="BI264" s="63" t="s">
        <v>141</v>
      </c>
      <c r="BJ264" s="64" t="s">
        <v>141</v>
      </c>
      <c r="BK264" s="65" t="s">
        <v>3016</v>
      </c>
      <c r="BL264" s="66" t="s">
        <v>3015</v>
      </c>
      <c r="BM264" s="67" t="s">
        <v>3015</v>
      </c>
      <c r="BN264" s="68" t="s">
        <v>3017</v>
      </c>
      <c r="BO264" s="69" t="s">
        <v>141</v>
      </c>
      <c r="BP264" s="70" t="s">
        <v>141</v>
      </c>
      <c r="BQ264" s="71" t="s">
        <v>141</v>
      </c>
      <c r="BR264" s="72" t="s">
        <v>141</v>
      </c>
      <c r="BS264" s="73" t="s">
        <v>141</v>
      </c>
      <c r="BT264" s="74" t="s">
        <v>141</v>
      </c>
      <c r="BU264" s="75" t="s">
        <v>141</v>
      </c>
      <c r="BV264" s="76" t="s">
        <v>141</v>
      </c>
      <c r="BW264" s="77" t="s">
        <v>141</v>
      </c>
      <c r="BX264" s="78" t="s">
        <v>141</v>
      </c>
      <c r="BY264" s="79" t="s">
        <v>141</v>
      </c>
      <c r="BZ264" s="80" t="s">
        <v>141</v>
      </c>
      <c r="CA264" s="81" t="s">
        <v>141</v>
      </c>
      <c r="CB264" s="82" t="s">
        <v>141</v>
      </c>
      <c r="CC264" s="83" t="s">
        <v>141</v>
      </c>
      <c r="CD264" s="84" t="s">
        <v>141</v>
      </c>
      <c r="CE264" s="85" t="s">
        <v>141</v>
      </c>
      <c r="CF264" s="86" t="s">
        <v>141</v>
      </c>
      <c r="CG264" s="87" t="s">
        <v>141</v>
      </c>
      <c r="CH264" s="88" t="s">
        <v>141</v>
      </c>
      <c r="CI264" s="89" t="s">
        <v>141</v>
      </c>
      <c r="CJ264" s="90" t="s">
        <v>141</v>
      </c>
      <c r="CK264" s="91" t="s">
        <v>141</v>
      </c>
      <c r="CL264" s="92" t="s">
        <v>141</v>
      </c>
      <c r="CM264" s="93" t="s">
        <v>141</v>
      </c>
      <c r="CN264" s="94" t="s">
        <v>141</v>
      </c>
      <c r="CO264" s="95" t="s">
        <v>141</v>
      </c>
      <c r="CP264" s="96" t="s">
        <v>141</v>
      </c>
      <c r="CQ264" s="97" t="s">
        <v>141</v>
      </c>
      <c r="CR264" s="98" t="s">
        <v>141</v>
      </c>
      <c r="CS264" s="99" t="s">
        <v>141</v>
      </c>
      <c r="CT264" s="100" t="s">
        <v>141</v>
      </c>
      <c r="CU264" s="101" t="s">
        <v>141</v>
      </c>
      <c r="CV264" s="102" t="s">
        <v>141</v>
      </c>
      <c r="CW264" s="103" t="s">
        <v>141</v>
      </c>
      <c r="CX264" s="104">
        <v>11</v>
      </c>
      <c r="CY264" s="105" t="s">
        <v>150</v>
      </c>
      <c r="CZ264" s="106" t="s">
        <v>783</v>
      </c>
      <c r="DA264" s="107" t="s">
        <v>152</v>
      </c>
      <c r="DB264" s="108" t="s">
        <v>153</v>
      </c>
      <c r="DC264" s="109" t="s">
        <v>784</v>
      </c>
      <c r="DD264" s="110" t="s">
        <v>785</v>
      </c>
      <c r="DE264" s="111" t="s">
        <v>786</v>
      </c>
      <c r="DF264" s="112" t="s">
        <v>157</v>
      </c>
      <c r="DG264" s="113">
        <v>2017</v>
      </c>
      <c r="DH264" s="114" t="s">
        <v>787</v>
      </c>
      <c r="DI264" s="227" t="str">
        <f>HYPERLINK("https://my.pitchbook.com?c=112494-61T", "View company online")</f>
        <v>View company online</v>
      </c>
    </row>
    <row r="265" spans="1:113" x14ac:dyDescent="0.2">
      <c r="A265" s="115" t="s">
        <v>3018</v>
      </c>
      <c r="B265" s="116" t="s">
        <v>795</v>
      </c>
      <c r="C265" s="117" t="s">
        <v>796</v>
      </c>
      <c r="D265" s="118" t="s">
        <v>797</v>
      </c>
      <c r="E265" s="119" t="s">
        <v>798</v>
      </c>
      <c r="F265" s="120" t="s">
        <v>126</v>
      </c>
      <c r="G265" s="121" t="s">
        <v>127</v>
      </c>
      <c r="H265" s="122" t="s">
        <v>128</v>
      </c>
      <c r="I265" s="123" t="s">
        <v>129</v>
      </c>
      <c r="J265" s="124" t="s">
        <v>141</v>
      </c>
      <c r="K265" s="125" t="s">
        <v>799</v>
      </c>
      <c r="L265" s="126" t="s">
        <v>132</v>
      </c>
      <c r="M265" s="127" t="s">
        <v>133</v>
      </c>
      <c r="N265" s="128" t="s">
        <v>134</v>
      </c>
      <c r="O265" s="129" t="s">
        <v>800</v>
      </c>
      <c r="P265" s="130" t="s">
        <v>801</v>
      </c>
      <c r="Q265" s="131" t="s">
        <v>802</v>
      </c>
      <c r="R265" s="132" t="s">
        <v>803</v>
      </c>
      <c r="S265" s="133" t="s">
        <v>804</v>
      </c>
      <c r="T265" s="134" t="s">
        <v>805</v>
      </c>
      <c r="U265" s="135">
        <v>1</v>
      </c>
      <c r="V265" s="136" t="s">
        <v>3018</v>
      </c>
      <c r="W265" s="137" t="s">
        <v>141</v>
      </c>
      <c r="X265" s="138">
        <v>41430</v>
      </c>
      <c r="Y265" s="139">
        <v>6.25</v>
      </c>
      <c r="Z265" s="140" t="s">
        <v>177</v>
      </c>
      <c r="AA265" s="141">
        <v>8.25</v>
      </c>
      <c r="AB265" s="142">
        <v>14.5</v>
      </c>
      <c r="AC265" s="143" t="s">
        <v>177</v>
      </c>
      <c r="AD265" s="144">
        <v>43.1</v>
      </c>
      <c r="AE265" s="145">
        <v>6.25</v>
      </c>
      <c r="AF265" s="146" t="s">
        <v>1571</v>
      </c>
      <c r="AG265" s="147" t="s">
        <v>141</v>
      </c>
      <c r="AH265" s="148">
        <v>0.44</v>
      </c>
      <c r="AI265" s="149" t="s">
        <v>141</v>
      </c>
      <c r="AJ265" s="150" t="s">
        <v>2622</v>
      </c>
      <c r="AK265" s="151" t="s">
        <v>2622</v>
      </c>
      <c r="AL265" s="152" t="s">
        <v>141</v>
      </c>
      <c r="AM265" s="153" t="s">
        <v>170</v>
      </c>
      <c r="AN265" s="154" t="s">
        <v>3019</v>
      </c>
      <c r="AO265" s="155">
        <v>6.25</v>
      </c>
      <c r="AP265" s="156" t="s">
        <v>145</v>
      </c>
      <c r="AQ265" s="157" t="s">
        <v>141</v>
      </c>
      <c r="AR265" s="158" t="s">
        <v>141</v>
      </c>
      <c r="AS265" s="159" t="s">
        <v>141</v>
      </c>
      <c r="AT265" s="160" t="s">
        <v>141</v>
      </c>
      <c r="AU265" s="161" t="s">
        <v>141</v>
      </c>
      <c r="AV265" s="162" t="s">
        <v>141</v>
      </c>
      <c r="AW265" s="163" t="s">
        <v>141</v>
      </c>
      <c r="AX265" s="164" t="s">
        <v>141</v>
      </c>
      <c r="AY265" s="165" t="s">
        <v>141</v>
      </c>
      <c r="AZ265" s="166" t="s">
        <v>141</v>
      </c>
      <c r="BA265" s="167" t="s">
        <v>146</v>
      </c>
      <c r="BB265" s="168" t="s">
        <v>263</v>
      </c>
      <c r="BC265" s="169" t="s">
        <v>132</v>
      </c>
      <c r="BD265" s="170">
        <v>20</v>
      </c>
      <c r="BE265" s="171">
        <v>13</v>
      </c>
      <c r="BF265" s="172" t="s">
        <v>3020</v>
      </c>
      <c r="BG265" s="173">
        <v>13</v>
      </c>
      <c r="BH265" s="174" t="s">
        <v>141</v>
      </c>
      <c r="BI265" s="175" t="s">
        <v>141</v>
      </c>
      <c r="BJ265" s="176" t="s">
        <v>141</v>
      </c>
      <c r="BK265" s="177" t="s">
        <v>3021</v>
      </c>
      <c r="BL265" s="178" t="s">
        <v>3022</v>
      </c>
      <c r="BM265" s="179" t="s">
        <v>141</v>
      </c>
      <c r="BN265" s="180" t="s">
        <v>3023</v>
      </c>
      <c r="BO265" s="181" t="s">
        <v>141</v>
      </c>
      <c r="BP265" s="182" t="s">
        <v>141</v>
      </c>
      <c r="BQ265" s="183" t="s">
        <v>141</v>
      </c>
      <c r="BR265" s="184" t="s">
        <v>141</v>
      </c>
      <c r="BS265" s="185" t="s">
        <v>141</v>
      </c>
      <c r="BT265" s="186" t="s">
        <v>141</v>
      </c>
      <c r="BU265" s="187" t="s">
        <v>141</v>
      </c>
      <c r="BV265" s="188" t="s">
        <v>141</v>
      </c>
      <c r="BW265" s="189" t="s">
        <v>141</v>
      </c>
      <c r="BX265" s="190" t="s">
        <v>141</v>
      </c>
      <c r="BY265" s="191" t="s">
        <v>141</v>
      </c>
      <c r="BZ265" s="192" t="s">
        <v>141</v>
      </c>
      <c r="CA265" s="193" t="s">
        <v>141</v>
      </c>
      <c r="CB265" s="194" t="s">
        <v>141</v>
      </c>
      <c r="CC265" s="195" t="s">
        <v>141</v>
      </c>
      <c r="CD265" s="196" t="s">
        <v>141</v>
      </c>
      <c r="CE265" s="197" t="s">
        <v>141</v>
      </c>
      <c r="CF265" s="198" t="s">
        <v>141</v>
      </c>
      <c r="CG265" s="199" t="s">
        <v>141</v>
      </c>
      <c r="CH265" s="200" t="s">
        <v>141</v>
      </c>
      <c r="CI265" s="201" t="s">
        <v>141</v>
      </c>
      <c r="CJ265" s="202" t="s">
        <v>141</v>
      </c>
      <c r="CK265" s="203" t="s">
        <v>141</v>
      </c>
      <c r="CL265" s="204" t="s">
        <v>141</v>
      </c>
      <c r="CM265" s="205" t="s">
        <v>141</v>
      </c>
      <c r="CN265" s="206" t="s">
        <v>141</v>
      </c>
      <c r="CO265" s="207" t="s">
        <v>141</v>
      </c>
      <c r="CP265" s="208" t="s">
        <v>141</v>
      </c>
      <c r="CQ265" s="209" t="s">
        <v>141</v>
      </c>
      <c r="CR265" s="210" t="s">
        <v>141</v>
      </c>
      <c r="CS265" s="211" t="s">
        <v>141</v>
      </c>
      <c r="CT265" s="212" t="s">
        <v>141</v>
      </c>
      <c r="CU265" s="213" t="s">
        <v>141</v>
      </c>
      <c r="CV265" s="214" t="s">
        <v>141</v>
      </c>
      <c r="CW265" s="215" t="s">
        <v>141</v>
      </c>
      <c r="CX265" s="216">
        <v>900</v>
      </c>
      <c r="CY265" s="217" t="s">
        <v>150</v>
      </c>
      <c r="CZ265" s="218" t="s">
        <v>811</v>
      </c>
      <c r="DA265" s="219" t="s">
        <v>152</v>
      </c>
      <c r="DB265" s="220" t="s">
        <v>153</v>
      </c>
      <c r="DC265" s="221" t="s">
        <v>812</v>
      </c>
      <c r="DD265" s="222" t="s">
        <v>618</v>
      </c>
      <c r="DE265" s="223" t="s">
        <v>813</v>
      </c>
      <c r="DF265" s="224" t="s">
        <v>157</v>
      </c>
      <c r="DG265" s="225">
        <v>2013</v>
      </c>
      <c r="DH265" s="226" t="s">
        <v>814</v>
      </c>
      <c r="DI265" s="228" t="str">
        <f>HYPERLINK("https://my.pitchbook.com?c=26335-00T", "View company online")</f>
        <v>View company online</v>
      </c>
    </row>
    <row r="266" spans="1:113" x14ac:dyDescent="0.2">
      <c r="A266" s="3" t="s">
        <v>3024</v>
      </c>
      <c r="B266" s="4" t="s">
        <v>816</v>
      </c>
      <c r="C266" s="5" t="s">
        <v>817</v>
      </c>
      <c r="D266" s="6" t="s">
        <v>818</v>
      </c>
      <c r="E266" s="7" t="s">
        <v>819</v>
      </c>
      <c r="F266" s="8" t="s">
        <v>126</v>
      </c>
      <c r="G266" s="9" t="s">
        <v>127</v>
      </c>
      <c r="H266" s="10" t="s">
        <v>128</v>
      </c>
      <c r="I266" s="11" t="s">
        <v>820</v>
      </c>
      <c r="J266" s="12" t="s">
        <v>821</v>
      </c>
      <c r="K266" s="13" t="s">
        <v>822</v>
      </c>
      <c r="L266" s="14" t="s">
        <v>740</v>
      </c>
      <c r="M266" s="15" t="s">
        <v>133</v>
      </c>
      <c r="N266" s="16" t="s">
        <v>823</v>
      </c>
      <c r="O266" s="17" t="s">
        <v>824</v>
      </c>
      <c r="P266" s="18" t="s">
        <v>825</v>
      </c>
      <c r="Q266" s="19" t="s">
        <v>141</v>
      </c>
      <c r="R266" s="20" t="s">
        <v>826</v>
      </c>
      <c r="S266" s="21" t="s">
        <v>827</v>
      </c>
      <c r="T266" s="22" t="s">
        <v>141</v>
      </c>
      <c r="U266" s="23">
        <v>2</v>
      </c>
      <c r="V266" s="24" t="s">
        <v>3024</v>
      </c>
      <c r="W266" s="25">
        <v>40664</v>
      </c>
      <c r="X266" s="26">
        <v>41014</v>
      </c>
      <c r="Y266" s="27">
        <v>1.75</v>
      </c>
      <c r="Z266" s="28" t="s">
        <v>177</v>
      </c>
      <c r="AA266" s="29" t="s">
        <v>141</v>
      </c>
      <c r="AB266" s="30" t="s">
        <v>141</v>
      </c>
      <c r="AC266" s="31" t="s">
        <v>141</v>
      </c>
      <c r="AD266" s="32" t="s">
        <v>141</v>
      </c>
      <c r="AE266" s="33">
        <v>1.81</v>
      </c>
      <c r="AF266" s="34" t="s">
        <v>1571</v>
      </c>
      <c r="AG266" s="35" t="s">
        <v>141</v>
      </c>
      <c r="AH266" s="36" t="s">
        <v>141</v>
      </c>
      <c r="AI266" s="37" t="s">
        <v>141</v>
      </c>
      <c r="AJ266" s="38" t="s">
        <v>2622</v>
      </c>
      <c r="AK266" s="39" t="s">
        <v>2622</v>
      </c>
      <c r="AL266" s="40" t="s">
        <v>141</v>
      </c>
      <c r="AM266" s="41" t="s">
        <v>170</v>
      </c>
      <c r="AN266" s="42" t="s">
        <v>3025</v>
      </c>
      <c r="AO266" s="43">
        <v>1.75</v>
      </c>
      <c r="AP266" s="44" t="s">
        <v>145</v>
      </c>
      <c r="AQ266" s="45" t="s">
        <v>141</v>
      </c>
      <c r="AR266" s="46" t="s">
        <v>141</v>
      </c>
      <c r="AS266" s="47" t="s">
        <v>141</v>
      </c>
      <c r="AT266" s="48" t="s">
        <v>141</v>
      </c>
      <c r="AU266" s="49" t="s">
        <v>141</v>
      </c>
      <c r="AV266" s="50" t="s">
        <v>141</v>
      </c>
      <c r="AW266" s="51" t="s">
        <v>141</v>
      </c>
      <c r="AX266" s="52" t="s">
        <v>141</v>
      </c>
      <c r="AY266" s="53" t="s">
        <v>141</v>
      </c>
      <c r="AZ266" s="54" t="s">
        <v>141</v>
      </c>
      <c r="BA266" s="55" t="s">
        <v>146</v>
      </c>
      <c r="BB266" s="56" t="s">
        <v>263</v>
      </c>
      <c r="BC266" s="57" t="s">
        <v>132</v>
      </c>
      <c r="BD266" s="58">
        <v>12</v>
      </c>
      <c r="BE266" s="59">
        <v>15</v>
      </c>
      <c r="BF266" s="60" t="s">
        <v>3026</v>
      </c>
      <c r="BG266" s="61">
        <v>14</v>
      </c>
      <c r="BH266" s="62" t="s">
        <v>829</v>
      </c>
      <c r="BI266" s="63">
        <v>1</v>
      </c>
      <c r="BJ266" s="64" t="s">
        <v>141</v>
      </c>
      <c r="BK266" s="65" t="s">
        <v>3027</v>
      </c>
      <c r="BL266" s="66" t="s">
        <v>3028</v>
      </c>
      <c r="BM266" s="67" t="s">
        <v>141</v>
      </c>
      <c r="BN266" s="68" t="s">
        <v>3029</v>
      </c>
      <c r="BO266" s="69" t="s">
        <v>141</v>
      </c>
      <c r="BP266" s="70" t="s">
        <v>141</v>
      </c>
      <c r="BQ266" s="71" t="s">
        <v>141</v>
      </c>
      <c r="BR266" s="72" t="s">
        <v>221</v>
      </c>
      <c r="BS266" s="73" t="s">
        <v>221</v>
      </c>
      <c r="BT266" s="74" t="s">
        <v>141</v>
      </c>
      <c r="BU266" s="75" t="s">
        <v>141</v>
      </c>
      <c r="BV266" s="76" t="s">
        <v>141</v>
      </c>
      <c r="BW266" s="77" t="s">
        <v>141</v>
      </c>
      <c r="BX266" s="78" t="s">
        <v>141</v>
      </c>
      <c r="BY266" s="79" t="s">
        <v>141</v>
      </c>
      <c r="BZ266" s="80" t="s">
        <v>141</v>
      </c>
      <c r="CA266" s="81" t="s">
        <v>141</v>
      </c>
      <c r="CB266" s="82" t="s">
        <v>141</v>
      </c>
      <c r="CC266" s="83" t="s">
        <v>141</v>
      </c>
      <c r="CD266" s="84" t="s">
        <v>141</v>
      </c>
      <c r="CE266" s="85" t="s">
        <v>141</v>
      </c>
      <c r="CF266" s="86" t="s">
        <v>141</v>
      </c>
      <c r="CG266" s="87" t="s">
        <v>141</v>
      </c>
      <c r="CH266" s="88" t="s">
        <v>141</v>
      </c>
      <c r="CI266" s="89" t="s">
        <v>141</v>
      </c>
      <c r="CJ266" s="90" t="s">
        <v>141</v>
      </c>
      <c r="CK266" s="91" t="s">
        <v>141</v>
      </c>
      <c r="CL266" s="92" t="s">
        <v>141</v>
      </c>
      <c r="CM266" s="93" t="s">
        <v>141</v>
      </c>
      <c r="CN266" s="94" t="s">
        <v>141</v>
      </c>
      <c r="CO266" s="95" t="s">
        <v>141</v>
      </c>
      <c r="CP266" s="96" t="s">
        <v>141</v>
      </c>
      <c r="CQ266" s="97" t="s">
        <v>141</v>
      </c>
      <c r="CR266" s="98" t="s">
        <v>141</v>
      </c>
      <c r="CS266" s="99" t="s">
        <v>141</v>
      </c>
      <c r="CT266" s="100" t="s">
        <v>141</v>
      </c>
      <c r="CU266" s="101" t="s">
        <v>141</v>
      </c>
      <c r="CV266" s="102" t="s">
        <v>141</v>
      </c>
      <c r="CW266" s="103" t="s">
        <v>141</v>
      </c>
      <c r="CX266" s="104">
        <v>1000</v>
      </c>
      <c r="CY266" s="105" t="s">
        <v>150</v>
      </c>
      <c r="CZ266" s="106" t="s">
        <v>180</v>
      </c>
      <c r="DA266" s="107" t="s">
        <v>152</v>
      </c>
      <c r="DB266" s="108" t="s">
        <v>153</v>
      </c>
      <c r="DC266" s="109" t="s">
        <v>181</v>
      </c>
      <c r="DD266" s="110" t="s">
        <v>182</v>
      </c>
      <c r="DE266" s="111" t="s">
        <v>469</v>
      </c>
      <c r="DF266" s="112" t="s">
        <v>157</v>
      </c>
      <c r="DG266" s="113">
        <v>2010</v>
      </c>
      <c r="DH266" s="114" t="s">
        <v>832</v>
      </c>
      <c r="DI266" s="227" t="str">
        <f>HYPERLINK("https://my.pitchbook.com?c=21487-96T", "View company online")</f>
        <v>View company online</v>
      </c>
    </row>
    <row r="267" spans="1:113" x14ac:dyDescent="0.2">
      <c r="A267" s="115" t="s">
        <v>3030</v>
      </c>
      <c r="B267" s="116" t="s">
        <v>834</v>
      </c>
      <c r="C267" s="117" t="s">
        <v>835</v>
      </c>
      <c r="D267" s="118" t="s">
        <v>836</v>
      </c>
      <c r="E267" s="119" t="s">
        <v>837</v>
      </c>
      <c r="F267" s="120" t="s">
        <v>126</v>
      </c>
      <c r="G267" s="121" t="s">
        <v>127</v>
      </c>
      <c r="H267" s="122" t="s">
        <v>128</v>
      </c>
      <c r="I267" s="123" t="s">
        <v>318</v>
      </c>
      <c r="J267" s="124" t="s">
        <v>838</v>
      </c>
      <c r="K267" s="125" t="s">
        <v>839</v>
      </c>
      <c r="L267" s="126" t="s">
        <v>132</v>
      </c>
      <c r="M267" s="127" t="s">
        <v>133</v>
      </c>
      <c r="N267" s="128" t="s">
        <v>134</v>
      </c>
      <c r="O267" s="129" t="s">
        <v>840</v>
      </c>
      <c r="P267" s="130" t="s">
        <v>841</v>
      </c>
      <c r="Q267" s="131" t="s">
        <v>842</v>
      </c>
      <c r="R267" s="132" t="s">
        <v>843</v>
      </c>
      <c r="S267" s="133" t="s">
        <v>844</v>
      </c>
      <c r="T267" s="134" t="s">
        <v>845</v>
      </c>
      <c r="U267" s="135">
        <v>3</v>
      </c>
      <c r="V267" s="136" t="s">
        <v>3030</v>
      </c>
      <c r="W267" s="137" t="s">
        <v>141</v>
      </c>
      <c r="X267" s="138">
        <v>43647</v>
      </c>
      <c r="Y267" s="139">
        <v>4.8899999999999997</v>
      </c>
      <c r="Z267" s="140" t="s">
        <v>177</v>
      </c>
      <c r="AA267" s="141">
        <v>7.3</v>
      </c>
      <c r="AB267" s="142">
        <v>12</v>
      </c>
      <c r="AC267" s="143" t="s">
        <v>177</v>
      </c>
      <c r="AD267" s="144">
        <v>39.17</v>
      </c>
      <c r="AE267" s="145">
        <v>5.4</v>
      </c>
      <c r="AF267" s="146" t="s">
        <v>1571</v>
      </c>
      <c r="AG267" s="147" t="s">
        <v>141</v>
      </c>
      <c r="AH267" s="148">
        <v>0.5</v>
      </c>
      <c r="AI267" s="149" t="s">
        <v>141</v>
      </c>
      <c r="AJ267" s="150" t="s">
        <v>2622</v>
      </c>
      <c r="AK267" s="151" t="s">
        <v>2622</v>
      </c>
      <c r="AL267" s="152" t="s">
        <v>141</v>
      </c>
      <c r="AM267" s="153" t="s">
        <v>170</v>
      </c>
      <c r="AN267" s="154" t="s">
        <v>837</v>
      </c>
      <c r="AO267" s="155">
        <v>4.8899999999999997</v>
      </c>
      <c r="AP267" s="156" t="s">
        <v>145</v>
      </c>
      <c r="AQ267" s="157" t="s">
        <v>141</v>
      </c>
      <c r="AR267" s="158" t="s">
        <v>141</v>
      </c>
      <c r="AS267" s="159" t="s">
        <v>141</v>
      </c>
      <c r="AT267" s="160" t="s">
        <v>141</v>
      </c>
      <c r="AU267" s="161" t="s">
        <v>141</v>
      </c>
      <c r="AV267" s="162" t="s">
        <v>141</v>
      </c>
      <c r="AW267" s="163" t="s">
        <v>141</v>
      </c>
      <c r="AX267" s="164" t="s">
        <v>141</v>
      </c>
      <c r="AY267" s="165" t="s">
        <v>141</v>
      </c>
      <c r="AZ267" s="166" t="s">
        <v>141</v>
      </c>
      <c r="BA267" s="167" t="s">
        <v>146</v>
      </c>
      <c r="BB267" s="168" t="s">
        <v>133</v>
      </c>
      <c r="BC267" s="169" t="s">
        <v>132</v>
      </c>
      <c r="BD267" s="170" t="s">
        <v>141</v>
      </c>
      <c r="BE267" s="171">
        <v>5</v>
      </c>
      <c r="BF267" s="172" t="s">
        <v>3031</v>
      </c>
      <c r="BG267" s="173">
        <v>5</v>
      </c>
      <c r="BH267" s="174" t="s">
        <v>141</v>
      </c>
      <c r="BI267" s="175" t="s">
        <v>141</v>
      </c>
      <c r="BJ267" s="176" t="s">
        <v>141</v>
      </c>
      <c r="BK267" s="177" t="s">
        <v>3032</v>
      </c>
      <c r="BL267" s="178" t="s">
        <v>3031</v>
      </c>
      <c r="BM267" s="179" t="s">
        <v>3033</v>
      </c>
      <c r="BN267" s="180" t="s">
        <v>3034</v>
      </c>
      <c r="BO267" s="181" t="s">
        <v>141</v>
      </c>
      <c r="BP267" s="182" t="s">
        <v>141</v>
      </c>
      <c r="BQ267" s="183" t="s">
        <v>141</v>
      </c>
      <c r="BR267" s="184" t="s">
        <v>3035</v>
      </c>
      <c r="BS267" s="185" t="s">
        <v>141</v>
      </c>
      <c r="BT267" s="186" t="s">
        <v>141</v>
      </c>
      <c r="BU267" s="187" t="s">
        <v>3035</v>
      </c>
      <c r="BV267" s="188" t="s">
        <v>141</v>
      </c>
      <c r="BW267" s="189" t="s">
        <v>141</v>
      </c>
      <c r="BX267" s="190" t="s">
        <v>141</v>
      </c>
      <c r="BY267" s="191" t="s">
        <v>141</v>
      </c>
      <c r="BZ267" s="192" t="s">
        <v>141</v>
      </c>
      <c r="CA267" s="193" t="s">
        <v>141</v>
      </c>
      <c r="CB267" s="194" t="s">
        <v>141</v>
      </c>
      <c r="CC267" s="195" t="s">
        <v>141</v>
      </c>
      <c r="CD267" s="196" t="s">
        <v>141</v>
      </c>
      <c r="CE267" s="197" t="s">
        <v>141</v>
      </c>
      <c r="CF267" s="198" t="s">
        <v>141</v>
      </c>
      <c r="CG267" s="199" t="s">
        <v>141</v>
      </c>
      <c r="CH267" s="200" t="s">
        <v>141</v>
      </c>
      <c r="CI267" s="201" t="s">
        <v>141</v>
      </c>
      <c r="CJ267" s="202" t="s">
        <v>141</v>
      </c>
      <c r="CK267" s="203" t="s">
        <v>141</v>
      </c>
      <c r="CL267" s="204" t="s">
        <v>141</v>
      </c>
      <c r="CM267" s="205" t="s">
        <v>141</v>
      </c>
      <c r="CN267" s="206" t="s">
        <v>141</v>
      </c>
      <c r="CO267" s="207" t="s">
        <v>141</v>
      </c>
      <c r="CP267" s="208" t="s">
        <v>141</v>
      </c>
      <c r="CQ267" s="209" t="s">
        <v>141</v>
      </c>
      <c r="CR267" s="210" t="s">
        <v>141</v>
      </c>
      <c r="CS267" s="211" t="s">
        <v>141</v>
      </c>
      <c r="CT267" s="212" t="s">
        <v>141</v>
      </c>
      <c r="CU267" s="213" t="s">
        <v>141</v>
      </c>
      <c r="CV267" s="214" t="s">
        <v>141</v>
      </c>
      <c r="CW267" s="215" t="s">
        <v>141</v>
      </c>
      <c r="CX267" s="216">
        <v>5</v>
      </c>
      <c r="CY267" s="217" t="s">
        <v>150</v>
      </c>
      <c r="CZ267" s="218" t="s">
        <v>240</v>
      </c>
      <c r="DA267" s="219" t="s">
        <v>152</v>
      </c>
      <c r="DB267" s="220" t="s">
        <v>153</v>
      </c>
      <c r="DC267" s="221" t="s">
        <v>241</v>
      </c>
      <c r="DD267" s="222" t="s">
        <v>242</v>
      </c>
      <c r="DE267" s="223" t="s">
        <v>849</v>
      </c>
      <c r="DF267" s="224" t="s">
        <v>157</v>
      </c>
      <c r="DG267" s="225">
        <v>2013</v>
      </c>
      <c r="DH267" s="226" t="s">
        <v>850</v>
      </c>
      <c r="DI267" s="228" t="str">
        <f>HYPERLINK("https://my.pitchbook.com?c=120946-24T", "View company online")</f>
        <v>View company online</v>
      </c>
    </row>
    <row r="268" spans="1:113" x14ac:dyDescent="0.2">
      <c r="A268" s="3" t="s">
        <v>3036</v>
      </c>
      <c r="B268" s="4" t="s">
        <v>2283</v>
      </c>
      <c r="C268" s="5" t="s">
        <v>2284</v>
      </c>
      <c r="D268" s="6" t="s">
        <v>2285</v>
      </c>
      <c r="E268" s="7" t="s">
        <v>2286</v>
      </c>
      <c r="F268" s="8" t="s">
        <v>126</v>
      </c>
      <c r="G268" s="9" t="s">
        <v>456</v>
      </c>
      <c r="H268" s="10" t="s">
        <v>457</v>
      </c>
      <c r="I268" s="11" t="s">
        <v>1793</v>
      </c>
      <c r="J268" s="12" t="s">
        <v>168</v>
      </c>
      <c r="K268" s="13" t="s">
        <v>2287</v>
      </c>
      <c r="L268" s="14" t="s">
        <v>132</v>
      </c>
      <c r="M268" s="15" t="s">
        <v>133</v>
      </c>
      <c r="N268" s="16" t="s">
        <v>170</v>
      </c>
      <c r="O268" s="17" t="s">
        <v>2288</v>
      </c>
      <c r="P268" s="18" t="s">
        <v>2289</v>
      </c>
      <c r="Q268" s="19" t="s">
        <v>2290</v>
      </c>
      <c r="R268" s="20" t="s">
        <v>2291</v>
      </c>
      <c r="S268" s="21" t="s">
        <v>2292</v>
      </c>
      <c r="T268" s="22" t="s">
        <v>2293</v>
      </c>
      <c r="U268" s="23">
        <v>5</v>
      </c>
      <c r="V268" s="24" t="s">
        <v>3036</v>
      </c>
      <c r="W268" s="25" t="s">
        <v>141</v>
      </c>
      <c r="X268" s="26">
        <v>44018</v>
      </c>
      <c r="Y268" s="27">
        <v>2.82</v>
      </c>
      <c r="Z268" s="28" t="s">
        <v>177</v>
      </c>
      <c r="AA268" s="29" t="s">
        <v>141</v>
      </c>
      <c r="AB268" s="30" t="s">
        <v>141</v>
      </c>
      <c r="AC268" s="31" t="s">
        <v>141</v>
      </c>
      <c r="AD268" s="32" t="s">
        <v>141</v>
      </c>
      <c r="AE268" s="33">
        <v>2.82</v>
      </c>
      <c r="AF268" s="34" t="s">
        <v>1582</v>
      </c>
      <c r="AG268" s="35" t="s">
        <v>141</v>
      </c>
      <c r="AH268" s="36" t="s">
        <v>141</v>
      </c>
      <c r="AI268" s="37" t="s">
        <v>141</v>
      </c>
      <c r="AJ268" s="38" t="s">
        <v>2622</v>
      </c>
      <c r="AK268" s="39" t="s">
        <v>2622</v>
      </c>
      <c r="AL268" s="40" t="s">
        <v>141</v>
      </c>
      <c r="AM268" s="41" t="s">
        <v>170</v>
      </c>
      <c r="AN268" s="42" t="s">
        <v>2286</v>
      </c>
      <c r="AO268" s="43">
        <v>2.82</v>
      </c>
      <c r="AP268" s="44" t="s">
        <v>145</v>
      </c>
      <c r="AQ268" s="45" t="s">
        <v>141</v>
      </c>
      <c r="AR268" s="46" t="s">
        <v>141</v>
      </c>
      <c r="AS268" s="47" t="s">
        <v>141</v>
      </c>
      <c r="AT268" s="48" t="s">
        <v>141</v>
      </c>
      <c r="AU268" s="49" t="s">
        <v>141</v>
      </c>
      <c r="AV268" s="50" t="s">
        <v>141</v>
      </c>
      <c r="AW268" s="51" t="s">
        <v>141</v>
      </c>
      <c r="AX268" s="52" t="s">
        <v>141</v>
      </c>
      <c r="AY268" s="53" t="s">
        <v>141</v>
      </c>
      <c r="AZ268" s="54" t="s">
        <v>141</v>
      </c>
      <c r="BA268" s="55" t="s">
        <v>146</v>
      </c>
      <c r="BB268" s="56" t="s">
        <v>133</v>
      </c>
      <c r="BC268" s="57" t="s">
        <v>132</v>
      </c>
      <c r="BD268" s="58">
        <v>60</v>
      </c>
      <c r="BE268" s="59">
        <v>3</v>
      </c>
      <c r="BF268" s="60" t="s">
        <v>3037</v>
      </c>
      <c r="BG268" s="61">
        <v>2</v>
      </c>
      <c r="BH268" s="62" t="s">
        <v>2295</v>
      </c>
      <c r="BI268" s="63">
        <v>1</v>
      </c>
      <c r="BJ268" s="64" t="s">
        <v>141</v>
      </c>
      <c r="BK268" s="65" t="s">
        <v>3038</v>
      </c>
      <c r="BL268" s="66" t="s">
        <v>3039</v>
      </c>
      <c r="BM268" s="67" t="s">
        <v>2295</v>
      </c>
      <c r="BN268" s="68" t="s">
        <v>141</v>
      </c>
      <c r="BO268" s="69" t="s">
        <v>141</v>
      </c>
      <c r="BP268" s="70" t="s">
        <v>141</v>
      </c>
      <c r="BQ268" s="71" t="s">
        <v>141</v>
      </c>
      <c r="BR268" s="72" t="s">
        <v>3040</v>
      </c>
      <c r="BS268" s="73" t="s">
        <v>141</v>
      </c>
      <c r="BT268" s="74" t="s">
        <v>141</v>
      </c>
      <c r="BU268" s="75" t="s">
        <v>3040</v>
      </c>
      <c r="BV268" s="76" t="s">
        <v>141</v>
      </c>
      <c r="BW268" s="77" t="s">
        <v>141</v>
      </c>
      <c r="BX268" s="78" t="s">
        <v>141</v>
      </c>
      <c r="BY268" s="79" t="s">
        <v>141</v>
      </c>
      <c r="BZ268" s="80" t="s">
        <v>141</v>
      </c>
      <c r="CA268" s="81" t="s">
        <v>141</v>
      </c>
      <c r="CB268" s="82" t="s">
        <v>141</v>
      </c>
      <c r="CC268" s="83" t="s">
        <v>141</v>
      </c>
      <c r="CD268" s="84" t="s">
        <v>141</v>
      </c>
      <c r="CE268" s="85" t="s">
        <v>141</v>
      </c>
      <c r="CF268" s="86" t="s">
        <v>141</v>
      </c>
      <c r="CG268" s="87" t="s">
        <v>141</v>
      </c>
      <c r="CH268" s="88" t="s">
        <v>141</v>
      </c>
      <c r="CI268" s="89" t="s">
        <v>141</v>
      </c>
      <c r="CJ268" s="90" t="s">
        <v>141</v>
      </c>
      <c r="CK268" s="91" t="s">
        <v>141</v>
      </c>
      <c r="CL268" s="92" t="s">
        <v>141</v>
      </c>
      <c r="CM268" s="93" t="s">
        <v>141</v>
      </c>
      <c r="CN268" s="94" t="s">
        <v>141</v>
      </c>
      <c r="CO268" s="95" t="s">
        <v>141</v>
      </c>
      <c r="CP268" s="96" t="s">
        <v>141</v>
      </c>
      <c r="CQ268" s="97" t="s">
        <v>141</v>
      </c>
      <c r="CR268" s="98" t="s">
        <v>141</v>
      </c>
      <c r="CS268" s="99" t="s">
        <v>141</v>
      </c>
      <c r="CT268" s="100" t="s">
        <v>141</v>
      </c>
      <c r="CU268" s="101" t="s">
        <v>141</v>
      </c>
      <c r="CV268" s="102" t="s">
        <v>141</v>
      </c>
      <c r="CW268" s="103" t="s">
        <v>141</v>
      </c>
      <c r="CX268" s="104">
        <v>60</v>
      </c>
      <c r="CY268" s="105" t="s">
        <v>150</v>
      </c>
      <c r="CZ268" s="106" t="s">
        <v>2298</v>
      </c>
      <c r="DA268" s="107" t="s">
        <v>152</v>
      </c>
      <c r="DB268" s="108" t="s">
        <v>153</v>
      </c>
      <c r="DC268" s="109" t="s">
        <v>2299</v>
      </c>
      <c r="DD268" s="110" t="s">
        <v>201</v>
      </c>
      <c r="DE268" s="111" t="s">
        <v>2300</v>
      </c>
      <c r="DF268" s="112" t="s">
        <v>157</v>
      </c>
      <c r="DG268" s="113">
        <v>2016</v>
      </c>
      <c r="DH268" s="114" t="s">
        <v>2301</v>
      </c>
      <c r="DI268" s="227" t="str">
        <f>HYPERLINK("https://my.pitchbook.com?c=139187-44T", "View company online")</f>
        <v>View company online</v>
      </c>
    </row>
    <row r="269" spans="1:113" x14ac:dyDescent="0.2">
      <c r="A269" s="115" t="s">
        <v>3041</v>
      </c>
      <c r="B269" s="116" t="s">
        <v>2303</v>
      </c>
      <c r="C269" s="117" t="s">
        <v>2304</v>
      </c>
      <c r="D269" s="118" t="s">
        <v>2305</v>
      </c>
      <c r="E269" s="119" t="s">
        <v>2306</v>
      </c>
      <c r="F269" s="120" t="s">
        <v>126</v>
      </c>
      <c r="G269" s="121" t="s">
        <v>127</v>
      </c>
      <c r="H269" s="122" t="s">
        <v>128</v>
      </c>
      <c r="I269" s="123" t="s">
        <v>2307</v>
      </c>
      <c r="J269" s="124" t="s">
        <v>130</v>
      </c>
      <c r="K269" s="125" t="s">
        <v>2308</v>
      </c>
      <c r="L269" s="126" t="s">
        <v>132</v>
      </c>
      <c r="M269" s="127" t="s">
        <v>133</v>
      </c>
      <c r="N269" s="128" t="s">
        <v>134</v>
      </c>
      <c r="O269" s="129" t="s">
        <v>2309</v>
      </c>
      <c r="P269" s="130" t="s">
        <v>2310</v>
      </c>
      <c r="Q269" s="131" t="s">
        <v>2311</v>
      </c>
      <c r="R269" s="132" t="s">
        <v>2312</v>
      </c>
      <c r="S269" s="133" t="s">
        <v>2313</v>
      </c>
      <c r="T269" s="134" t="s">
        <v>2314</v>
      </c>
      <c r="U269" s="135">
        <v>2</v>
      </c>
      <c r="V269" s="136" t="s">
        <v>3041</v>
      </c>
      <c r="W269" s="137" t="s">
        <v>141</v>
      </c>
      <c r="X269" s="138">
        <v>42164</v>
      </c>
      <c r="Y269" s="139">
        <v>3.5</v>
      </c>
      <c r="Z269" s="140" t="s">
        <v>177</v>
      </c>
      <c r="AA269" s="141">
        <v>6.51</v>
      </c>
      <c r="AB269" s="142">
        <v>10.01</v>
      </c>
      <c r="AC269" s="143" t="s">
        <v>177</v>
      </c>
      <c r="AD269" s="144">
        <v>34.97</v>
      </c>
      <c r="AE269" s="145">
        <v>3.5</v>
      </c>
      <c r="AF269" s="146" t="s">
        <v>1582</v>
      </c>
      <c r="AG269" s="147" t="s">
        <v>141</v>
      </c>
      <c r="AH269" s="148">
        <v>0.9</v>
      </c>
      <c r="AI269" s="149" t="s">
        <v>141</v>
      </c>
      <c r="AJ269" s="150" t="s">
        <v>2622</v>
      </c>
      <c r="AK269" s="151" t="s">
        <v>2622</v>
      </c>
      <c r="AL269" s="152" t="s">
        <v>141</v>
      </c>
      <c r="AM269" s="153" t="s">
        <v>170</v>
      </c>
      <c r="AN269" s="154" t="s">
        <v>3042</v>
      </c>
      <c r="AO269" s="155">
        <v>3.5</v>
      </c>
      <c r="AP269" s="156" t="s">
        <v>145</v>
      </c>
      <c r="AQ269" s="157" t="s">
        <v>141</v>
      </c>
      <c r="AR269" s="158" t="s">
        <v>141</v>
      </c>
      <c r="AS269" s="159" t="s">
        <v>141</v>
      </c>
      <c r="AT269" s="160" t="s">
        <v>141</v>
      </c>
      <c r="AU269" s="161" t="s">
        <v>141</v>
      </c>
      <c r="AV269" s="162" t="s">
        <v>141</v>
      </c>
      <c r="AW269" s="163" t="s">
        <v>141</v>
      </c>
      <c r="AX269" s="164" t="s">
        <v>141</v>
      </c>
      <c r="AY269" s="165" t="s">
        <v>141</v>
      </c>
      <c r="AZ269" s="166" t="s">
        <v>141</v>
      </c>
      <c r="BA269" s="167" t="s">
        <v>146</v>
      </c>
      <c r="BB269" s="168" t="s">
        <v>133</v>
      </c>
      <c r="BC269" s="169" t="s">
        <v>132</v>
      </c>
      <c r="BD269" s="170">
        <v>29</v>
      </c>
      <c r="BE269" s="171">
        <v>31</v>
      </c>
      <c r="BF269" s="172" t="s">
        <v>3043</v>
      </c>
      <c r="BG269" s="173">
        <v>31</v>
      </c>
      <c r="BH269" s="174" t="s">
        <v>141</v>
      </c>
      <c r="BI269" s="175" t="s">
        <v>141</v>
      </c>
      <c r="BJ269" s="176" t="s">
        <v>141</v>
      </c>
      <c r="BK269" s="177" t="s">
        <v>3044</v>
      </c>
      <c r="BL269" s="178" t="s">
        <v>3045</v>
      </c>
      <c r="BM269" s="179" t="s">
        <v>141</v>
      </c>
      <c r="BN269" s="180" t="s">
        <v>3046</v>
      </c>
      <c r="BO269" s="181" t="s">
        <v>141</v>
      </c>
      <c r="BP269" s="182" t="s">
        <v>141</v>
      </c>
      <c r="BQ269" s="183" t="s">
        <v>141</v>
      </c>
      <c r="BR269" s="184" t="s">
        <v>372</v>
      </c>
      <c r="BS269" s="185" t="s">
        <v>372</v>
      </c>
      <c r="BT269" s="186" t="s">
        <v>141</v>
      </c>
      <c r="BU269" s="187" t="s">
        <v>141</v>
      </c>
      <c r="BV269" s="188" t="s">
        <v>141</v>
      </c>
      <c r="BW269" s="189" t="s">
        <v>141</v>
      </c>
      <c r="BX269" s="190" t="s">
        <v>141</v>
      </c>
      <c r="BY269" s="191" t="s">
        <v>141</v>
      </c>
      <c r="BZ269" s="192" t="s">
        <v>141</v>
      </c>
      <c r="CA269" s="193" t="s">
        <v>141</v>
      </c>
      <c r="CB269" s="194" t="s">
        <v>141</v>
      </c>
      <c r="CC269" s="195" t="s">
        <v>141</v>
      </c>
      <c r="CD269" s="196" t="s">
        <v>141</v>
      </c>
      <c r="CE269" s="197" t="s">
        <v>141</v>
      </c>
      <c r="CF269" s="198" t="s">
        <v>141</v>
      </c>
      <c r="CG269" s="199" t="s">
        <v>141</v>
      </c>
      <c r="CH269" s="200" t="s">
        <v>141</v>
      </c>
      <c r="CI269" s="201" t="s">
        <v>141</v>
      </c>
      <c r="CJ269" s="202" t="s">
        <v>141</v>
      </c>
      <c r="CK269" s="203" t="s">
        <v>141</v>
      </c>
      <c r="CL269" s="204" t="s">
        <v>141</v>
      </c>
      <c r="CM269" s="205" t="s">
        <v>141</v>
      </c>
      <c r="CN269" s="206" t="s">
        <v>141</v>
      </c>
      <c r="CO269" s="207" t="s">
        <v>141</v>
      </c>
      <c r="CP269" s="208" t="s">
        <v>141</v>
      </c>
      <c r="CQ269" s="209" t="s">
        <v>141</v>
      </c>
      <c r="CR269" s="210" t="s">
        <v>141</v>
      </c>
      <c r="CS269" s="211" t="s">
        <v>141</v>
      </c>
      <c r="CT269" s="212" t="s">
        <v>141</v>
      </c>
      <c r="CU269" s="213" t="s">
        <v>141</v>
      </c>
      <c r="CV269" s="214" t="s">
        <v>141</v>
      </c>
      <c r="CW269" s="215" t="s">
        <v>141</v>
      </c>
      <c r="CX269" s="216">
        <v>88</v>
      </c>
      <c r="CY269" s="217" t="s">
        <v>150</v>
      </c>
      <c r="CZ269" s="218" t="s">
        <v>180</v>
      </c>
      <c r="DA269" s="219" t="s">
        <v>152</v>
      </c>
      <c r="DB269" s="220" t="s">
        <v>153</v>
      </c>
      <c r="DC269" s="221" t="s">
        <v>181</v>
      </c>
      <c r="DD269" s="222" t="s">
        <v>182</v>
      </c>
      <c r="DE269" s="223" t="s">
        <v>469</v>
      </c>
      <c r="DF269" s="224" t="s">
        <v>157</v>
      </c>
      <c r="DG269" s="225">
        <v>2013</v>
      </c>
      <c r="DH269" s="226" t="s">
        <v>2322</v>
      </c>
      <c r="DI269" s="228" t="str">
        <f>HYPERLINK("https://my.pitchbook.com?c=51539-50T", "View company online")</f>
        <v>View company online</v>
      </c>
    </row>
    <row r="270" spans="1:113" x14ac:dyDescent="0.2">
      <c r="A270" s="3" t="s">
        <v>3047</v>
      </c>
      <c r="B270" s="4" t="s">
        <v>2303</v>
      </c>
      <c r="C270" s="5" t="s">
        <v>2304</v>
      </c>
      <c r="D270" s="6" t="s">
        <v>2305</v>
      </c>
      <c r="E270" s="7" t="s">
        <v>2306</v>
      </c>
      <c r="F270" s="8" t="s">
        <v>126</v>
      </c>
      <c r="G270" s="9" t="s">
        <v>127</v>
      </c>
      <c r="H270" s="10" t="s">
        <v>128</v>
      </c>
      <c r="I270" s="11" t="s">
        <v>2307</v>
      </c>
      <c r="J270" s="12" t="s">
        <v>130</v>
      </c>
      <c r="K270" s="13" t="s">
        <v>2308</v>
      </c>
      <c r="L270" s="14" t="s">
        <v>132</v>
      </c>
      <c r="M270" s="15" t="s">
        <v>133</v>
      </c>
      <c r="N270" s="16" t="s">
        <v>134</v>
      </c>
      <c r="O270" s="17" t="s">
        <v>2309</v>
      </c>
      <c r="P270" s="18" t="s">
        <v>2310</v>
      </c>
      <c r="Q270" s="19" t="s">
        <v>2311</v>
      </c>
      <c r="R270" s="20" t="s">
        <v>2312</v>
      </c>
      <c r="S270" s="21" t="s">
        <v>2313</v>
      </c>
      <c r="T270" s="22" t="s">
        <v>2314</v>
      </c>
      <c r="U270" s="23">
        <v>1</v>
      </c>
      <c r="V270" s="24" t="s">
        <v>3047</v>
      </c>
      <c r="W270" s="25" t="s">
        <v>141</v>
      </c>
      <c r="X270" s="26">
        <v>41640</v>
      </c>
      <c r="Y270" s="27" t="s">
        <v>141</v>
      </c>
      <c r="Z270" s="28" t="s">
        <v>141</v>
      </c>
      <c r="AA270" s="29" t="s">
        <v>141</v>
      </c>
      <c r="AB270" s="30" t="s">
        <v>141</v>
      </c>
      <c r="AC270" s="31" t="s">
        <v>141</v>
      </c>
      <c r="AD270" s="32" t="s">
        <v>141</v>
      </c>
      <c r="AE270" s="33" t="s">
        <v>141</v>
      </c>
      <c r="AF270" s="34" t="s">
        <v>1571</v>
      </c>
      <c r="AG270" s="35" t="s">
        <v>141</v>
      </c>
      <c r="AH270" s="36" t="s">
        <v>141</v>
      </c>
      <c r="AI270" s="37" t="s">
        <v>141</v>
      </c>
      <c r="AJ270" s="38" t="s">
        <v>2622</v>
      </c>
      <c r="AK270" s="39" t="s">
        <v>2622</v>
      </c>
      <c r="AL270" s="40" t="s">
        <v>141</v>
      </c>
      <c r="AM270" s="41" t="s">
        <v>170</v>
      </c>
      <c r="AN270" s="42" t="s">
        <v>3048</v>
      </c>
      <c r="AO270" s="43" t="s">
        <v>141</v>
      </c>
      <c r="AP270" s="44" t="s">
        <v>145</v>
      </c>
      <c r="AQ270" s="45" t="s">
        <v>141</v>
      </c>
      <c r="AR270" s="46" t="s">
        <v>141</v>
      </c>
      <c r="AS270" s="47" t="s">
        <v>141</v>
      </c>
      <c r="AT270" s="48" t="s">
        <v>141</v>
      </c>
      <c r="AU270" s="49" t="s">
        <v>141</v>
      </c>
      <c r="AV270" s="50" t="s">
        <v>141</v>
      </c>
      <c r="AW270" s="51" t="s">
        <v>141</v>
      </c>
      <c r="AX270" s="52" t="s">
        <v>141</v>
      </c>
      <c r="AY270" s="53" t="s">
        <v>141</v>
      </c>
      <c r="AZ270" s="54" t="s">
        <v>141</v>
      </c>
      <c r="BA270" s="55" t="s">
        <v>146</v>
      </c>
      <c r="BB270" s="56" t="s">
        <v>133</v>
      </c>
      <c r="BC270" s="57" t="s">
        <v>132</v>
      </c>
      <c r="BD270" s="58" t="s">
        <v>141</v>
      </c>
      <c r="BE270" s="59">
        <v>1</v>
      </c>
      <c r="BF270" s="60" t="s">
        <v>3049</v>
      </c>
      <c r="BG270" s="61">
        <v>1</v>
      </c>
      <c r="BH270" s="62" t="s">
        <v>141</v>
      </c>
      <c r="BI270" s="63" t="s">
        <v>141</v>
      </c>
      <c r="BJ270" s="64" t="s">
        <v>141</v>
      </c>
      <c r="BK270" s="65" t="s">
        <v>3050</v>
      </c>
      <c r="BL270" s="66" t="s">
        <v>3049</v>
      </c>
      <c r="BM270" s="67" t="s">
        <v>3049</v>
      </c>
      <c r="BN270" s="68" t="s">
        <v>141</v>
      </c>
      <c r="BO270" s="69" t="s">
        <v>141</v>
      </c>
      <c r="BP270" s="70" t="s">
        <v>141</v>
      </c>
      <c r="BQ270" s="71" t="s">
        <v>141</v>
      </c>
      <c r="BR270" s="72" t="s">
        <v>141</v>
      </c>
      <c r="BS270" s="73" t="s">
        <v>141</v>
      </c>
      <c r="BT270" s="74" t="s">
        <v>141</v>
      </c>
      <c r="BU270" s="75" t="s">
        <v>141</v>
      </c>
      <c r="BV270" s="76" t="s">
        <v>141</v>
      </c>
      <c r="BW270" s="77" t="s">
        <v>141</v>
      </c>
      <c r="BX270" s="78" t="s">
        <v>141</v>
      </c>
      <c r="BY270" s="79" t="s">
        <v>141</v>
      </c>
      <c r="BZ270" s="80" t="s">
        <v>141</v>
      </c>
      <c r="CA270" s="81" t="s">
        <v>141</v>
      </c>
      <c r="CB270" s="82" t="s">
        <v>141</v>
      </c>
      <c r="CC270" s="83" t="s">
        <v>141</v>
      </c>
      <c r="CD270" s="84" t="s">
        <v>141</v>
      </c>
      <c r="CE270" s="85" t="s">
        <v>141</v>
      </c>
      <c r="CF270" s="86" t="s">
        <v>141</v>
      </c>
      <c r="CG270" s="87" t="s">
        <v>141</v>
      </c>
      <c r="CH270" s="88" t="s">
        <v>141</v>
      </c>
      <c r="CI270" s="89" t="s">
        <v>141</v>
      </c>
      <c r="CJ270" s="90" t="s">
        <v>141</v>
      </c>
      <c r="CK270" s="91" t="s">
        <v>141</v>
      </c>
      <c r="CL270" s="92" t="s">
        <v>141</v>
      </c>
      <c r="CM270" s="93" t="s">
        <v>141</v>
      </c>
      <c r="CN270" s="94" t="s">
        <v>141</v>
      </c>
      <c r="CO270" s="95" t="s">
        <v>141</v>
      </c>
      <c r="CP270" s="96" t="s">
        <v>141</v>
      </c>
      <c r="CQ270" s="97" t="s">
        <v>141</v>
      </c>
      <c r="CR270" s="98" t="s">
        <v>141</v>
      </c>
      <c r="CS270" s="99" t="s">
        <v>141</v>
      </c>
      <c r="CT270" s="100" t="s">
        <v>141</v>
      </c>
      <c r="CU270" s="101" t="s">
        <v>141</v>
      </c>
      <c r="CV270" s="102" t="s">
        <v>141</v>
      </c>
      <c r="CW270" s="103" t="s">
        <v>141</v>
      </c>
      <c r="CX270" s="104">
        <v>88</v>
      </c>
      <c r="CY270" s="105" t="s">
        <v>150</v>
      </c>
      <c r="CZ270" s="106" t="s">
        <v>180</v>
      </c>
      <c r="DA270" s="107" t="s">
        <v>152</v>
      </c>
      <c r="DB270" s="108" t="s">
        <v>153</v>
      </c>
      <c r="DC270" s="109" t="s">
        <v>181</v>
      </c>
      <c r="DD270" s="110" t="s">
        <v>182</v>
      </c>
      <c r="DE270" s="111" t="s">
        <v>469</v>
      </c>
      <c r="DF270" s="112" t="s">
        <v>157</v>
      </c>
      <c r="DG270" s="113">
        <v>2013</v>
      </c>
      <c r="DH270" s="114" t="s">
        <v>2322</v>
      </c>
      <c r="DI270" s="227" t="str">
        <f>HYPERLINK("https://my.pitchbook.com?c=80610-49T", "View company online")</f>
        <v>View company online</v>
      </c>
    </row>
    <row r="271" spans="1:113" x14ac:dyDescent="0.2">
      <c r="A271" s="115" t="s">
        <v>3051</v>
      </c>
      <c r="B271" s="116" t="s">
        <v>2332</v>
      </c>
      <c r="C271" s="117" t="s">
        <v>2333</v>
      </c>
      <c r="D271" s="118" t="s">
        <v>2334</v>
      </c>
      <c r="E271" s="119" t="s">
        <v>2335</v>
      </c>
      <c r="F271" s="120" t="s">
        <v>126</v>
      </c>
      <c r="G271" s="121" t="s">
        <v>252</v>
      </c>
      <c r="H271" s="122" t="s">
        <v>253</v>
      </c>
      <c r="I271" s="123" t="s">
        <v>755</v>
      </c>
      <c r="J271" s="124" t="s">
        <v>2336</v>
      </c>
      <c r="K271" s="125" t="s">
        <v>2337</v>
      </c>
      <c r="L271" s="126" t="s">
        <v>132</v>
      </c>
      <c r="M271" s="127" t="s">
        <v>133</v>
      </c>
      <c r="N271" s="128" t="s">
        <v>170</v>
      </c>
      <c r="O271" s="129" t="s">
        <v>2338</v>
      </c>
      <c r="P271" s="130" t="s">
        <v>2339</v>
      </c>
      <c r="Q271" s="131" t="s">
        <v>2340</v>
      </c>
      <c r="R271" s="132" t="s">
        <v>2341</v>
      </c>
      <c r="S271" s="133" t="s">
        <v>2342</v>
      </c>
      <c r="T271" s="134" t="s">
        <v>2343</v>
      </c>
      <c r="U271" s="135">
        <v>1</v>
      </c>
      <c r="V271" s="136" t="s">
        <v>3051</v>
      </c>
      <c r="W271" s="137" t="s">
        <v>141</v>
      </c>
      <c r="X271" s="138">
        <v>40634</v>
      </c>
      <c r="Y271" s="139">
        <v>0.25</v>
      </c>
      <c r="Z271" s="140" t="s">
        <v>177</v>
      </c>
      <c r="AA271" s="141" t="s">
        <v>141</v>
      </c>
      <c r="AB271" s="142" t="s">
        <v>141</v>
      </c>
      <c r="AC271" s="143" t="s">
        <v>141</v>
      </c>
      <c r="AD271" s="144" t="s">
        <v>141</v>
      </c>
      <c r="AE271" s="145">
        <v>0.25</v>
      </c>
      <c r="AF271" s="146" t="s">
        <v>1571</v>
      </c>
      <c r="AG271" s="147" t="s">
        <v>141</v>
      </c>
      <c r="AH271" s="148" t="s">
        <v>141</v>
      </c>
      <c r="AI271" s="149" t="s">
        <v>141</v>
      </c>
      <c r="AJ271" s="150" t="s">
        <v>2622</v>
      </c>
      <c r="AK271" s="151" t="s">
        <v>2622</v>
      </c>
      <c r="AL271" s="152" t="s">
        <v>141</v>
      </c>
      <c r="AM271" s="153" t="s">
        <v>170</v>
      </c>
      <c r="AN271" s="154" t="s">
        <v>3052</v>
      </c>
      <c r="AO271" s="155">
        <v>0.25</v>
      </c>
      <c r="AP271" s="156" t="s">
        <v>145</v>
      </c>
      <c r="AQ271" s="157" t="s">
        <v>141</v>
      </c>
      <c r="AR271" s="158" t="s">
        <v>141</v>
      </c>
      <c r="AS271" s="159" t="s">
        <v>141</v>
      </c>
      <c r="AT271" s="160" t="s">
        <v>141</v>
      </c>
      <c r="AU271" s="161" t="s">
        <v>141</v>
      </c>
      <c r="AV271" s="162" t="s">
        <v>141</v>
      </c>
      <c r="AW271" s="163" t="s">
        <v>141</v>
      </c>
      <c r="AX271" s="164" t="s">
        <v>141</v>
      </c>
      <c r="AY271" s="165" t="s">
        <v>141</v>
      </c>
      <c r="AZ271" s="166" t="s">
        <v>141</v>
      </c>
      <c r="BA271" s="167" t="s">
        <v>146</v>
      </c>
      <c r="BB271" s="168" t="s">
        <v>263</v>
      </c>
      <c r="BC271" s="169" t="s">
        <v>132</v>
      </c>
      <c r="BD271" s="170">
        <v>7</v>
      </c>
      <c r="BE271" s="171">
        <v>1</v>
      </c>
      <c r="BF271" s="172" t="s">
        <v>2346</v>
      </c>
      <c r="BG271" s="173">
        <v>1</v>
      </c>
      <c r="BH271" s="174" t="s">
        <v>141</v>
      </c>
      <c r="BI271" s="175" t="s">
        <v>141</v>
      </c>
      <c r="BJ271" s="176" t="s">
        <v>141</v>
      </c>
      <c r="BK271" s="177" t="s">
        <v>3053</v>
      </c>
      <c r="BL271" s="178" t="s">
        <v>2349</v>
      </c>
      <c r="BM271" s="179" t="s">
        <v>2349</v>
      </c>
      <c r="BN271" s="180" t="s">
        <v>3054</v>
      </c>
      <c r="BO271" s="181" t="s">
        <v>141</v>
      </c>
      <c r="BP271" s="182" t="s">
        <v>141</v>
      </c>
      <c r="BQ271" s="183" t="s">
        <v>141</v>
      </c>
      <c r="BR271" s="184" t="s">
        <v>221</v>
      </c>
      <c r="BS271" s="185" t="s">
        <v>221</v>
      </c>
      <c r="BT271" s="186" t="s">
        <v>141</v>
      </c>
      <c r="BU271" s="187" t="s">
        <v>141</v>
      </c>
      <c r="BV271" s="188" t="s">
        <v>141</v>
      </c>
      <c r="BW271" s="189" t="s">
        <v>141</v>
      </c>
      <c r="BX271" s="190" t="s">
        <v>141</v>
      </c>
      <c r="BY271" s="191" t="s">
        <v>141</v>
      </c>
      <c r="BZ271" s="192" t="s">
        <v>141</v>
      </c>
      <c r="CA271" s="193" t="s">
        <v>141</v>
      </c>
      <c r="CB271" s="194" t="s">
        <v>141</v>
      </c>
      <c r="CC271" s="195" t="s">
        <v>141</v>
      </c>
      <c r="CD271" s="196" t="s">
        <v>141</v>
      </c>
      <c r="CE271" s="197" t="s">
        <v>141</v>
      </c>
      <c r="CF271" s="198" t="s">
        <v>141</v>
      </c>
      <c r="CG271" s="199" t="s">
        <v>141</v>
      </c>
      <c r="CH271" s="200" t="s">
        <v>141</v>
      </c>
      <c r="CI271" s="201" t="s">
        <v>141</v>
      </c>
      <c r="CJ271" s="202" t="s">
        <v>141</v>
      </c>
      <c r="CK271" s="203" t="s">
        <v>141</v>
      </c>
      <c r="CL271" s="204" t="s">
        <v>141</v>
      </c>
      <c r="CM271" s="205" t="s">
        <v>141</v>
      </c>
      <c r="CN271" s="206" t="s">
        <v>141</v>
      </c>
      <c r="CO271" s="207" t="s">
        <v>141</v>
      </c>
      <c r="CP271" s="208" t="s">
        <v>141</v>
      </c>
      <c r="CQ271" s="209" t="s">
        <v>141</v>
      </c>
      <c r="CR271" s="210" t="s">
        <v>141</v>
      </c>
      <c r="CS271" s="211" t="s">
        <v>141</v>
      </c>
      <c r="CT271" s="212" t="s">
        <v>141</v>
      </c>
      <c r="CU271" s="213" t="s">
        <v>141</v>
      </c>
      <c r="CV271" s="214" t="s">
        <v>141</v>
      </c>
      <c r="CW271" s="215" t="s">
        <v>141</v>
      </c>
      <c r="CX271" s="216">
        <v>500</v>
      </c>
      <c r="CY271" s="217" t="s">
        <v>150</v>
      </c>
      <c r="CZ271" s="218" t="s">
        <v>2353</v>
      </c>
      <c r="DA271" s="219" t="s">
        <v>152</v>
      </c>
      <c r="DB271" s="220" t="s">
        <v>153</v>
      </c>
      <c r="DC271" s="221" t="s">
        <v>2354</v>
      </c>
      <c r="DD271" s="222" t="s">
        <v>618</v>
      </c>
      <c r="DE271" s="223" t="s">
        <v>2355</v>
      </c>
      <c r="DF271" s="224" t="s">
        <v>157</v>
      </c>
      <c r="DG271" s="225">
        <v>2011</v>
      </c>
      <c r="DH271" s="226" t="s">
        <v>2356</v>
      </c>
      <c r="DI271" s="228" t="str">
        <f>HYPERLINK("https://my.pitchbook.com?c=19935-19T", "View company online")</f>
        <v>View company online</v>
      </c>
    </row>
    <row r="272" spans="1:113" x14ac:dyDescent="0.2">
      <c r="A272" s="3" t="s">
        <v>3055</v>
      </c>
      <c r="B272" s="4" t="s">
        <v>3056</v>
      </c>
      <c r="C272" s="5" t="s">
        <v>3057</v>
      </c>
      <c r="D272" s="6" t="s">
        <v>3058</v>
      </c>
      <c r="E272" s="7" t="s">
        <v>3059</v>
      </c>
      <c r="F272" s="8" t="s">
        <v>585</v>
      </c>
      <c r="G272" s="9" t="s">
        <v>586</v>
      </c>
      <c r="H272" s="10" t="s">
        <v>3060</v>
      </c>
      <c r="I272" s="11" t="s">
        <v>3061</v>
      </c>
      <c r="J272" s="12" t="s">
        <v>1372</v>
      </c>
      <c r="K272" s="13" t="s">
        <v>3062</v>
      </c>
      <c r="L272" s="14" t="s">
        <v>132</v>
      </c>
      <c r="M272" s="15" t="s">
        <v>133</v>
      </c>
      <c r="N272" s="16" t="s">
        <v>134</v>
      </c>
      <c r="O272" s="17" t="s">
        <v>3063</v>
      </c>
      <c r="P272" s="18" t="s">
        <v>3064</v>
      </c>
      <c r="Q272" s="19" t="s">
        <v>3065</v>
      </c>
      <c r="R272" s="20" t="s">
        <v>141</v>
      </c>
      <c r="S272" s="21" t="s">
        <v>3066</v>
      </c>
      <c r="T272" s="22" t="s">
        <v>141</v>
      </c>
      <c r="U272" s="23">
        <v>1</v>
      </c>
      <c r="V272" s="24" t="s">
        <v>3055</v>
      </c>
      <c r="W272" s="25" t="s">
        <v>141</v>
      </c>
      <c r="X272" s="26">
        <v>42926</v>
      </c>
      <c r="Y272" s="27">
        <v>2</v>
      </c>
      <c r="Z272" s="28" t="s">
        <v>177</v>
      </c>
      <c r="AA272" s="29" t="s">
        <v>141</v>
      </c>
      <c r="AB272" s="30" t="s">
        <v>141</v>
      </c>
      <c r="AC272" s="31" t="s">
        <v>141</v>
      </c>
      <c r="AD272" s="32" t="s">
        <v>141</v>
      </c>
      <c r="AE272" s="33">
        <v>2</v>
      </c>
      <c r="AF272" s="34" t="s">
        <v>1571</v>
      </c>
      <c r="AG272" s="35" t="s">
        <v>141</v>
      </c>
      <c r="AH272" s="36" t="s">
        <v>141</v>
      </c>
      <c r="AI272" s="37" t="s">
        <v>141</v>
      </c>
      <c r="AJ272" s="38" t="s">
        <v>2622</v>
      </c>
      <c r="AK272" s="39" t="s">
        <v>2622</v>
      </c>
      <c r="AL272" s="40" t="s">
        <v>141</v>
      </c>
      <c r="AM272" s="41" t="s">
        <v>170</v>
      </c>
      <c r="AN272" s="42" t="s">
        <v>3067</v>
      </c>
      <c r="AO272" s="43">
        <v>2</v>
      </c>
      <c r="AP272" s="44" t="s">
        <v>145</v>
      </c>
      <c r="AQ272" s="45" t="s">
        <v>141</v>
      </c>
      <c r="AR272" s="46" t="s">
        <v>141</v>
      </c>
      <c r="AS272" s="47" t="s">
        <v>141</v>
      </c>
      <c r="AT272" s="48" t="s">
        <v>141</v>
      </c>
      <c r="AU272" s="49" t="s">
        <v>141</v>
      </c>
      <c r="AV272" s="50" t="s">
        <v>141</v>
      </c>
      <c r="AW272" s="51" t="s">
        <v>141</v>
      </c>
      <c r="AX272" s="52" t="s">
        <v>141</v>
      </c>
      <c r="AY272" s="53" t="s">
        <v>141</v>
      </c>
      <c r="AZ272" s="54" t="s">
        <v>141</v>
      </c>
      <c r="BA272" s="55" t="s">
        <v>146</v>
      </c>
      <c r="BB272" s="56" t="s">
        <v>133</v>
      </c>
      <c r="BC272" s="57" t="s">
        <v>132</v>
      </c>
      <c r="BD272" s="58" t="s">
        <v>141</v>
      </c>
      <c r="BE272" s="59" t="s">
        <v>141</v>
      </c>
      <c r="BF272" s="60" t="s">
        <v>141</v>
      </c>
      <c r="BG272" s="61" t="s">
        <v>141</v>
      </c>
      <c r="BH272" s="62" t="s">
        <v>141</v>
      </c>
      <c r="BI272" s="63" t="s">
        <v>141</v>
      </c>
      <c r="BJ272" s="64" t="s">
        <v>141</v>
      </c>
      <c r="BK272" s="65" t="s">
        <v>141</v>
      </c>
      <c r="BL272" s="66" t="s">
        <v>141</v>
      </c>
      <c r="BM272" s="67" t="s">
        <v>141</v>
      </c>
      <c r="BN272" s="68" t="s">
        <v>141</v>
      </c>
      <c r="BO272" s="69" t="s">
        <v>141</v>
      </c>
      <c r="BP272" s="70" t="s">
        <v>141</v>
      </c>
      <c r="BQ272" s="71" t="s">
        <v>141</v>
      </c>
      <c r="BR272" s="72" t="s">
        <v>141</v>
      </c>
      <c r="BS272" s="73" t="s">
        <v>141</v>
      </c>
      <c r="BT272" s="74" t="s">
        <v>141</v>
      </c>
      <c r="BU272" s="75" t="s">
        <v>141</v>
      </c>
      <c r="BV272" s="76" t="s">
        <v>141</v>
      </c>
      <c r="BW272" s="77" t="s">
        <v>141</v>
      </c>
      <c r="BX272" s="78" t="s">
        <v>141</v>
      </c>
      <c r="BY272" s="79" t="s">
        <v>141</v>
      </c>
      <c r="BZ272" s="80" t="s">
        <v>141</v>
      </c>
      <c r="CA272" s="81" t="s">
        <v>141</v>
      </c>
      <c r="CB272" s="82" t="s">
        <v>141</v>
      </c>
      <c r="CC272" s="83" t="s">
        <v>141</v>
      </c>
      <c r="CD272" s="84" t="s">
        <v>141</v>
      </c>
      <c r="CE272" s="85" t="s">
        <v>141</v>
      </c>
      <c r="CF272" s="86" t="s">
        <v>141</v>
      </c>
      <c r="CG272" s="87" t="s">
        <v>141</v>
      </c>
      <c r="CH272" s="88" t="s">
        <v>141</v>
      </c>
      <c r="CI272" s="89" t="s">
        <v>141</v>
      </c>
      <c r="CJ272" s="90" t="s">
        <v>141</v>
      </c>
      <c r="CK272" s="91" t="s">
        <v>141</v>
      </c>
      <c r="CL272" s="92" t="s">
        <v>141</v>
      </c>
      <c r="CM272" s="93" t="s">
        <v>141</v>
      </c>
      <c r="CN272" s="94" t="s">
        <v>141</v>
      </c>
      <c r="CO272" s="95" t="s">
        <v>141</v>
      </c>
      <c r="CP272" s="96" t="s">
        <v>141</v>
      </c>
      <c r="CQ272" s="97" t="s">
        <v>141</v>
      </c>
      <c r="CR272" s="98" t="s">
        <v>141</v>
      </c>
      <c r="CS272" s="99" t="s">
        <v>141</v>
      </c>
      <c r="CT272" s="100" t="s">
        <v>141</v>
      </c>
      <c r="CU272" s="101" t="s">
        <v>141</v>
      </c>
      <c r="CV272" s="102" t="s">
        <v>141</v>
      </c>
      <c r="CW272" s="103" t="s">
        <v>141</v>
      </c>
      <c r="CX272" s="104">
        <v>29</v>
      </c>
      <c r="CY272" s="105" t="s">
        <v>150</v>
      </c>
      <c r="CZ272" s="106" t="s">
        <v>200</v>
      </c>
      <c r="DA272" s="107" t="s">
        <v>152</v>
      </c>
      <c r="DB272" s="108" t="s">
        <v>153</v>
      </c>
      <c r="DC272" s="109" t="s">
        <v>201</v>
      </c>
      <c r="DD272" s="110" t="s">
        <v>201</v>
      </c>
      <c r="DE272" s="111" t="s">
        <v>1085</v>
      </c>
      <c r="DF272" s="112" t="s">
        <v>157</v>
      </c>
      <c r="DG272" s="113">
        <v>2015</v>
      </c>
      <c r="DH272" s="114" t="s">
        <v>3068</v>
      </c>
      <c r="DI272" s="227" t="str">
        <f>HYPERLINK("https://my.pitchbook.com?c=90458-11T", "View company online")</f>
        <v>View company online</v>
      </c>
    </row>
    <row r="273" spans="1:113" x14ac:dyDescent="0.2">
      <c r="A273" s="115" t="s">
        <v>3069</v>
      </c>
      <c r="B273" s="116" t="s">
        <v>914</v>
      </c>
      <c r="C273" s="117" t="s">
        <v>915</v>
      </c>
      <c r="D273" s="118" t="s">
        <v>916</v>
      </c>
      <c r="E273" s="119" t="s">
        <v>917</v>
      </c>
      <c r="F273" s="120" t="s">
        <v>126</v>
      </c>
      <c r="G273" s="121" t="s">
        <v>127</v>
      </c>
      <c r="H273" s="122" t="s">
        <v>128</v>
      </c>
      <c r="I273" s="123" t="s">
        <v>129</v>
      </c>
      <c r="J273" s="124" t="s">
        <v>918</v>
      </c>
      <c r="K273" s="125" t="s">
        <v>919</v>
      </c>
      <c r="L273" s="126" t="s">
        <v>132</v>
      </c>
      <c r="M273" s="127" t="s">
        <v>133</v>
      </c>
      <c r="N273" s="128" t="s">
        <v>134</v>
      </c>
      <c r="O273" s="129" t="s">
        <v>920</v>
      </c>
      <c r="P273" s="130" t="s">
        <v>921</v>
      </c>
      <c r="Q273" s="131" t="s">
        <v>922</v>
      </c>
      <c r="R273" s="132" t="s">
        <v>923</v>
      </c>
      <c r="S273" s="133" t="s">
        <v>924</v>
      </c>
      <c r="T273" s="134" t="s">
        <v>925</v>
      </c>
      <c r="U273" s="135">
        <v>3</v>
      </c>
      <c r="V273" s="136" t="s">
        <v>3069</v>
      </c>
      <c r="W273" s="137" t="s">
        <v>141</v>
      </c>
      <c r="X273" s="138">
        <v>43200</v>
      </c>
      <c r="Y273" s="139">
        <v>0.9</v>
      </c>
      <c r="Z273" s="140" t="s">
        <v>177</v>
      </c>
      <c r="AA273" s="141" t="s">
        <v>141</v>
      </c>
      <c r="AB273" s="142" t="s">
        <v>141</v>
      </c>
      <c r="AC273" s="143" t="s">
        <v>141</v>
      </c>
      <c r="AD273" s="144">
        <v>23.08</v>
      </c>
      <c r="AE273" s="145">
        <v>1.02</v>
      </c>
      <c r="AF273" s="146" t="s">
        <v>1571</v>
      </c>
      <c r="AG273" s="147" t="s">
        <v>141</v>
      </c>
      <c r="AH273" s="148">
        <v>0.32</v>
      </c>
      <c r="AI273" s="149" t="s">
        <v>141</v>
      </c>
      <c r="AJ273" s="150" t="s">
        <v>2622</v>
      </c>
      <c r="AK273" s="151" t="s">
        <v>2622</v>
      </c>
      <c r="AL273" s="152" t="s">
        <v>141</v>
      </c>
      <c r="AM273" s="153" t="s">
        <v>170</v>
      </c>
      <c r="AN273" s="154" t="s">
        <v>3070</v>
      </c>
      <c r="AO273" s="155">
        <v>0.9</v>
      </c>
      <c r="AP273" s="156" t="s">
        <v>145</v>
      </c>
      <c r="AQ273" s="157" t="s">
        <v>141</v>
      </c>
      <c r="AR273" s="158" t="s">
        <v>141</v>
      </c>
      <c r="AS273" s="159" t="s">
        <v>141</v>
      </c>
      <c r="AT273" s="160" t="s">
        <v>141</v>
      </c>
      <c r="AU273" s="161" t="s">
        <v>141</v>
      </c>
      <c r="AV273" s="162" t="s">
        <v>141</v>
      </c>
      <c r="AW273" s="163" t="s">
        <v>141</v>
      </c>
      <c r="AX273" s="164" t="s">
        <v>141</v>
      </c>
      <c r="AY273" s="165" t="s">
        <v>141</v>
      </c>
      <c r="AZ273" s="166" t="s">
        <v>141</v>
      </c>
      <c r="BA273" s="167" t="s">
        <v>146</v>
      </c>
      <c r="BB273" s="168" t="s">
        <v>133</v>
      </c>
      <c r="BC273" s="169" t="s">
        <v>132</v>
      </c>
      <c r="BD273" s="170" t="s">
        <v>141</v>
      </c>
      <c r="BE273" s="171">
        <v>3</v>
      </c>
      <c r="BF273" s="172" t="s">
        <v>3071</v>
      </c>
      <c r="BG273" s="173">
        <v>3</v>
      </c>
      <c r="BH273" s="174" t="s">
        <v>141</v>
      </c>
      <c r="BI273" s="175" t="s">
        <v>141</v>
      </c>
      <c r="BJ273" s="176" t="s">
        <v>141</v>
      </c>
      <c r="BK273" s="177" t="s">
        <v>3072</v>
      </c>
      <c r="BL273" s="178" t="s">
        <v>3073</v>
      </c>
      <c r="BM273" s="179" t="s">
        <v>3074</v>
      </c>
      <c r="BN273" s="180" t="s">
        <v>3075</v>
      </c>
      <c r="BO273" s="181" t="s">
        <v>141</v>
      </c>
      <c r="BP273" s="182" t="s">
        <v>141</v>
      </c>
      <c r="BQ273" s="183" t="s">
        <v>141</v>
      </c>
      <c r="BR273" s="184" t="s">
        <v>141</v>
      </c>
      <c r="BS273" s="185" t="s">
        <v>141</v>
      </c>
      <c r="BT273" s="186" t="s">
        <v>141</v>
      </c>
      <c r="BU273" s="187" t="s">
        <v>141</v>
      </c>
      <c r="BV273" s="188" t="s">
        <v>141</v>
      </c>
      <c r="BW273" s="189" t="s">
        <v>141</v>
      </c>
      <c r="BX273" s="190" t="s">
        <v>141</v>
      </c>
      <c r="BY273" s="191" t="s">
        <v>141</v>
      </c>
      <c r="BZ273" s="192" t="s">
        <v>141</v>
      </c>
      <c r="CA273" s="193" t="s">
        <v>141</v>
      </c>
      <c r="CB273" s="194" t="s">
        <v>141</v>
      </c>
      <c r="CC273" s="195" t="s">
        <v>141</v>
      </c>
      <c r="CD273" s="196" t="s">
        <v>141</v>
      </c>
      <c r="CE273" s="197" t="s">
        <v>141</v>
      </c>
      <c r="CF273" s="198" t="s">
        <v>141</v>
      </c>
      <c r="CG273" s="199" t="s">
        <v>141</v>
      </c>
      <c r="CH273" s="200" t="s">
        <v>141</v>
      </c>
      <c r="CI273" s="201" t="s">
        <v>141</v>
      </c>
      <c r="CJ273" s="202" t="s">
        <v>141</v>
      </c>
      <c r="CK273" s="203" t="s">
        <v>141</v>
      </c>
      <c r="CL273" s="204" t="s">
        <v>141</v>
      </c>
      <c r="CM273" s="205" t="s">
        <v>141</v>
      </c>
      <c r="CN273" s="206" t="s">
        <v>141</v>
      </c>
      <c r="CO273" s="207" t="s">
        <v>141</v>
      </c>
      <c r="CP273" s="208" t="s">
        <v>141</v>
      </c>
      <c r="CQ273" s="209" t="s">
        <v>141</v>
      </c>
      <c r="CR273" s="210" t="s">
        <v>141</v>
      </c>
      <c r="CS273" s="211" t="s">
        <v>141</v>
      </c>
      <c r="CT273" s="212" t="s">
        <v>141</v>
      </c>
      <c r="CU273" s="213" t="s">
        <v>141</v>
      </c>
      <c r="CV273" s="214" t="s">
        <v>141</v>
      </c>
      <c r="CW273" s="215" t="s">
        <v>141</v>
      </c>
      <c r="CX273" s="216">
        <v>25</v>
      </c>
      <c r="CY273" s="217" t="s">
        <v>150</v>
      </c>
      <c r="CZ273" s="218" t="s">
        <v>151</v>
      </c>
      <c r="DA273" s="219" t="s">
        <v>152</v>
      </c>
      <c r="DB273" s="220" t="s">
        <v>153</v>
      </c>
      <c r="DC273" s="221" t="s">
        <v>154</v>
      </c>
      <c r="DD273" s="222" t="s">
        <v>155</v>
      </c>
      <c r="DE273" s="223" t="s">
        <v>927</v>
      </c>
      <c r="DF273" s="224" t="s">
        <v>157</v>
      </c>
      <c r="DG273" s="225">
        <v>2016</v>
      </c>
      <c r="DH273" s="226" t="s">
        <v>928</v>
      </c>
      <c r="DI273" s="228" t="str">
        <f>HYPERLINK("https://my.pitchbook.com?c=104424-40T", "View company online")</f>
        <v>View company online</v>
      </c>
    </row>
    <row r="274" spans="1:113" x14ac:dyDescent="0.2">
      <c r="A274" s="3" t="s">
        <v>3076</v>
      </c>
      <c r="B274" s="4" t="s">
        <v>914</v>
      </c>
      <c r="C274" s="5" t="s">
        <v>915</v>
      </c>
      <c r="D274" s="6" t="s">
        <v>916</v>
      </c>
      <c r="E274" s="7" t="s">
        <v>917</v>
      </c>
      <c r="F274" s="8" t="s">
        <v>126</v>
      </c>
      <c r="G274" s="9" t="s">
        <v>127</v>
      </c>
      <c r="H274" s="10" t="s">
        <v>128</v>
      </c>
      <c r="I274" s="11" t="s">
        <v>129</v>
      </c>
      <c r="J274" s="12" t="s">
        <v>918</v>
      </c>
      <c r="K274" s="13" t="s">
        <v>919</v>
      </c>
      <c r="L274" s="14" t="s">
        <v>132</v>
      </c>
      <c r="M274" s="15" t="s">
        <v>133</v>
      </c>
      <c r="N274" s="16" t="s">
        <v>134</v>
      </c>
      <c r="O274" s="17" t="s">
        <v>920</v>
      </c>
      <c r="P274" s="18" t="s">
        <v>921</v>
      </c>
      <c r="Q274" s="19" t="s">
        <v>922</v>
      </c>
      <c r="R274" s="20" t="s">
        <v>923</v>
      </c>
      <c r="S274" s="21" t="s">
        <v>924</v>
      </c>
      <c r="T274" s="22" t="s">
        <v>925</v>
      </c>
      <c r="U274" s="23">
        <v>4</v>
      </c>
      <c r="V274" s="24" t="s">
        <v>3076</v>
      </c>
      <c r="W274" s="25" t="s">
        <v>141</v>
      </c>
      <c r="X274" s="26">
        <v>43516</v>
      </c>
      <c r="Y274" s="27">
        <v>2.88</v>
      </c>
      <c r="Z274" s="28" t="s">
        <v>887</v>
      </c>
      <c r="AA274" s="29">
        <v>9</v>
      </c>
      <c r="AB274" s="30">
        <v>11.88</v>
      </c>
      <c r="AC274" s="31" t="s">
        <v>177</v>
      </c>
      <c r="AD274" s="32">
        <v>24.23</v>
      </c>
      <c r="AE274" s="33">
        <v>3.9</v>
      </c>
      <c r="AF274" s="34" t="s">
        <v>1582</v>
      </c>
      <c r="AG274" s="35" t="s">
        <v>141</v>
      </c>
      <c r="AH274" s="36">
        <v>0.6</v>
      </c>
      <c r="AI274" s="37" t="s">
        <v>141</v>
      </c>
      <c r="AJ274" s="38" t="s">
        <v>2622</v>
      </c>
      <c r="AK274" s="39" t="s">
        <v>2622</v>
      </c>
      <c r="AL274" s="40" t="s">
        <v>141</v>
      </c>
      <c r="AM274" s="41" t="s">
        <v>170</v>
      </c>
      <c r="AN274" s="42" t="s">
        <v>917</v>
      </c>
      <c r="AO274" s="43">
        <v>2.88</v>
      </c>
      <c r="AP274" s="44" t="s">
        <v>145</v>
      </c>
      <c r="AQ274" s="45" t="s">
        <v>141</v>
      </c>
      <c r="AR274" s="46" t="s">
        <v>141</v>
      </c>
      <c r="AS274" s="47" t="s">
        <v>141</v>
      </c>
      <c r="AT274" s="48" t="s">
        <v>141</v>
      </c>
      <c r="AU274" s="49" t="s">
        <v>141</v>
      </c>
      <c r="AV274" s="50" t="s">
        <v>141</v>
      </c>
      <c r="AW274" s="51" t="s">
        <v>141</v>
      </c>
      <c r="AX274" s="52" t="s">
        <v>141</v>
      </c>
      <c r="AY274" s="53" t="s">
        <v>141</v>
      </c>
      <c r="AZ274" s="54" t="s">
        <v>141</v>
      </c>
      <c r="BA274" s="55" t="s">
        <v>146</v>
      </c>
      <c r="BB274" s="56" t="s">
        <v>133</v>
      </c>
      <c r="BC274" s="57" t="s">
        <v>132</v>
      </c>
      <c r="BD274" s="58" t="s">
        <v>141</v>
      </c>
      <c r="BE274" s="59" t="s">
        <v>141</v>
      </c>
      <c r="BF274" s="60" t="s">
        <v>141</v>
      </c>
      <c r="BG274" s="61" t="s">
        <v>141</v>
      </c>
      <c r="BH274" s="62" t="s">
        <v>141</v>
      </c>
      <c r="BI274" s="63" t="s">
        <v>141</v>
      </c>
      <c r="BJ274" s="64" t="s">
        <v>141</v>
      </c>
      <c r="BK274" s="65" t="s">
        <v>141</v>
      </c>
      <c r="BL274" s="66" t="s">
        <v>141</v>
      </c>
      <c r="BM274" s="67" t="s">
        <v>141</v>
      </c>
      <c r="BN274" s="68" t="s">
        <v>141</v>
      </c>
      <c r="BO274" s="69" t="s">
        <v>141</v>
      </c>
      <c r="BP274" s="70" t="s">
        <v>141</v>
      </c>
      <c r="BQ274" s="71" t="s">
        <v>141</v>
      </c>
      <c r="BR274" s="72" t="s">
        <v>141</v>
      </c>
      <c r="BS274" s="73" t="s">
        <v>141</v>
      </c>
      <c r="BT274" s="74" t="s">
        <v>141</v>
      </c>
      <c r="BU274" s="75" t="s">
        <v>141</v>
      </c>
      <c r="BV274" s="76" t="s">
        <v>141</v>
      </c>
      <c r="BW274" s="77" t="s">
        <v>141</v>
      </c>
      <c r="BX274" s="78" t="s">
        <v>141</v>
      </c>
      <c r="BY274" s="79" t="s">
        <v>141</v>
      </c>
      <c r="BZ274" s="80" t="s">
        <v>141</v>
      </c>
      <c r="CA274" s="81" t="s">
        <v>141</v>
      </c>
      <c r="CB274" s="82" t="s">
        <v>141</v>
      </c>
      <c r="CC274" s="83" t="s">
        <v>141</v>
      </c>
      <c r="CD274" s="84" t="s">
        <v>141</v>
      </c>
      <c r="CE274" s="85" t="s">
        <v>141</v>
      </c>
      <c r="CF274" s="86" t="s">
        <v>141</v>
      </c>
      <c r="CG274" s="87" t="s">
        <v>141</v>
      </c>
      <c r="CH274" s="88" t="s">
        <v>141</v>
      </c>
      <c r="CI274" s="89" t="s">
        <v>141</v>
      </c>
      <c r="CJ274" s="90" t="s">
        <v>141</v>
      </c>
      <c r="CK274" s="91" t="s">
        <v>141</v>
      </c>
      <c r="CL274" s="92" t="s">
        <v>141</v>
      </c>
      <c r="CM274" s="93" t="s">
        <v>141</v>
      </c>
      <c r="CN274" s="94" t="s">
        <v>141</v>
      </c>
      <c r="CO274" s="95" t="s">
        <v>141</v>
      </c>
      <c r="CP274" s="96" t="s">
        <v>141</v>
      </c>
      <c r="CQ274" s="97" t="s">
        <v>141</v>
      </c>
      <c r="CR274" s="98" t="s">
        <v>141</v>
      </c>
      <c r="CS274" s="99" t="s">
        <v>141</v>
      </c>
      <c r="CT274" s="100" t="s">
        <v>141</v>
      </c>
      <c r="CU274" s="101" t="s">
        <v>141</v>
      </c>
      <c r="CV274" s="102" t="s">
        <v>141</v>
      </c>
      <c r="CW274" s="103" t="s">
        <v>141</v>
      </c>
      <c r="CX274" s="104">
        <v>25</v>
      </c>
      <c r="CY274" s="105" t="s">
        <v>150</v>
      </c>
      <c r="CZ274" s="106" t="s">
        <v>151</v>
      </c>
      <c r="DA274" s="107" t="s">
        <v>152</v>
      </c>
      <c r="DB274" s="108" t="s">
        <v>153</v>
      </c>
      <c r="DC274" s="109" t="s">
        <v>154</v>
      </c>
      <c r="DD274" s="110" t="s">
        <v>155</v>
      </c>
      <c r="DE274" s="111" t="s">
        <v>927</v>
      </c>
      <c r="DF274" s="112" t="s">
        <v>157</v>
      </c>
      <c r="DG274" s="113">
        <v>2016</v>
      </c>
      <c r="DH274" s="114" t="s">
        <v>928</v>
      </c>
      <c r="DI274" s="227" t="str">
        <f>HYPERLINK("https://my.pitchbook.com?c=117622-81T", "View company online")</f>
        <v>View company online</v>
      </c>
    </row>
    <row r="275" spans="1:113" x14ac:dyDescent="0.2">
      <c r="A275" s="115" t="s">
        <v>3077</v>
      </c>
      <c r="B275" s="116" t="s">
        <v>3078</v>
      </c>
      <c r="C275" s="117" t="s">
        <v>3079</v>
      </c>
      <c r="D275" s="118" t="s">
        <v>3080</v>
      </c>
      <c r="E275" s="119" t="s">
        <v>3081</v>
      </c>
      <c r="F275" s="120" t="s">
        <v>126</v>
      </c>
      <c r="G275" s="121" t="s">
        <v>456</v>
      </c>
      <c r="H275" s="122" t="s">
        <v>457</v>
      </c>
      <c r="I275" s="123" t="s">
        <v>515</v>
      </c>
      <c r="J275" s="124" t="s">
        <v>3082</v>
      </c>
      <c r="K275" s="125" t="s">
        <v>3083</v>
      </c>
      <c r="L275" s="126" t="s">
        <v>132</v>
      </c>
      <c r="M275" s="127" t="s">
        <v>591</v>
      </c>
      <c r="N275" s="128" t="s">
        <v>134</v>
      </c>
      <c r="O275" s="129" t="s">
        <v>3084</v>
      </c>
      <c r="P275" s="130" t="s">
        <v>3085</v>
      </c>
      <c r="Q275" s="131" t="s">
        <v>3086</v>
      </c>
      <c r="R275" s="132" t="s">
        <v>3087</v>
      </c>
      <c r="S275" s="133" t="s">
        <v>3088</v>
      </c>
      <c r="T275" s="134" t="s">
        <v>3089</v>
      </c>
      <c r="U275" s="135">
        <v>1</v>
      </c>
      <c r="V275" s="136" t="s">
        <v>3077</v>
      </c>
      <c r="W275" s="137" t="s">
        <v>141</v>
      </c>
      <c r="X275" s="138">
        <v>39965</v>
      </c>
      <c r="Y275" s="139">
        <v>0.05</v>
      </c>
      <c r="Z275" s="140" t="s">
        <v>177</v>
      </c>
      <c r="AA275" s="141" t="s">
        <v>141</v>
      </c>
      <c r="AB275" s="142" t="s">
        <v>141</v>
      </c>
      <c r="AC275" s="143" t="s">
        <v>141</v>
      </c>
      <c r="AD275" s="144" t="s">
        <v>141</v>
      </c>
      <c r="AE275" s="145">
        <v>0.05</v>
      </c>
      <c r="AF275" s="146" t="s">
        <v>1571</v>
      </c>
      <c r="AG275" s="147" t="s">
        <v>141</v>
      </c>
      <c r="AH275" s="148" t="s">
        <v>141</v>
      </c>
      <c r="AI275" s="149" t="s">
        <v>141</v>
      </c>
      <c r="AJ275" s="150" t="s">
        <v>2622</v>
      </c>
      <c r="AK275" s="151" t="s">
        <v>2622</v>
      </c>
      <c r="AL275" s="152" t="s">
        <v>141</v>
      </c>
      <c r="AM275" s="153" t="s">
        <v>170</v>
      </c>
      <c r="AN275" s="154" t="s">
        <v>3090</v>
      </c>
      <c r="AO275" s="155">
        <v>0.05</v>
      </c>
      <c r="AP275" s="156" t="s">
        <v>145</v>
      </c>
      <c r="AQ275" s="157" t="s">
        <v>141</v>
      </c>
      <c r="AR275" s="158" t="s">
        <v>141</v>
      </c>
      <c r="AS275" s="159" t="s">
        <v>141</v>
      </c>
      <c r="AT275" s="160" t="s">
        <v>141</v>
      </c>
      <c r="AU275" s="161" t="s">
        <v>141</v>
      </c>
      <c r="AV275" s="162" t="s">
        <v>141</v>
      </c>
      <c r="AW275" s="163" t="s">
        <v>141</v>
      </c>
      <c r="AX275" s="164" t="s">
        <v>141</v>
      </c>
      <c r="AY275" s="165" t="s">
        <v>141</v>
      </c>
      <c r="AZ275" s="166" t="s">
        <v>141</v>
      </c>
      <c r="BA275" s="167" t="s">
        <v>146</v>
      </c>
      <c r="BB275" s="168" t="s">
        <v>263</v>
      </c>
      <c r="BC275" s="169" t="s">
        <v>402</v>
      </c>
      <c r="BD275" s="170" t="s">
        <v>141</v>
      </c>
      <c r="BE275" s="171">
        <v>1</v>
      </c>
      <c r="BF275" s="172" t="s">
        <v>3091</v>
      </c>
      <c r="BG275" s="173">
        <v>1</v>
      </c>
      <c r="BH275" s="174" t="s">
        <v>141</v>
      </c>
      <c r="BI275" s="175" t="s">
        <v>141</v>
      </c>
      <c r="BJ275" s="176" t="s">
        <v>141</v>
      </c>
      <c r="BK275" s="177" t="s">
        <v>3092</v>
      </c>
      <c r="BL275" s="178" t="s">
        <v>3091</v>
      </c>
      <c r="BM275" s="179" t="s">
        <v>3091</v>
      </c>
      <c r="BN275" s="180" t="s">
        <v>141</v>
      </c>
      <c r="BO275" s="181" t="s">
        <v>141</v>
      </c>
      <c r="BP275" s="182" t="s">
        <v>141</v>
      </c>
      <c r="BQ275" s="183" t="s">
        <v>141</v>
      </c>
      <c r="BR275" s="184" t="s">
        <v>141</v>
      </c>
      <c r="BS275" s="185" t="s">
        <v>141</v>
      </c>
      <c r="BT275" s="186" t="s">
        <v>141</v>
      </c>
      <c r="BU275" s="187" t="s">
        <v>141</v>
      </c>
      <c r="BV275" s="188" t="s">
        <v>141</v>
      </c>
      <c r="BW275" s="189" t="s">
        <v>141</v>
      </c>
      <c r="BX275" s="190" t="s">
        <v>141</v>
      </c>
      <c r="BY275" s="191" t="s">
        <v>141</v>
      </c>
      <c r="BZ275" s="192" t="s">
        <v>141</v>
      </c>
      <c r="CA275" s="193" t="s">
        <v>141</v>
      </c>
      <c r="CB275" s="194" t="s">
        <v>141</v>
      </c>
      <c r="CC275" s="195" t="s">
        <v>141</v>
      </c>
      <c r="CD275" s="196" t="s">
        <v>141</v>
      </c>
      <c r="CE275" s="197" t="s">
        <v>141</v>
      </c>
      <c r="CF275" s="198" t="s">
        <v>141</v>
      </c>
      <c r="CG275" s="199" t="s">
        <v>141</v>
      </c>
      <c r="CH275" s="200" t="s">
        <v>141</v>
      </c>
      <c r="CI275" s="201" t="s">
        <v>141</v>
      </c>
      <c r="CJ275" s="202" t="s">
        <v>141</v>
      </c>
      <c r="CK275" s="203" t="s">
        <v>141</v>
      </c>
      <c r="CL275" s="204" t="s">
        <v>141</v>
      </c>
      <c r="CM275" s="205" t="s">
        <v>141</v>
      </c>
      <c r="CN275" s="206" t="s">
        <v>141</v>
      </c>
      <c r="CO275" s="207" t="s">
        <v>141</v>
      </c>
      <c r="CP275" s="208" t="s">
        <v>141</v>
      </c>
      <c r="CQ275" s="209" t="s">
        <v>141</v>
      </c>
      <c r="CR275" s="210" t="s">
        <v>141</v>
      </c>
      <c r="CS275" s="211" t="s">
        <v>141</v>
      </c>
      <c r="CT275" s="212" t="s">
        <v>141</v>
      </c>
      <c r="CU275" s="213" t="s">
        <v>141</v>
      </c>
      <c r="CV275" s="214" t="s">
        <v>141</v>
      </c>
      <c r="CW275" s="215" t="s">
        <v>141</v>
      </c>
      <c r="CX275" s="216">
        <v>500</v>
      </c>
      <c r="CY275" s="217" t="s">
        <v>150</v>
      </c>
      <c r="CZ275" s="218" t="s">
        <v>200</v>
      </c>
      <c r="DA275" s="219" t="s">
        <v>152</v>
      </c>
      <c r="DB275" s="220" t="s">
        <v>153</v>
      </c>
      <c r="DC275" s="221" t="s">
        <v>201</v>
      </c>
      <c r="DD275" s="222" t="s">
        <v>201</v>
      </c>
      <c r="DE275" s="223" t="s">
        <v>2777</v>
      </c>
      <c r="DF275" s="224" t="s">
        <v>157</v>
      </c>
      <c r="DG275" s="225">
        <v>2009</v>
      </c>
      <c r="DH275" s="226" t="s">
        <v>3093</v>
      </c>
      <c r="DI275" s="228" t="str">
        <f>HYPERLINK("https://my.pitchbook.com?c=54061-12T", "View company online")</f>
        <v>View company online</v>
      </c>
    </row>
    <row r="276" spans="1:113" x14ac:dyDescent="0.2">
      <c r="A276" s="3" t="s">
        <v>3094</v>
      </c>
      <c r="B276" s="4" t="s">
        <v>3095</v>
      </c>
      <c r="C276" s="5" t="s">
        <v>3096</v>
      </c>
      <c r="D276" s="6" t="s">
        <v>3097</v>
      </c>
      <c r="E276" s="7" t="s">
        <v>3098</v>
      </c>
      <c r="F276" s="8" t="s">
        <v>126</v>
      </c>
      <c r="G276" s="9" t="s">
        <v>127</v>
      </c>
      <c r="H276" s="10" t="s">
        <v>128</v>
      </c>
      <c r="I276" s="11" t="s">
        <v>129</v>
      </c>
      <c r="J276" s="12" t="s">
        <v>141</v>
      </c>
      <c r="K276" s="13" t="s">
        <v>3099</v>
      </c>
      <c r="L276" s="14" t="s">
        <v>402</v>
      </c>
      <c r="M276" s="15" t="s">
        <v>133</v>
      </c>
      <c r="N276" s="16" t="s">
        <v>2819</v>
      </c>
      <c r="O276" s="17" t="s">
        <v>3100</v>
      </c>
      <c r="P276" s="18" t="s">
        <v>3101</v>
      </c>
      <c r="Q276" s="19" t="s">
        <v>141</v>
      </c>
      <c r="R276" s="20" t="s">
        <v>3102</v>
      </c>
      <c r="S276" s="21" t="s">
        <v>3103</v>
      </c>
      <c r="T276" s="22" t="s">
        <v>3104</v>
      </c>
      <c r="U276" s="23">
        <v>2</v>
      </c>
      <c r="V276" s="24" t="s">
        <v>3094</v>
      </c>
      <c r="W276" s="25" t="s">
        <v>141</v>
      </c>
      <c r="X276" s="26">
        <v>43325</v>
      </c>
      <c r="Y276" s="27">
        <v>0.93</v>
      </c>
      <c r="Z276" s="28" t="s">
        <v>177</v>
      </c>
      <c r="AA276" s="29" t="s">
        <v>141</v>
      </c>
      <c r="AB276" s="30" t="s">
        <v>141</v>
      </c>
      <c r="AC276" s="31" t="s">
        <v>141</v>
      </c>
      <c r="AD276" s="32" t="s">
        <v>141</v>
      </c>
      <c r="AE276" s="33">
        <v>1.26</v>
      </c>
      <c r="AF276" s="34" t="s">
        <v>1571</v>
      </c>
      <c r="AG276" s="35" t="s">
        <v>141</v>
      </c>
      <c r="AH276" s="36" t="s">
        <v>141</v>
      </c>
      <c r="AI276" s="37" t="s">
        <v>141</v>
      </c>
      <c r="AJ276" s="38" t="s">
        <v>2622</v>
      </c>
      <c r="AK276" s="39" t="s">
        <v>2622</v>
      </c>
      <c r="AL276" s="40" t="s">
        <v>141</v>
      </c>
      <c r="AM276" s="41" t="s">
        <v>170</v>
      </c>
      <c r="AN276" s="42" t="s">
        <v>3098</v>
      </c>
      <c r="AO276" s="43">
        <v>0.93</v>
      </c>
      <c r="AP276" s="44" t="s">
        <v>145</v>
      </c>
      <c r="AQ276" s="45" t="s">
        <v>141</v>
      </c>
      <c r="AR276" s="46" t="s">
        <v>141</v>
      </c>
      <c r="AS276" s="47" t="s">
        <v>141</v>
      </c>
      <c r="AT276" s="48" t="s">
        <v>141</v>
      </c>
      <c r="AU276" s="49" t="s">
        <v>141</v>
      </c>
      <c r="AV276" s="50" t="s">
        <v>141</v>
      </c>
      <c r="AW276" s="51" t="s">
        <v>141</v>
      </c>
      <c r="AX276" s="52" t="s">
        <v>141</v>
      </c>
      <c r="AY276" s="53" t="s">
        <v>141</v>
      </c>
      <c r="AZ276" s="54" t="s">
        <v>141</v>
      </c>
      <c r="BA276" s="55" t="s">
        <v>146</v>
      </c>
      <c r="BB276" s="56" t="s">
        <v>133</v>
      </c>
      <c r="BC276" s="57" t="s">
        <v>402</v>
      </c>
      <c r="BD276" s="58" t="s">
        <v>141</v>
      </c>
      <c r="BE276" s="59" t="s">
        <v>141</v>
      </c>
      <c r="BF276" s="60" t="s">
        <v>141</v>
      </c>
      <c r="BG276" s="61" t="s">
        <v>141</v>
      </c>
      <c r="BH276" s="62" t="s">
        <v>141</v>
      </c>
      <c r="BI276" s="63" t="s">
        <v>141</v>
      </c>
      <c r="BJ276" s="64" t="s">
        <v>141</v>
      </c>
      <c r="BK276" s="65" t="s">
        <v>141</v>
      </c>
      <c r="BL276" s="66" t="s">
        <v>141</v>
      </c>
      <c r="BM276" s="67" t="s">
        <v>141</v>
      </c>
      <c r="BN276" s="68" t="s">
        <v>141</v>
      </c>
      <c r="BO276" s="69" t="s">
        <v>141</v>
      </c>
      <c r="BP276" s="70" t="s">
        <v>141</v>
      </c>
      <c r="BQ276" s="71" t="s">
        <v>141</v>
      </c>
      <c r="BR276" s="72" t="s">
        <v>3105</v>
      </c>
      <c r="BS276" s="73" t="s">
        <v>3105</v>
      </c>
      <c r="BT276" s="74" t="s">
        <v>141</v>
      </c>
      <c r="BU276" s="75" t="s">
        <v>141</v>
      </c>
      <c r="BV276" s="76" t="s">
        <v>141</v>
      </c>
      <c r="BW276" s="77" t="s">
        <v>141</v>
      </c>
      <c r="BX276" s="78" t="s">
        <v>141</v>
      </c>
      <c r="BY276" s="79" t="s">
        <v>141</v>
      </c>
      <c r="BZ276" s="80" t="s">
        <v>141</v>
      </c>
      <c r="CA276" s="81" t="s">
        <v>141</v>
      </c>
      <c r="CB276" s="82" t="s">
        <v>141</v>
      </c>
      <c r="CC276" s="83" t="s">
        <v>141</v>
      </c>
      <c r="CD276" s="84" t="s">
        <v>141</v>
      </c>
      <c r="CE276" s="85" t="s">
        <v>141</v>
      </c>
      <c r="CF276" s="86" t="s">
        <v>141</v>
      </c>
      <c r="CG276" s="87" t="s">
        <v>141</v>
      </c>
      <c r="CH276" s="88" t="s">
        <v>141</v>
      </c>
      <c r="CI276" s="89" t="s">
        <v>141</v>
      </c>
      <c r="CJ276" s="90" t="s">
        <v>141</v>
      </c>
      <c r="CK276" s="91" t="s">
        <v>141</v>
      </c>
      <c r="CL276" s="92" t="s">
        <v>141</v>
      </c>
      <c r="CM276" s="93" t="s">
        <v>141</v>
      </c>
      <c r="CN276" s="94" t="s">
        <v>141</v>
      </c>
      <c r="CO276" s="95" t="s">
        <v>141</v>
      </c>
      <c r="CP276" s="96" t="s">
        <v>141</v>
      </c>
      <c r="CQ276" s="97" t="s">
        <v>141</v>
      </c>
      <c r="CR276" s="98" t="s">
        <v>141</v>
      </c>
      <c r="CS276" s="99" t="s">
        <v>141</v>
      </c>
      <c r="CT276" s="100" t="s">
        <v>141</v>
      </c>
      <c r="CU276" s="101" t="s">
        <v>141</v>
      </c>
      <c r="CV276" s="102" t="s">
        <v>141</v>
      </c>
      <c r="CW276" s="103" t="s">
        <v>141</v>
      </c>
      <c r="CX276" s="104" t="s">
        <v>141</v>
      </c>
      <c r="CY276" s="105" t="s">
        <v>150</v>
      </c>
      <c r="CZ276" s="106" t="s">
        <v>200</v>
      </c>
      <c r="DA276" s="107" t="s">
        <v>152</v>
      </c>
      <c r="DB276" s="108" t="s">
        <v>153</v>
      </c>
      <c r="DC276" s="109" t="s">
        <v>201</v>
      </c>
      <c r="DD276" s="110" t="s">
        <v>201</v>
      </c>
      <c r="DE276" s="111" t="s">
        <v>141</v>
      </c>
      <c r="DF276" s="112" t="s">
        <v>157</v>
      </c>
      <c r="DG276" s="113">
        <v>2016</v>
      </c>
      <c r="DH276" s="114" t="s">
        <v>3106</v>
      </c>
      <c r="DI276" s="227" t="str">
        <f>HYPERLINK("https://my.pitchbook.com?c=110540-35T", "View company online")</f>
        <v>View company online</v>
      </c>
    </row>
    <row r="277" spans="1:113" x14ac:dyDescent="0.2">
      <c r="A277" s="115" t="s">
        <v>3107</v>
      </c>
      <c r="B277" s="116" t="s">
        <v>994</v>
      </c>
      <c r="C277" s="117" t="s">
        <v>995</v>
      </c>
      <c r="D277" s="118" t="s">
        <v>996</v>
      </c>
      <c r="E277" s="119" t="s">
        <v>997</v>
      </c>
      <c r="F277" s="120" t="s">
        <v>126</v>
      </c>
      <c r="G277" s="121" t="s">
        <v>127</v>
      </c>
      <c r="H277" s="122" t="s">
        <v>128</v>
      </c>
      <c r="I277" s="123" t="s">
        <v>129</v>
      </c>
      <c r="J277" s="124" t="s">
        <v>998</v>
      </c>
      <c r="K277" s="125" t="s">
        <v>999</v>
      </c>
      <c r="L277" s="126" t="s">
        <v>132</v>
      </c>
      <c r="M277" s="127" t="s">
        <v>133</v>
      </c>
      <c r="N277" s="128" t="s">
        <v>170</v>
      </c>
      <c r="O277" s="129" t="s">
        <v>1000</v>
      </c>
      <c r="P277" s="130" t="s">
        <v>1001</v>
      </c>
      <c r="Q277" s="131" t="s">
        <v>1002</v>
      </c>
      <c r="R277" s="132" t="s">
        <v>1003</v>
      </c>
      <c r="S277" s="133" t="s">
        <v>1004</v>
      </c>
      <c r="T277" s="134" t="s">
        <v>1005</v>
      </c>
      <c r="U277" s="135">
        <v>1</v>
      </c>
      <c r="V277" s="136" t="s">
        <v>3107</v>
      </c>
      <c r="W277" s="137" t="s">
        <v>141</v>
      </c>
      <c r="X277" s="138">
        <v>42005</v>
      </c>
      <c r="Y277" s="139">
        <v>3.6</v>
      </c>
      <c r="Z277" s="140" t="s">
        <v>177</v>
      </c>
      <c r="AA277" s="141" t="s">
        <v>141</v>
      </c>
      <c r="AB277" s="142" t="s">
        <v>141</v>
      </c>
      <c r="AC277" s="143" t="s">
        <v>141</v>
      </c>
      <c r="AD277" s="144" t="s">
        <v>141</v>
      </c>
      <c r="AE277" s="145">
        <v>3.6</v>
      </c>
      <c r="AF277" s="146" t="s">
        <v>1571</v>
      </c>
      <c r="AG277" s="147" t="s">
        <v>141</v>
      </c>
      <c r="AH277" s="148" t="s">
        <v>141</v>
      </c>
      <c r="AI277" s="149" t="s">
        <v>141</v>
      </c>
      <c r="AJ277" s="150" t="s">
        <v>2622</v>
      </c>
      <c r="AK277" s="151" t="s">
        <v>2622</v>
      </c>
      <c r="AL277" s="152" t="s">
        <v>141</v>
      </c>
      <c r="AM277" s="153" t="s">
        <v>170</v>
      </c>
      <c r="AN277" s="154" t="s">
        <v>3108</v>
      </c>
      <c r="AO277" s="155">
        <v>3.6</v>
      </c>
      <c r="AP277" s="156" t="s">
        <v>145</v>
      </c>
      <c r="AQ277" s="157" t="s">
        <v>141</v>
      </c>
      <c r="AR277" s="158" t="s">
        <v>141</v>
      </c>
      <c r="AS277" s="159" t="s">
        <v>141</v>
      </c>
      <c r="AT277" s="160" t="s">
        <v>141</v>
      </c>
      <c r="AU277" s="161" t="s">
        <v>141</v>
      </c>
      <c r="AV277" s="162" t="s">
        <v>141</v>
      </c>
      <c r="AW277" s="163" t="s">
        <v>141</v>
      </c>
      <c r="AX277" s="164" t="s">
        <v>141</v>
      </c>
      <c r="AY277" s="165" t="s">
        <v>141</v>
      </c>
      <c r="AZ277" s="166" t="s">
        <v>141</v>
      </c>
      <c r="BA277" s="167" t="s">
        <v>146</v>
      </c>
      <c r="BB277" s="168" t="s">
        <v>133</v>
      </c>
      <c r="BC277" s="169" t="s">
        <v>132</v>
      </c>
      <c r="BD277" s="170" t="s">
        <v>141</v>
      </c>
      <c r="BE277" s="171">
        <v>11</v>
      </c>
      <c r="BF277" s="172" t="s">
        <v>3109</v>
      </c>
      <c r="BG277" s="173">
        <v>11</v>
      </c>
      <c r="BH277" s="174" t="s">
        <v>141</v>
      </c>
      <c r="BI277" s="175" t="s">
        <v>141</v>
      </c>
      <c r="BJ277" s="176" t="s">
        <v>141</v>
      </c>
      <c r="BK277" s="177" t="s">
        <v>3110</v>
      </c>
      <c r="BL277" s="178" t="s">
        <v>3111</v>
      </c>
      <c r="BM277" s="179" t="s">
        <v>141</v>
      </c>
      <c r="BN277" s="180" t="s">
        <v>3112</v>
      </c>
      <c r="BO277" s="181" t="s">
        <v>141</v>
      </c>
      <c r="BP277" s="182" t="s">
        <v>141</v>
      </c>
      <c r="BQ277" s="183" t="s">
        <v>141</v>
      </c>
      <c r="BR277" s="184" t="s">
        <v>141</v>
      </c>
      <c r="BS277" s="185" t="s">
        <v>141</v>
      </c>
      <c r="BT277" s="186" t="s">
        <v>141</v>
      </c>
      <c r="BU277" s="187" t="s">
        <v>141</v>
      </c>
      <c r="BV277" s="188" t="s">
        <v>141</v>
      </c>
      <c r="BW277" s="189" t="s">
        <v>141</v>
      </c>
      <c r="BX277" s="190" t="s">
        <v>141</v>
      </c>
      <c r="BY277" s="191" t="s">
        <v>141</v>
      </c>
      <c r="BZ277" s="192" t="s">
        <v>141</v>
      </c>
      <c r="CA277" s="193" t="s">
        <v>141</v>
      </c>
      <c r="CB277" s="194" t="s">
        <v>141</v>
      </c>
      <c r="CC277" s="195" t="s">
        <v>141</v>
      </c>
      <c r="CD277" s="196" t="s">
        <v>141</v>
      </c>
      <c r="CE277" s="197" t="s">
        <v>141</v>
      </c>
      <c r="CF277" s="198" t="s">
        <v>141</v>
      </c>
      <c r="CG277" s="199" t="s">
        <v>141</v>
      </c>
      <c r="CH277" s="200" t="s">
        <v>141</v>
      </c>
      <c r="CI277" s="201" t="s">
        <v>141</v>
      </c>
      <c r="CJ277" s="202" t="s">
        <v>141</v>
      </c>
      <c r="CK277" s="203" t="s">
        <v>141</v>
      </c>
      <c r="CL277" s="204" t="s">
        <v>141</v>
      </c>
      <c r="CM277" s="205" t="s">
        <v>141</v>
      </c>
      <c r="CN277" s="206" t="s">
        <v>141</v>
      </c>
      <c r="CO277" s="207" t="s">
        <v>141</v>
      </c>
      <c r="CP277" s="208" t="s">
        <v>141</v>
      </c>
      <c r="CQ277" s="209" t="s">
        <v>141</v>
      </c>
      <c r="CR277" s="210" t="s">
        <v>141</v>
      </c>
      <c r="CS277" s="211" t="s">
        <v>141</v>
      </c>
      <c r="CT277" s="212" t="s">
        <v>141</v>
      </c>
      <c r="CU277" s="213" t="s">
        <v>141</v>
      </c>
      <c r="CV277" s="214" t="s">
        <v>141</v>
      </c>
      <c r="CW277" s="215" t="s">
        <v>141</v>
      </c>
      <c r="CX277" s="216">
        <v>85</v>
      </c>
      <c r="CY277" s="217" t="s">
        <v>150</v>
      </c>
      <c r="CZ277" s="218" t="s">
        <v>180</v>
      </c>
      <c r="DA277" s="219" t="s">
        <v>152</v>
      </c>
      <c r="DB277" s="220" t="s">
        <v>153</v>
      </c>
      <c r="DC277" s="221" t="s">
        <v>181</v>
      </c>
      <c r="DD277" s="222" t="s">
        <v>182</v>
      </c>
      <c r="DE277" s="223" t="s">
        <v>183</v>
      </c>
      <c r="DF277" s="224" t="s">
        <v>157</v>
      </c>
      <c r="DG277" s="225">
        <v>2015</v>
      </c>
      <c r="DH277" s="226" t="s">
        <v>1007</v>
      </c>
      <c r="DI277" s="228" t="str">
        <f>HYPERLINK("https://my.pitchbook.com?c=60547-69T", "View company online")</f>
        <v>View company online</v>
      </c>
    </row>
    <row r="278" spans="1:113" x14ac:dyDescent="0.2">
      <c r="A278" s="3" t="s">
        <v>3113</v>
      </c>
      <c r="B278" s="4" t="s">
        <v>2565</v>
      </c>
      <c r="C278" s="5" t="s">
        <v>2566</v>
      </c>
      <c r="D278" s="6" t="s">
        <v>2567</v>
      </c>
      <c r="E278" s="7" t="s">
        <v>2568</v>
      </c>
      <c r="F278" s="8" t="s">
        <v>126</v>
      </c>
      <c r="G278" s="9" t="s">
        <v>127</v>
      </c>
      <c r="H278" s="10" t="s">
        <v>128</v>
      </c>
      <c r="I278" s="11" t="s">
        <v>318</v>
      </c>
      <c r="J278" s="12" t="s">
        <v>130</v>
      </c>
      <c r="K278" s="13" t="s">
        <v>2569</v>
      </c>
      <c r="L278" s="14" t="s">
        <v>132</v>
      </c>
      <c r="M278" s="15" t="s">
        <v>133</v>
      </c>
      <c r="N278" s="16" t="s">
        <v>741</v>
      </c>
      <c r="O278" s="17" t="s">
        <v>2570</v>
      </c>
      <c r="P278" s="18" t="s">
        <v>2571</v>
      </c>
      <c r="Q278" s="19" t="s">
        <v>2572</v>
      </c>
      <c r="R278" s="20" t="s">
        <v>2573</v>
      </c>
      <c r="S278" s="21" t="s">
        <v>2574</v>
      </c>
      <c r="T278" s="22" t="s">
        <v>2575</v>
      </c>
      <c r="U278" s="23">
        <v>1</v>
      </c>
      <c r="V278" s="24" t="s">
        <v>3113</v>
      </c>
      <c r="W278" s="25">
        <v>41243</v>
      </c>
      <c r="X278" s="26">
        <v>41592</v>
      </c>
      <c r="Y278" s="27">
        <v>4.8899999999999997</v>
      </c>
      <c r="Z278" s="28" t="s">
        <v>177</v>
      </c>
      <c r="AA278" s="29">
        <v>11.03</v>
      </c>
      <c r="AB278" s="30">
        <v>15.92</v>
      </c>
      <c r="AC278" s="31" t="s">
        <v>177</v>
      </c>
      <c r="AD278" s="32">
        <v>30.69</v>
      </c>
      <c r="AE278" s="33">
        <v>4.8899999999999997</v>
      </c>
      <c r="AF278" s="34" t="s">
        <v>1571</v>
      </c>
      <c r="AG278" s="35" t="s">
        <v>141</v>
      </c>
      <c r="AH278" s="36">
        <v>1</v>
      </c>
      <c r="AI278" s="37" t="s">
        <v>141</v>
      </c>
      <c r="AJ278" s="38" t="s">
        <v>2622</v>
      </c>
      <c r="AK278" s="39" t="s">
        <v>2622</v>
      </c>
      <c r="AL278" s="40" t="s">
        <v>141</v>
      </c>
      <c r="AM278" s="41" t="s">
        <v>3114</v>
      </c>
      <c r="AN278" s="42" t="s">
        <v>3115</v>
      </c>
      <c r="AO278" s="43">
        <v>4.8899999999999997</v>
      </c>
      <c r="AP278" s="44" t="s">
        <v>145</v>
      </c>
      <c r="AQ278" s="45" t="s">
        <v>141</v>
      </c>
      <c r="AR278" s="46" t="s">
        <v>141</v>
      </c>
      <c r="AS278" s="47" t="s">
        <v>141</v>
      </c>
      <c r="AT278" s="48" t="s">
        <v>141</v>
      </c>
      <c r="AU278" s="49" t="s">
        <v>141</v>
      </c>
      <c r="AV278" s="50" t="s">
        <v>141</v>
      </c>
      <c r="AW278" s="51" t="s">
        <v>141</v>
      </c>
      <c r="AX278" s="52" t="s">
        <v>141</v>
      </c>
      <c r="AY278" s="53" t="s">
        <v>141</v>
      </c>
      <c r="AZ278" s="54" t="s">
        <v>141</v>
      </c>
      <c r="BA278" s="55" t="s">
        <v>146</v>
      </c>
      <c r="BB278" s="56" t="s">
        <v>133</v>
      </c>
      <c r="BC278" s="57" t="s">
        <v>132</v>
      </c>
      <c r="BD278" s="58">
        <v>37</v>
      </c>
      <c r="BE278" s="59">
        <v>2</v>
      </c>
      <c r="BF278" s="60" t="s">
        <v>3116</v>
      </c>
      <c r="BG278" s="61">
        <v>2</v>
      </c>
      <c r="BH278" s="62" t="s">
        <v>141</v>
      </c>
      <c r="BI278" s="63" t="s">
        <v>141</v>
      </c>
      <c r="BJ278" s="64" t="s">
        <v>141</v>
      </c>
      <c r="BK278" s="65" t="s">
        <v>3117</v>
      </c>
      <c r="BL278" s="66" t="s">
        <v>3118</v>
      </c>
      <c r="BM278" s="67" t="s">
        <v>141</v>
      </c>
      <c r="BN278" s="68" t="s">
        <v>3119</v>
      </c>
      <c r="BO278" s="69" t="s">
        <v>141</v>
      </c>
      <c r="BP278" s="70" t="s">
        <v>141</v>
      </c>
      <c r="BQ278" s="71" t="s">
        <v>141</v>
      </c>
      <c r="BR278" s="72" t="s">
        <v>141</v>
      </c>
      <c r="BS278" s="73" t="s">
        <v>141</v>
      </c>
      <c r="BT278" s="74" t="s">
        <v>141</v>
      </c>
      <c r="BU278" s="75" t="s">
        <v>141</v>
      </c>
      <c r="BV278" s="76" t="s">
        <v>141</v>
      </c>
      <c r="BW278" s="77" t="s">
        <v>141</v>
      </c>
      <c r="BX278" s="78" t="s">
        <v>141</v>
      </c>
      <c r="BY278" s="79" t="s">
        <v>141</v>
      </c>
      <c r="BZ278" s="80" t="s">
        <v>141</v>
      </c>
      <c r="CA278" s="81" t="s">
        <v>141</v>
      </c>
      <c r="CB278" s="82" t="s">
        <v>141</v>
      </c>
      <c r="CC278" s="83" t="s">
        <v>141</v>
      </c>
      <c r="CD278" s="84" t="s">
        <v>141</v>
      </c>
      <c r="CE278" s="85" t="s">
        <v>141</v>
      </c>
      <c r="CF278" s="86" t="s">
        <v>141</v>
      </c>
      <c r="CG278" s="87" t="s">
        <v>141</v>
      </c>
      <c r="CH278" s="88" t="s">
        <v>141</v>
      </c>
      <c r="CI278" s="89" t="s">
        <v>141</v>
      </c>
      <c r="CJ278" s="90" t="s">
        <v>141</v>
      </c>
      <c r="CK278" s="91" t="s">
        <v>141</v>
      </c>
      <c r="CL278" s="92" t="s">
        <v>141</v>
      </c>
      <c r="CM278" s="93" t="s">
        <v>141</v>
      </c>
      <c r="CN278" s="94" t="s">
        <v>141</v>
      </c>
      <c r="CO278" s="95" t="s">
        <v>141</v>
      </c>
      <c r="CP278" s="96" t="s">
        <v>141</v>
      </c>
      <c r="CQ278" s="97" t="s">
        <v>141</v>
      </c>
      <c r="CR278" s="98" t="s">
        <v>141</v>
      </c>
      <c r="CS278" s="99" t="s">
        <v>141</v>
      </c>
      <c r="CT278" s="100" t="s">
        <v>141</v>
      </c>
      <c r="CU278" s="101" t="s">
        <v>141</v>
      </c>
      <c r="CV278" s="102" t="s">
        <v>141</v>
      </c>
      <c r="CW278" s="103" t="s">
        <v>141</v>
      </c>
      <c r="CX278" s="104">
        <v>105</v>
      </c>
      <c r="CY278" s="105" t="s">
        <v>150</v>
      </c>
      <c r="CZ278" s="106" t="s">
        <v>2584</v>
      </c>
      <c r="DA278" s="107" t="s">
        <v>152</v>
      </c>
      <c r="DB278" s="108" t="s">
        <v>153</v>
      </c>
      <c r="DC278" s="109" t="s">
        <v>2585</v>
      </c>
      <c r="DD278" s="110" t="s">
        <v>910</v>
      </c>
      <c r="DE278" s="111" t="s">
        <v>2586</v>
      </c>
      <c r="DF278" s="112" t="s">
        <v>157</v>
      </c>
      <c r="DG278" s="113">
        <v>2011</v>
      </c>
      <c r="DH278" s="114" t="s">
        <v>2587</v>
      </c>
      <c r="DI278" s="227" t="str">
        <f>HYPERLINK("https://my.pitchbook.com?c=32261-32T", "View company online")</f>
        <v>View company online</v>
      </c>
    </row>
    <row r="279" spans="1:113" x14ac:dyDescent="0.2">
      <c r="A279" s="115" t="s">
        <v>3120</v>
      </c>
      <c r="B279" s="116" t="s">
        <v>3121</v>
      </c>
      <c r="C279" s="117" t="s">
        <v>3122</v>
      </c>
      <c r="D279" s="118" t="s">
        <v>3123</v>
      </c>
      <c r="E279" s="119" t="s">
        <v>3124</v>
      </c>
      <c r="F279" s="120" t="s">
        <v>126</v>
      </c>
      <c r="G279" s="121" t="s">
        <v>127</v>
      </c>
      <c r="H279" s="122" t="s">
        <v>128</v>
      </c>
      <c r="I279" s="123" t="s">
        <v>129</v>
      </c>
      <c r="J279" s="124" t="s">
        <v>838</v>
      </c>
      <c r="K279" s="125" t="s">
        <v>3125</v>
      </c>
      <c r="L279" s="126" t="s">
        <v>345</v>
      </c>
      <c r="M279" s="127" t="s">
        <v>1424</v>
      </c>
      <c r="N279" s="128" t="s">
        <v>170</v>
      </c>
      <c r="O279" s="129" t="s">
        <v>3126</v>
      </c>
      <c r="P279" s="130" t="s">
        <v>3127</v>
      </c>
      <c r="Q279" s="131" t="s">
        <v>141</v>
      </c>
      <c r="R279" s="132" t="s">
        <v>3128</v>
      </c>
      <c r="S279" s="133" t="s">
        <v>3129</v>
      </c>
      <c r="T279" s="134" t="s">
        <v>3130</v>
      </c>
      <c r="U279" s="135">
        <v>1</v>
      </c>
      <c r="V279" s="136" t="s">
        <v>3120</v>
      </c>
      <c r="W279" s="137">
        <v>41848</v>
      </c>
      <c r="X279" s="138">
        <v>42132</v>
      </c>
      <c r="Y279" s="139">
        <v>2.54</v>
      </c>
      <c r="Z279" s="140" t="s">
        <v>177</v>
      </c>
      <c r="AA279" s="141">
        <v>6.28</v>
      </c>
      <c r="AB279" s="142">
        <v>8.81</v>
      </c>
      <c r="AC279" s="143" t="s">
        <v>177</v>
      </c>
      <c r="AD279" s="144">
        <v>28.78</v>
      </c>
      <c r="AE279" s="145" t="s">
        <v>141</v>
      </c>
      <c r="AF279" s="146" t="s">
        <v>1571</v>
      </c>
      <c r="AG279" s="147" t="s">
        <v>141</v>
      </c>
      <c r="AH279" s="148">
        <v>0.8</v>
      </c>
      <c r="AI279" s="149" t="s">
        <v>141</v>
      </c>
      <c r="AJ279" s="150" t="s">
        <v>2622</v>
      </c>
      <c r="AK279" s="151" t="s">
        <v>2622</v>
      </c>
      <c r="AL279" s="152" t="s">
        <v>141</v>
      </c>
      <c r="AM279" s="153" t="s">
        <v>170</v>
      </c>
      <c r="AN279" s="154" t="s">
        <v>3131</v>
      </c>
      <c r="AO279" s="155" t="s">
        <v>141</v>
      </c>
      <c r="AP279" s="156" t="s">
        <v>145</v>
      </c>
      <c r="AQ279" s="157" t="s">
        <v>141</v>
      </c>
      <c r="AR279" s="158" t="s">
        <v>141</v>
      </c>
      <c r="AS279" s="159" t="s">
        <v>281</v>
      </c>
      <c r="AT279" s="160" t="s">
        <v>141</v>
      </c>
      <c r="AU279" s="161" t="s">
        <v>141</v>
      </c>
      <c r="AV279" s="162" t="s">
        <v>141</v>
      </c>
      <c r="AW279" s="163" t="s">
        <v>141</v>
      </c>
      <c r="AX279" s="164" t="s">
        <v>141</v>
      </c>
      <c r="AY279" s="165" t="s">
        <v>141</v>
      </c>
      <c r="AZ279" s="166" t="s">
        <v>141</v>
      </c>
      <c r="BA279" s="167" t="s">
        <v>146</v>
      </c>
      <c r="BB279" s="168" t="s">
        <v>263</v>
      </c>
      <c r="BC279" s="169" t="s">
        <v>132</v>
      </c>
      <c r="BD279" s="170">
        <v>12</v>
      </c>
      <c r="BE279" s="171">
        <v>16</v>
      </c>
      <c r="BF279" s="172" t="s">
        <v>3132</v>
      </c>
      <c r="BG279" s="173">
        <v>16</v>
      </c>
      <c r="BH279" s="174" t="s">
        <v>141</v>
      </c>
      <c r="BI279" s="175" t="s">
        <v>141</v>
      </c>
      <c r="BJ279" s="176" t="s">
        <v>141</v>
      </c>
      <c r="BK279" s="177" t="s">
        <v>3133</v>
      </c>
      <c r="BL279" s="178" t="s">
        <v>3134</v>
      </c>
      <c r="BM279" s="179" t="s">
        <v>141</v>
      </c>
      <c r="BN279" s="180" t="s">
        <v>3135</v>
      </c>
      <c r="BO279" s="181" t="s">
        <v>141</v>
      </c>
      <c r="BP279" s="182" t="s">
        <v>141</v>
      </c>
      <c r="BQ279" s="183" t="s">
        <v>141</v>
      </c>
      <c r="BR279" s="184" t="s">
        <v>141</v>
      </c>
      <c r="BS279" s="185" t="s">
        <v>141</v>
      </c>
      <c r="BT279" s="186" t="s">
        <v>141</v>
      </c>
      <c r="BU279" s="187" t="s">
        <v>141</v>
      </c>
      <c r="BV279" s="188" t="s">
        <v>141</v>
      </c>
      <c r="BW279" s="189" t="s">
        <v>141</v>
      </c>
      <c r="BX279" s="190" t="s">
        <v>141</v>
      </c>
      <c r="BY279" s="191" t="s">
        <v>141</v>
      </c>
      <c r="BZ279" s="192" t="s">
        <v>141</v>
      </c>
      <c r="CA279" s="193" t="s">
        <v>141</v>
      </c>
      <c r="CB279" s="194" t="s">
        <v>141</v>
      </c>
      <c r="CC279" s="195" t="s">
        <v>141</v>
      </c>
      <c r="CD279" s="196" t="s">
        <v>141</v>
      </c>
      <c r="CE279" s="197" t="s">
        <v>141</v>
      </c>
      <c r="CF279" s="198" t="s">
        <v>141</v>
      </c>
      <c r="CG279" s="199" t="s">
        <v>141</v>
      </c>
      <c r="CH279" s="200" t="s">
        <v>141</v>
      </c>
      <c r="CI279" s="201" t="s">
        <v>141</v>
      </c>
      <c r="CJ279" s="202" t="s">
        <v>141</v>
      </c>
      <c r="CK279" s="203" t="s">
        <v>141</v>
      </c>
      <c r="CL279" s="204" t="s">
        <v>141</v>
      </c>
      <c r="CM279" s="205" t="s">
        <v>141</v>
      </c>
      <c r="CN279" s="206" t="s">
        <v>141</v>
      </c>
      <c r="CO279" s="207" t="s">
        <v>141</v>
      </c>
      <c r="CP279" s="208" t="s">
        <v>141</v>
      </c>
      <c r="CQ279" s="209" t="s">
        <v>141</v>
      </c>
      <c r="CR279" s="210" t="s">
        <v>141</v>
      </c>
      <c r="CS279" s="211" t="s">
        <v>141</v>
      </c>
      <c r="CT279" s="212" t="s">
        <v>141</v>
      </c>
      <c r="CU279" s="213" t="s">
        <v>141</v>
      </c>
      <c r="CV279" s="214" t="s">
        <v>141</v>
      </c>
      <c r="CW279" s="215" t="s">
        <v>141</v>
      </c>
      <c r="CX279" s="216">
        <v>19</v>
      </c>
      <c r="CY279" s="217" t="s">
        <v>150</v>
      </c>
      <c r="CZ279" s="218" t="s">
        <v>3136</v>
      </c>
      <c r="DA279" s="219" t="s">
        <v>152</v>
      </c>
      <c r="DB279" s="220" t="s">
        <v>153</v>
      </c>
      <c r="DC279" s="221" t="s">
        <v>3137</v>
      </c>
      <c r="DD279" s="222" t="s">
        <v>182</v>
      </c>
      <c r="DE279" s="223" t="s">
        <v>3138</v>
      </c>
      <c r="DF279" s="224" t="s">
        <v>157</v>
      </c>
      <c r="DG279" s="225">
        <v>2014</v>
      </c>
      <c r="DH279" s="226" t="s">
        <v>3139</v>
      </c>
      <c r="DI279" s="228" t="str">
        <f>HYPERLINK("https://my.pitchbook.com?c=50636-62T", "View company online")</f>
        <v>View company online</v>
      </c>
    </row>
    <row r="280" spans="1:113" x14ac:dyDescent="0.2">
      <c r="A280" s="3" t="s">
        <v>3140</v>
      </c>
      <c r="B280" s="4" t="s">
        <v>3121</v>
      </c>
      <c r="C280" s="5" t="s">
        <v>3122</v>
      </c>
      <c r="D280" s="6" t="s">
        <v>3123</v>
      </c>
      <c r="E280" s="7" t="s">
        <v>3124</v>
      </c>
      <c r="F280" s="8" t="s">
        <v>126</v>
      </c>
      <c r="G280" s="9" t="s">
        <v>127</v>
      </c>
      <c r="H280" s="10" t="s">
        <v>128</v>
      </c>
      <c r="I280" s="11" t="s">
        <v>129</v>
      </c>
      <c r="J280" s="12" t="s">
        <v>838</v>
      </c>
      <c r="K280" s="13" t="s">
        <v>3125</v>
      </c>
      <c r="L280" s="14" t="s">
        <v>345</v>
      </c>
      <c r="M280" s="15" t="s">
        <v>1424</v>
      </c>
      <c r="N280" s="16" t="s">
        <v>170</v>
      </c>
      <c r="O280" s="17" t="s">
        <v>3126</v>
      </c>
      <c r="P280" s="18" t="s">
        <v>3127</v>
      </c>
      <c r="Q280" s="19" t="s">
        <v>141</v>
      </c>
      <c r="R280" s="20" t="s">
        <v>3128</v>
      </c>
      <c r="S280" s="21" t="s">
        <v>3129</v>
      </c>
      <c r="T280" s="22" t="s">
        <v>3130</v>
      </c>
      <c r="U280" s="23">
        <v>2</v>
      </c>
      <c r="V280" s="24" t="s">
        <v>3140</v>
      </c>
      <c r="W280" s="25" t="s">
        <v>141</v>
      </c>
      <c r="X280" s="26">
        <v>42361</v>
      </c>
      <c r="Y280" s="27">
        <v>3.5</v>
      </c>
      <c r="Z280" s="28" t="s">
        <v>177</v>
      </c>
      <c r="AA280" s="29" t="s">
        <v>141</v>
      </c>
      <c r="AB280" s="30" t="s">
        <v>141</v>
      </c>
      <c r="AC280" s="31" t="s">
        <v>141</v>
      </c>
      <c r="AD280" s="32" t="s">
        <v>141</v>
      </c>
      <c r="AE280" s="33">
        <v>3.5</v>
      </c>
      <c r="AF280" s="34" t="s">
        <v>1582</v>
      </c>
      <c r="AG280" s="35" t="s">
        <v>141</v>
      </c>
      <c r="AH280" s="36" t="s">
        <v>141</v>
      </c>
      <c r="AI280" s="37" t="s">
        <v>141</v>
      </c>
      <c r="AJ280" s="38" t="s">
        <v>2622</v>
      </c>
      <c r="AK280" s="39" t="s">
        <v>2622</v>
      </c>
      <c r="AL280" s="40" t="s">
        <v>141</v>
      </c>
      <c r="AM280" s="41" t="s">
        <v>170</v>
      </c>
      <c r="AN280" s="42" t="s">
        <v>3141</v>
      </c>
      <c r="AO280" s="43">
        <v>3.5</v>
      </c>
      <c r="AP280" s="44" t="s">
        <v>145</v>
      </c>
      <c r="AQ280" s="45" t="s">
        <v>141</v>
      </c>
      <c r="AR280" s="46" t="s">
        <v>141</v>
      </c>
      <c r="AS280" s="47" t="s">
        <v>141</v>
      </c>
      <c r="AT280" s="48" t="s">
        <v>141</v>
      </c>
      <c r="AU280" s="49" t="s">
        <v>141</v>
      </c>
      <c r="AV280" s="50" t="s">
        <v>141</v>
      </c>
      <c r="AW280" s="51" t="s">
        <v>141</v>
      </c>
      <c r="AX280" s="52" t="s">
        <v>141</v>
      </c>
      <c r="AY280" s="53" t="s">
        <v>141</v>
      </c>
      <c r="AZ280" s="54" t="s">
        <v>141</v>
      </c>
      <c r="BA280" s="55" t="s">
        <v>146</v>
      </c>
      <c r="BB280" s="56" t="s">
        <v>133</v>
      </c>
      <c r="BC280" s="57" t="s">
        <v>132</v>
      </c>
      <c r="BD280" s="58">
        <v>19</v>
      </c>
      <c r="BE280" s="59">
        <v>15</v>
      </c>
      <c r="BF280" s="60" t="s">
        <v>3142</v>
      </c>
      <c r="BG280" s="61">
        <v>9</v>
      </c>
      <c r="BH280" s="62" t="s">
        <v>3143</v>
      </c>
      <c r="BI280" s="63">
        <v>6</v>
      </c>
      <c r="BJ280" s="64" t="s">
        <v>141</v>
      </c>
      <c r="BK280" s="65" t="s">
        <v>3144</v>
      </c>
      <c r="BL280" s="66" t="s">
        <v>3145</v>
      </c>
      <c r="BM280" s="67" t="s">
        <v>141</v>
      </c>
      <c r="BN280" s="68" t="s">
        <v>3146</v>
      </c>
      <c r="BO280" s="69" t="s">
        <v>141</v>
      </c>
      <c r="BP280" s="70" t="s">
        <v>141</v>
      </c>
      <c r="BQ280" s="71" t="s">
        <v>141</v>
      </c>
      <c r="BR280" s="72" t="s">
        <v>141</v>
      </c>
      <c r="BS280" s="73" t="s">
        <v>141</v>
      </c>
      <c r="BT280" s="74" t="s">
        <v>141</v>
      </c>
      <c r="BU280" s="75" t="s">
        <v>141</v>
      </c>
      <c r="BV280" s="76" t="s">
        <v>141</v>
      </c>
      <c r="BW280" s="77" t="s">
        <v>141</v>
      </c>
      <c r="BX280" s="78" t="s">
        <v>141</v>
      </c>
      <c r="BY280" s="79" t="s">
        <v>141</v>
      </c>
      <c r="BZ280" s="80" t="s">
        <v>141</v>
      </c>
      <c r="CA280" s="81" t="s">
        <v>141</v>
      </c>
      <c r="CB280" s="82" t="s">
        <v>141</v>
      </c>
      <c r="CC280" s="83" t="s">
        <v>141</v>
      </c>
      <c r="CD280" s="84" t="s">
        <v>141</v>
      </c>
      <c r="CE280" s="85" t="s">
        <v>141</v>
      </c>
      <c r="CF280" s="86" t="s">
        <v>141</v>
      </c>
      <c r="CG280" s="87" t="s">
        <v>141</v>
      </c>
      <c r="CH280" s="88" t="s">
        <v>141</v>
      </c>
      <c r="CI280" s="89" t="s">
        <v>141</v>
      </c>
      <c r="CJ280" s="90" t="s">
        <v>141</v>
      </c>
      <c r="CK280" s="91" t="s">
        <v>141</v>
      </c>
      <c r="CL280" s="92" t="s">
        <v>141</v>
      </c>
      <c r="CM280" s="93" t="s">
        <v>141</v>
      </c>
      <c r="CN280" s="94" t="s">
        <v>141</v>
      </c>
      <c r="CO280" s="95" t="s">
        <v>141</v>
      </c>
      <c r="CP280" s="96" t="s">
        <v>141</v>
      </c>
      <c r="CQ280" s="97" t="s">
        <v>141</v>
      </c>
      <c r="CR280" s="98" t="s">
        <v>141</v>
      </c>
      <c r="CS280" s="99" t="s">
        <v>141</v>
      </c>
      <c r="CT280" s="100" t="s">
        <v>141</v>
      </c>
      <c r="CU280" s="101" t="s">
        <v>141</v>
      </c>
      <c r="CV280" s="102" t="s">
        <v>141</v>
      </c>
      <c r="CW280" s="103" t="s">
        <v>141</v>
      </c>
      <c r="CX280" s="104">
        <v>19</v>
      </c>
      <c r="CY280" s="105" t="s">
        <v>150</v>
      </c>
      <c r="CZ280" s="106" t="s">
        <v>3136</v>
      </c>
      <c r="DA280" s="107" t="s">
        <v>152</v>
      </c>
      <c r="DB280" s="108" t="s">
        <v>153</v>
      </c>
      <c r="DC280" s="109" t="s">
        <v>3137</v>
      </c>
      <c r="DD280" s="110" t="s">
        <v>182</v>
      </c>
      <c r="DE280" s="111" t="s">
        <v>3138</v>
      </c>
      <c r="DF280" s="112" t="s">
        <v>157</v>
      </c>
      <c r="DG280" s="113">
        <v>2014</v>
      </c>
      <c r="DH280" s="114" t="s">
        <v>3139</v>
      </c>
      <c r="DI280" s="227" t="str">
        <f>HYPERLINK("https://my.pitchbook.com?c=63556-93T", "View company online")</f>
        <v>View company online</v>
      </c>
    </row>
    <row r="281" spans="1:113" x14ac:dyDescent="0.2">
      <c r="A281" s="115" t="s">
        <v>3147</v>
      </c>
      <c r="B281" s="116" t="s">
        <v>1009</v>
      </c>
      <c r="C281" s="117" t="s">
        <v>1010</v>
      </c>
      <c r="D281" s="118" t="s">
        <v>1011</v>
      </c>
      <c r="E281" s="119" t="s">
        <v>1012</v>
      </c>
      <c r="F281" s="120" t="s">
        <v>126</v>
      </c>
      <c r="G281" s="121" t="s">
        <v>456</v>
      </c>
      <c r="H281" s="122" t="s">
        <v>457</v>
      </c>
      <c r="I281" s="123" t="s">
        <v>1013</v>
      </c>
      <c r="J281" s="124" t="s">
        <v>708</v>
      </c>
      <c r="K281" s="125" t="s">
        <v>1014</v>
      </c>
      <c r="L281" s="126" t="s">
        <v>132</v>
      </c>
      <c r="M281" s="127" t="s">
        <v>133</v>
      </c>
      <c r="N281" s="128" t="s">
        <v>1015</v>
      </c>
      <c r="O281" s="129" t="s">
        <v>3148</v>
      </c>
      <c r="P281" s="130" t="s">
        <v>3149</v>
      </c>
      <c r="Q281" s="131" t="s">
        <v>3150</v>
      </c>
      <c r="R281" s="132" t="s">
        <v>3151</v>
      </c>
      <c r="S281" s="133" t="s">
        <v>3152</v>
      </c>
      <c r="T281" s="134" t="s">
        <v>3153</v>
      </c>
      <c r="U281" s="135">
        <v>5</v>
      </c>
      <c r="V281" s="136" t="s">
        <v>3147</v>
      </c>
      <c r="W281" s="137">
        <v>42874</v>
      </c>
      <c r="X281" s="138">
        <v>42940</v>
      </c>
      <c r="Y281" s="139">
        <v>1</v>
      </c>
      <c r="Z281" s="140" t="s">
        <v>177</v>
      </c>
      <c r="AA281" s="141">
        <v>2</v>
      </c>
      <c r="AB281" s="142">
        <v>3</v>
      </c>
      <c r="AC281" s="143" t="s">
        <v>887</v>
      </c>
      <c r="AD281" s="144">
        <v>33.33</v>
      </c>
      <c r="AE281" s="145">
        <v>1.02</v>
      </c>
      <c r="AF281" s="146" t="s">
        <v>1571</v>
      </c>
      <c r="AG281" s="147" t="s">
        <v>141</v>
      </c>
      <c r="AH281" s="148">
        <v>7.65</v>
      </c>
      <c r="AI281" s="149" t="s">
        <v>141</v>
      </c>
      <c r="AJ281" s="150" t="s">
        <v>2622</v>
      </c>
      <c r="AK281" s="151" t="s">
        <v>2622</v>
      </c>
      <c r="AL281" s="152" t="s">
        <v>141</v>
      </c>
      <c r="AM281" s="153" t="s">
        <v>170</v>
      </c>
      <c r="AN281" s="154" t="s">
        <v>3154</v>
      </c>
      <c r="AO281" s="155">
        <v>1</v>
      </c>
      <c r="AP281" s="156" t="s">
        <v>145</v>
      </c>
      <c r="AQ281" s="157" t="s">
        <v>141</v>
      </c>
      <c r="AR281" s="158" t="s">
        <v>141</v>
      </c>
      <c r="AS281" s="159" t="s">
        <v>141</v>
      </c>
      <c r="AT281" s="160" t="s">
        <v>141</v>
      </c>
      <c r="AU281" s="161" t="s">
        <v>141</v>
      </c>
      <c r="AV281" s="162" t="s">
        <v>141</v>
      </c>
      <c r="AW281" s="163" t="s">
        <v>141</v>
      </c>
      <c r="AX281" s="164" t="s">
        <v>141</v>
      </c>
      <c r="AY281" s="165" t="s">
        <v>141</v>
      </c>
      <c r="AZ281" s="166" t="s">
        <v>141</v>
      </c>
      <c r="BA281" s="167" t="s">
        <v>146</v>
      </c>
      <c r="BB281" s="168" t="s">
        <v>133</v>
      </c>
      <c r="BC281" s="169" t="s">
        <v>132</v>
      </c>
      <c r="BD281" s="170">
        <v>3</v>
      </c>
      <c r="BE281" s="171">
        <v>8</v>
      </c>
      <c r="BF281" s="172" t="s">
        <v>3155</v>
      </c>
      <c r="BG281" s="173">
        <v>8</v>
      </c>
      <c r="BH281" s="174" t="s">
        <v>141</v>
      </c>
      <c r="BI281" s="175" t="s">
        <v>141</v>
      </c>
      <c r="BJ281" s="176" t="s">
        <v>141</v>
      </c>
      <c r="BK281" s="177" t="s">
        <v>3156</v>
      </c>
      <c r="BL281" s="178" t="s">
        <v>3157</v>
      </c>
      <c r="BM281" s="179" t="s">
        <v>3158</v>
      </c>
      <c r="BN281" s="180" t="s">
        <v>3159</v>
      </c>
      <c r="BO281" s="181" t="s">
        <v>141</v>
      </c>
      <c r="BP281" s="182" t="s">
        <v>141</v>
      </c>
      <c r="BQ281" s="183" t="s">
        <v>141</v>
      </c>
      <c r="BR281" s="184" t="s">
        <v>3160</v>
      </c>
      <c r="BS281" s="185" t="s">
        <v>141</v>
      </c>
      <c r="BT281" s="186" t="s">
        <v>141</v>
      </c>
      <c r="BU281" s="187" t="s">
        <v>3160</v>
      </c>
      <c r="BV281" s="188" t="s">
        <v>141</v>
      </c>
      <c r="BW281" s="189" t="s">
        <v>141</v>
      </c>
      <c r="BX281" s="190" t="s">
        <v>141</v>
      </c>
      <c r="BY281" s="191" t="s">
        <v>141</v>
      </c>
      <c r="BZ281" s="192" t="s">
        <v>141</v>
      </c>
      <c r="CA281" s="193" t="s">
        <v>141</v>
      </c>
      <c r="CB281" s="194" t="s">
        <v>141</v>
      </c>
      <c r="CC281" s="195" t="s">
        <v>141</v>
      </c>
      <c r="CD281" s="196" t="s">
        <v>141</v>
      </c>
      <c r="CE281" s="197" t="s">
        <v>141</v>
      </c>
      <c r="CF281" s="198" t="s">
        <v>141</v>
      </c>
      <c r="CG281" s="199" t="s">
        <v>141</v>
      </c>
      <c r="CH281" s="200" t="s">
        <v>141</v>
      </c>
      <c r="CI281" s="201" t="s">
        <v>141</v>
      </c>
      <c r="CJ281" s="202" t="s">
        <v>141</v>
      </c>
      <c r="CK281" s="203" t="s">
        <v>141</v>
      </c>
      <c r="CL281" s="204" t="s">
        <v>141</v>
      </c>
      <c r="CM281" s="205" t="s">
        <v>141</v>
      </c>
      <c r="CN281" s="206" t="s">
        <v>141</v>
      </c>
      <c r="CO281" s="207" t="s">
        <v>141</v>
      </c>
      <c r="CP281" s="208" t="s">
        <v>141</v>
      </c>
      <c r="CQ281" s="209" t="s">
        <v>141</v>
      </c>
      <c r="CR281" s="210" t="s">
        <v>141</v>
      </c>
      <c r="CS281" s="211" t="s">
        <v>141</v>
      </c>
      <c r="CT281" s="212" t="s">
        <v>141</v>
      </c>
      <c r="CU281" s="213" t="s">
        <v>141</v>
      </c>
      <c r="CV281" s="214" t="s">
        <v>141</v>
      </c>
      <c r="CW281" s="215" t="s">
        <v>141</v>
      </c>
      <c r="CX281" s="216">
        <v>23</v>
      </c>
      <c r="CY281" s="217" t="s">
        <v>150</v>
      </c>
      <c r="CZ281" s="218" t="s">
        <v>1024</v>
      </c>
      <c r="DA281" s="219" t="s">
        <v>152</v>
      </c>
      <c r="DB281" s="220" t="s">
        <v>153</v>
      </c>
      <c r="DC281" s="221" t="s">
        <v>1025</v>
      </c>
      <c r="DD281" s="222" t="s">
        <v>182</v>
      </c>
      <c r="DE281" s="223" t="s">
        <v>1026</v>
      </c>
      <c r="DF281" s="224" t="s">
        <v>157</v>
      </c>
      <c r="DG281" s="225">
        <v>2014</v>
      </c>
      <c r="DH281" s="226" t="s">
        <v>1027</v>
      </c>
      <c r="DI281" s="228" t="str">
        <f>HYPERLINK("https://my.pitchbook.com?c=87957-28T", "View company online")</f>
        <v>View company online</v>
      </c>
    </row>
    <row r="282" spans="1:113" x14ac:dyDescent="0.2">
      <c r="A282" s="3" t="s">
        <v>3161</v>
      </c>
      <c r="B282" s="4" t="s">
        <v>2603</v>
      </c>
      <c r="C282" s="5" t="s">
        <v>2604</v>
      </c>
      <c r="D282" s="6" t="s">
        <v>2605</v>
      </c>
      <c r="E282" s="7" t="s">
        <v>2606</v>
      </c>
      <c r="F282" s="8" t="s">
        <v>126</v>
      </c>
      <c r="G282" s="9" t="s">
        <v>456</v>
      </c>
      <c r="H282" s="10" t="s">
        <v>457</v>
      </c>
      <c r="I282" s="11" t="s">
        <v>515</v>
      </c>
      <c r="J282" s="12" t="s">
        <v>2607</v>
      </c>
      <c r="K282" s="13" t="s">
        <v>2608</v>
      </c>
      <c r="L282" s="14" t="s">
        <v>132</v>
      </c>
      <c r="M282" s="15" t="s">
        <v>133</v>
      </c>
      <c r="N282" s="16" t="s">
        <v>170</v>
      </c>
      <c r="O282" s="17" t="s">
        <v>3162</v>
      </c>
      <c r="P282" s="18" t="s">
        <v>3163</v>
      </c>
      <c r="Q282" s="19" t="s">
        <v>3164</v>
      </c>
      <c r="R282" s="20" t="s">
        <v>3165</v>
      </c>
      <c r="S282" s="21" t="s">
        <v>3166</v>
      </c>
      <c r="T282" s="22" t="s">
        <v>3167</v>
      </c>
      <c r="U282" s="23">
        <v>2</v>
      </c>
      <c r="V282" s="24" t="s">
        <v>3161</v>
      </c>
      <c r="W282" s="25">
        <v>41979</v>
      </c>
      <c r="X282" s="26">
        <v>42289</v>
      </c>
      <c r="Y282" s="27">
        <v>1</v>
      </c>
      <c r="Z282" s="28" t="s">
        <v>177</v>
      </c>
      <c r="AA282" s="29" t="s">
        <v>141</v>
      </c>
      <c r="AB282" s="30" t="s">
        <v>141</v>
      </c>
      <c r="AC282" s="31" t="s">
        <v>141</v>
      </c>
      <c r="AD282" s="32" t="s">
        <v>141</v>
      </c>
      <c r="AE282" s="33">
        <v>1</v>
      </c>
      <c r="AF282" s="34" t="s">
        <v>1571</v>
      </c>
      <c r="AG282" s="35" t="s">
        <v>141</v>
      </c>
      <c r="AH282" s="36" t="s">
        <v>141</v>
      </c>
      <c r="AI282" s="37" t="s">
        <v>141</v>
      </c>
      <c r="AJ282" s="38" t="s">
        <v>2622</v>
      </c>
      <c r="AK282" s="39" t="s">
        <v>2622</v>
      </c>
      <c r="AL282" s="40" t="s">
        <v>141</v>
      </c>
      <c r="AM282" s="41" t="s">
        <v>485</v>
      </c>
      <c r="AN282" s="42" t="s">
        <v>3168</v>
      </c>
      <c r="AO282" s="43">
        <v>1</v>
      </c>
      <c r="AP282" s="44" t="s">
        <v>145</v>
      </c>
      <c r="AQ282" s="45" t="s">
        <v>141</v>
      </c>
      <c r="AR282" s="46" t="s">
        <v>141</v>
      </c>
      <c r="AS282" s="47" t="s">
        <v>141</v>
      </c>
      <c r="AT282" s="48" t="s">
        <v>141</v>
      </c>
      <c r="AU282" s="49" t="s">
        <v>141</v>
      </c>
      <c r="AV282" s="50" t="s">
        <v>141</v>
      </c>
      <c r="AW282" s="51" t="s">
        <v>141</v>
      </c>
      <c r="AX282" s="52" t="s">
        <v>141</v>
      </c>
      <c r="AY282" s="53" t="s">
        <v>141</v>
      </c>
      <c r="AZ282" s="54" t="s">
        <v>141</v>
      </c>
      <c r="BA282" s="55" t="s">
        <v>146</v>
      </c>
      <c r="BB282" s="56" t="s">
        <v>133</v>
      </c>
      <c r="BC282" s="57" t="s">
        <v>402</v>
      </c>
      <c r="BD282" s="58" t="s">
        <v>141</v>
      </c>
      <c r="BE282" s="59">
        <v>11</v>
      </c>
      <c r="BF282" s="60" t="s">
        <v>3169</v>
      </c>
      <c r="BG282" s="61">
        <v>11</v>
      </c>
      <c r="BH282" s="62" t="s">
        <v>141</v>
      </c>
      <c r="BI282" s="63" t="s">
        <v>141</v>
      </c>
      <c r="BJ282" s="64" t="s">
        <v>141</v>
      </c>
      <c r="BK282" s="65" t="s">
        <v>141</v>
      </c>
      <c r="BL282" s="66" t="s">
        <v>3170</v>
      </c>
      <c r="BM282" s="67" t="s">
        <v>141</v>
      </c>
      <c r="BN282" s="68" t="s">
        <v>141</v>
      </c>
      <c r="BO282" s="69" t="s">
        <v>141</v>
      </c>
      <c r="BP282" s="70" t="s">
        <v>141</v>
      </c>
      <c r="BQ282" s="71" t="s">
        <v>141</v>
      </c>
      <c r="BR282" s="72" t="s">
        <v>141</v>
      </c>
      <c r="BS282" s="73" t="s">
        <v>141</v>
      </c>
      <c r="BT282" s="74" t="s">
        <v>141</v>
      </c>
      <c r="BU282" s="75" t="s">
        <v>141</v>
      </c>
      <c r="BV282" s="76" t="s">
        <v>141</v>
      </c>
      <c r="BW282" s="77" t="s">
        <v>141</v>
      </c>
      <c r="BX282" s="78" t="s">
        <v>141</v>
      </c>
      <c r="BY282" s="79" t="s">
        <v>141</v>
      </c>
      <c r="BZ282" s="80" t="s">
        <v>141</v>
      </c>
      <c r="CA282" s="81" t="s">
        <v>141</v>
      </c>
      <c r="CB282" s="82" t="s">
        <v>141</v>
      </c>
      <c r="CC282" s="83" t="s">
        <v>141</v>
      </c>
      <c r="CD282" s="84" t="s">
        <v>141</v>
      </c>
      <c r="CE282" s="85" t="s">
        <v>141</v>
      </c>
      <c r="CF282" s="86" t="s">
        <v>141</v>
      </c>
      <c r="CG282" s="87" t="s">
        <v>141</v>
      </c>
      <c r="CH282" s="88" t="s">
        <v>141</v>
      </c>
      <c r="CI282" s="89" t="s">
        <v>141</v>
      </c>
      <c r="CJ282" s="90" t="s">
        <v>141</v>
      </c>
      <c r="CK282" s="91" t="s">
        <v>141</v>
      </c>
      <c r="CL282" s="92" t="s">
        <v>141</v>
      </c>
      <c r="CM282" s="93" t="s">
        <v>141</v>
      </c>
      <c r="CN282" s="94" t="s">
        <v>141</v>
      </c>
      <c r="CO282" s="95" t="s">
        <v>141</v>
      </c>
      <c r="CP282" s="96" t="s">
        <v>141</v>
      </c>
      <c r="CQ282" s="97" t="s">
        <v>141</v>
      </c>
      <c r="CR282" s="98" t="s">
        <v>141</v>
      </c>
      <c r="CS282" s="99" t="s">
        <v>141</v>
      </c>
      <c r="CT282" s="100" t="s">
        <v>141</v>
      </c>
      <c r="CU282" s="101" t="s">
        <v>141</v>
      </c>
      <c r="CV282" s="102" t="s">
        <v>141</v>
      </c>
      <c r="CW282" s="103" t="s">
        <v>141</v>
      </c>
      <c r="CX282" s="104">
        <v>400</v>
      </c>
      <c r="CY282" s="105" t="s">
        <v>150</v>
      </c>
      <c r="CZ282" s="106" t="s">
        <v>180</v>
      </c>
      <c r="DA282" s="107" t="s">
        <v>152</v>
      </c>
      <c r="DB282" s="108" t="s">
        <v>153</v>
      </c>
      <c r="DC282" s="109" t="s">
        <v>181</v>
      </c>
      <c r="DD282" s="110" t="s">
        <v>182</v>
      </c>
      <c r="DE282" s="111" t="s">
        <v>2619</v>
      </c>
      <c r="DF282" s="112" t="s">
        <v>157</v>
      </c>
      <c r="DG282" s="113">
        <v>2013</v>
      </c>
      <c r="DH282" s="114" t="s">
        <v>2620</v>
      </c>
      <c r="DI282" s="227" t="str">
        <f>HYPERLINK("https://my.pitchbook.com?c=60481-99T", "View company online")</f>
        <v>View company online</v>
      </c>
    </row>
    <row r="283" spans="1:113" x14ac:dyDescent="0.2">
      <c r="A283" s="115" t="s">
        <v>3171</v>
      </c>
      <c r="B283" s="116" t="s">
        <v>3172</v>
      </c>
      <c r="C283" s="117" t="s">
        <v>3173</v>
      </c>
      <c r="D283" s="118" t="s">
        <v>3174</v>
      </c>
      <c r="E283" s="119" t="s">
        <v>3175</v>
      </c>
      <c r="F283" s="120" t="s">
        <v>126</v>
      </c>
      <c r="G283" s="121" t="s">
        <v>127</v>
      </c>
      <c r="H283" s="122" t="s">
        <v>128</v>
      </c>
      <c r="I283" s="123" t="s">
        <v>318</v>
      </c>
      <c r="J283" s="124" t="s">
        <v>141</v>
      </c>
      <c r="K283" s="125" t="s">
        <v>3176</v>
      </c>
      <c r="L283" s="126" t="s">
        <v>345</v>
      </c>
      <c r="M283" s="127" t="s">
        <v>133</v>
      </c>
      <c r="N283" s="128" t="s">
        <v>170</v>
      </c>
      <c r="O283" s="129" t="s">
        <v>3177</v>
      </c>
      <c r="P283" s="130" t="s">
        <v>3178</v>
      </c>
      <c r="Q283" s="131" t="s">
        <v>3179</v>
      </c>
      <c r="R283" s="132" t="s">
        <v>141</v>
      </c>
      <c r="S283" s="133" t="s">
        <v>3180</v>
      </c>
      <c r="T283" s="134" t="s">
        <v>3181</v>
      </c>
      <c r="U283" s="135">
        <v>1</v>
      </c>
      <c r="V283" s="136" t="s">
        <v>3171</v>
      </c>
      <c r="W283" s="137" t="s">
        <v>141</v>
      </c>
      <c r="X283" s="138">
        <v>42153</v>
      </c>
      <c r="Y283" s="139">
        <v>0.59</v>
      </c>
      <c r="Z283" s="140" t="s">
        <v>177</v>
      </c>
      <c r="AA283" s="141" t="s">
        <v>141</v>
      </c>
      <c r="AB283" s="142" t="s">
        <v>141</v>
      </c>
      <c r="AC283" s="143" t="s">
        <v>141</v>
      </c>
      <c r="AD283" s="144" t="s">
        <v>141</v>
      </c>
      <c r="AE283" s="145">
        <v>0.59</v>
      </c>
      <c r="AF283" s="146" t="s">
        <v>1571</v>
      </c>
      <c r="AG283" s="147" t="s">
        <v>141</v>
      </c>
      <c r="AH283" s="148" t="s">
        <v>141</v>
      </c>
      <c r="AI283" s="149" t="s">
        <v>141</v>
      </c>
      <c r="AJ283" s="150" t="s">
        <v>2622</v>
      </c>
      <c r="AK283" s="151" t="s">
        <v>2622</v>
      </c>
      <c r="AL283" s="152" t="s">
        <v>141</v>
      </c>
      <c r="AM283" s="153" t="s">
        <v>170</v>
      </c>
      <c r="AN283" s="154" t="s">
        <v>3182</v>
      </c>
      <c r="AO283" s="155">
        <v>0.59</v>
      </c>
      <c r="AP283" s="156" t="s">
        <v>145</v>
      </c>
      <c r="AQ283" s="157" t="s">
        <v>141</v>
      </c>
      <c r="AR283" s="158" t="s">
        <v>141</v>
      </c>
      <c r="AS283" s="159" t="s">
        <v>141</v>
      </c>
      <c r="AT283" s="160" t="s">
        <v>141</v>
      </c>
      <c r="AU283" s="161" t="s">
        <v>141</v>
      </c>
      <c r="AV283" s="162" t="s">
        <v>141</v>
      </c>
      <c r="AW283" s="163" t="s">
        <v>141</v>
      </c>
      <c r="AX283" s="164" t="s">
        <v>141</v>
      </c>
      <c r="AY283" s="165" t="s">
        <v>141</v>
      </c>
      <c r="AZ283" s="166" t="s">
        <v>141</v>
      </c>
      <c r="BA283" s="167" t="s">
        <v>146</v>
      </c>
      <c r="BB283" s="168" t="s">
        <v>263</v>
      </c>
      <c r="BC283" s="169" t="s">
        <v>132</v>
      </c>
      <c r="BD283" s="170" t="s">
        <v>141</v>
      </c>
      <c r="BE283" s="171">
        <v>2</v>
      </c>
      <c r="BF283" s="172" t="s">
        <v>3183</v>
      </c>
      <c r="BG283" s="173">
        <v>2</v>
      </c>
      <c r="BH283" s="174" t="s">
        <v>141</v>
      </c>
      <c r="BI283" s="175" t="s">
        <v>141</v>
      </c>
      <c r="BJ283" s="176" t="s">
        <v>141</v>
      </c>
      <c r="BK283" s="177" t="s">
        <v>3184</v>
      </c>
      <c r="BL283" s="178" t="s">
        <v>3185</v>
      </c>
      <c r="BM283" s="179" t="s">
        <v>141</v>
      </c>
      <c r="BN283" s="180" t="s">
        <v>141</v>
      </c>
      <c r="BO283" s="181" t="s">
        <v>141</v>
      </c>
      <c r="BP283" s="182" t="s">
        <v>141</v>
      </c>
      <c r="BQ283" s="183" t="s">
        <v>141</v>
      </c>
      <c r="BR283" s="184" t="s">
        <v>141</v>
      </c>
      <c r="BS283" s="185" t="s">
        <v>141</v>
      </c>
      <c r="BT283" s="186" t="s">
        <v>141</v>
      </c>
      <c r="BU283" s="187" t="s">
        <v>141</v>
      </c>
      <c r="BV283" s="188" t="s">
        <v>141</v>
      </c>
      <c r="BW283" s="189" t="s">
        <v>141</v>
      </c>
      <c r="BX283" s="190" t="s">
        <v>141</v>
      </c>
      <c r="BY283" s="191" t="s">
        <v>141</v>
      </c>
      <c r="BZ283" s="192" t="s">
        <v>141</v>
      </c>
      <c r="CA283" s="193" t="s">
        <v>141</v>
      </c>
      <c r="CB283" s="194" t="s">
        <v>141</v>
      </c>
      <c r="CC283" s="195" t="s">
        <v>141</v>
      </c>
      <c r="CD283" s="196" t="s">
        <v>141</v>
      </c>
      <c r="CE283" s="197" t="s">
        <v>141</v>
      </c>
      <c r="CF283" s="198" t="s">
        <v>141</v>
      </c>
      <c r="CG283" s="199" t="s">
        <v>141</v>
      </c>
      <c r="CH283" s="200" t="s">
        <v>141</v>
      </c>
      <c r="CI283" s="201" t="s">
        <v>141</v>
      </c>
      <c r="CJ283" s="202" t="s">
        <v>141</v>
      </c>
      <c r="CK283" s="203" t="s">
        <v>141</v>
      </c>
      <c r="CL283" s="204" t="s">
        <v>141</v>
      </c>
      <c r="CM283" s="205" t="s">
        <v>141</v>
      </c>
      <c r="CN283" s="206" t="s">
        <v>141</v>
      </c>
      <c r="CO283" s="207" t="s">
        <v>141</v>
      </c>
      <c r="CP283" s="208" t="s">
        <v>141</v>
      </c>
      <c r="CQ283" s="209" t="s">
        <v>141</v>
      </c>
      <c r="CR283" s="210" t="s">
        <v>141</v>
      </c>
      <c r="CS283" s="211" t="s">
        <v>141</v>
      </c>
      <c r="CT283" s="212" t="s">
        <v>141</v>
      </c>
      <c r="CU283" s="213" t="s">
        <v>141</v>
      </c>
      <c r="CV283" s="214" t="s">
        <v>141</v>
      </c>
      <c r="CW283" s="215" t="s">
        <v>141</v>
      </c>
      <c r="CX283" s="216" t="s">
        <v>141</v>
      </c>
      <c r="CY283" s="217" t="s">
        <v>3186</v>
      </c>
      <c r="CZ283" s="218" t="s">
        <v>3187</v>
      </c>
      <c r="DA283" s="219" t="s">
        <v>2088</v>
      </c>
      <c r="DB283" s="220" t="s">
        <v>2088</v>
      </c>
      <c r="DC283" s="221" t="s">
        <v>3188</v>
      </c>
      <c r="DD283" s="222" t="s">
        <v>3189</v>
      </c>
      <c r="DE283" s="223" t="s">
        <v>141</v>
      </c>
      <c r="DF283" s="224" t="s">
        <v>2091</v>
      </c>
      <c r="DG283" s="225">
        <v>2014</v>
      </c>
      <c r="DH283" s="226" t="s">
        <v>3190</v>
      </c>
      <c r="DI283" s="228" t="str">
        <f>HYPERLINK("https://my.pitchbook.com?c=51957-19T", "View company online")</f>
        <v>View company online</v>
      </c>
    </row>
    <row r="284" spans="1:113" x14ac:dyDescent="0.2">
      <c r="A284" s="3" t="s">
        <v>3191</v>
      </c>
      <c r="B284" s="4" t="s">
        <v>1033</v>
      </c>
      <c r="C284" s="5" t="s">
        <v>1034</v>
      </c>
      <c r="D284" s="6" t="s">
        <v>1035</v>
      </c>
      <c r="E284" s="7" t="s">
        <v>1036</v>
      </c>
      <c r="F284" s="8" t="s">
        <v>126</v>
      </c>
      <c r="G284" s="9" t="s">
        <v>127</v>
      </c>
      <c r="H284" s="10" t="s">
        <v>128</v>
      </c>
      <c r="I284" s="11" t="s">
        <v>129</v>
      </c>
      <c r="J284" s="12" t="s">
        <v>141</v>
      </c>
      <c r="K284" s="13" t="s">
        <v>1037</v>
      </c>
      <c r="L284" s="14" t="s">
        <v>132</v>
      </c>
      <c r="M284" s="15" t="s">
        <v>133</v>
      </c>
      <c r="N284" s="16" t="s">
        <v>170</v>
      </c>
      <c r="O284" s="17" t="s">
        <v>1038</v>
      </c>
      <c r="P284" s="18" t="s">
        <v>1039</v>
      </c>
      <c r="Q284" s="19" t="s">
        <v>1040</v>
      </c>
      <c r="R284" s="20" t="s">
        <v>1041</v>
      </c>
      <c r="S284" s="21" t="s">
        <v>1042</v>
      </c>
      <c r="T284" s="22" t="s">
        <v>141</v>
      </c>
      <c r="U284" s="23">
        <v>3</v>
      </c>
      <c r="V284" s="24" t="s">
        <v>3191</v>
      </c>
      <c r="W284" s="25" t="s">
        <v>141</v>
      </c>
      <c r="X284" s="26">
        <v>43374</v>
      </c>
      <c r="Y284" s="27">
        <v>1.85</v>
      </c>
      <c r="Z284" s="28" t="s">
        <v>177</v>
      </c>
      <c r="AA284" s="29">
        <v>4.5</v>
      </c>
      <c r="AB284" s="30">
        <v>6.35</v>
      </c>
      <c r="AC284" s="31" t="s">
        <v>177</v>
      </c>
      <c r="AD284" s="32">
        <v>29.13</v>
      </c>
      <c r="AE284" s="33">
        <v>1.97</v>
      </c>
      <c r="AF284" s="34" t="s">
        <v>1571</v>
      </c>
      <c r="AG284" s="35" t="s">
        <v>141</v>
      </c>
      <c r="AH284" s="36">
        <v>3.44</v>
      </c>
      <c r="AI284" s="37" t="s">
        <v>141</v>
      </c>
      <c r="AJ284" s="38" t="s">
        <v>2622</v>
      </c>
      <c r="AK284" s="39" t="s">
        <v>2622</v>
      </c>
      <c r="AL284" s="40" t="s">
        <v>141</v>
      </c>
      <c r="AM284" s="41" t="s">
        <v>170</v>
      </c>
      <c r="AN284" s="42" t="s">
        <v>3192</v>
      </c>
      <c r="AO284" s="43">
        <v>1.85</v>
      </c>
      <c r="AP284" s="44" t="s">
        <v>145</v>
      </c>
      <c r="AQ284" s="45" t="s">
        <v>141</v>
      </c>
      <c r="AR284" s="46" t="s">
        <v>141</v>
      </c>
      <c r="AS284" s="47" t="s">
        <v>141</v>
      </c>
      <c r="AT284" s="48" t="s">
        <v>141</v>
      </c>
      <c r="AU284" s="49" t="s">
        <v>141</v>
      </c>
      <c r="AV284" s="50" t="s">
        <v>141</v>
      </c>
      <c r="AW284" s="51" t="s">
        <v>141</v>
      </c>
      <c r="AX284" s="52" t="s">
        <v>141</v>
      </c>
      <c r="AY284" s="53" t="s">
        <v>141</v>
      </c>
      <c r="AZ284" s="54" t="s">
        <v>141</v>
      </c>
      <c r="BA284" s="55" t="s">
        <v>146</v>
      </c>
      <c r="BB284" s="56" t="s">
        <v>133</v>
      </c>
      <c r="BC284" s="57" t="s">
        <v>132</v>
      </c>
      <c r="BD284" s="58" t="s">
        <v>141</v>
      </c>
      <c r="BE284" s="59">
        <v>5</v>
      </c>
      <c r="BF284" s="60" t="s">
        <v>3193</v>
      </c>
      <c r="BG284" s="61">
        <v>4</v>
      </c>
      <c r="BH284" s="62" t="s">
        <v>147</v>
      </c>
      <c r="BI284" s="63">
        <v>1</v>
      </c>
      <c r="BJ284" s="64" t="s">
        <v>141</v>
      </c>
      <c r="BK284" s="238" t="s">
        <v>3194</v>
      </c>
      <c r="BL284" s="238" t="s">
        <v>3195</v>
      </c>
      <c r="BM284" s="67" t="s">
        <v>3196</v>
      </c>
      <c r="BN284" s="68" t="s">
        <v>3197</v>
      </c>
      <c r="BO284" s="69" t="s">
        <v>141</v>
      </c>
      <c r="BP284" s="70" t="s">
        <v>141</v>
      </c>
      <c r="BQ284" s="71" t="s">
        <v>141</v>
      </c>
      <c r="BR284" s="72" t="s">
        <v>3198</v>
      </c>
      <c r="BS284" s="73" t="s">
        <v>141</v>
      </c>
      <c r="BT284" s="74" t="s">
        <v>141</v>
      </c>
      <c r="BU284" s="75" t="s">
        <v>3198</v>
      </c>
      <c r="BV284" s="76" t="s">
        <v>141</v>
      </c>
      <c r="BW284" s="77" t="s">
        <v>141</v>
      </c>
      <c r="BX284" s="78" t="s">
        <v>141</v>
      </c>
      <c r="BY284" s="79" t="s">
        <v>141</v>
      </c>
      <c r="BZ284" s="80" t="s">
        <v>141</v>
      </c>
      <c r="CA284" s="81" t="s">
        <v>141</v>
      </c>
      <c r="CB284" s="82" t="s">
        <v>141</v>
      </c>
      <c r="CC284" s="83" t="s">
        <v>141</v>
      </c>
      <c r="CD284" s="84" t="s">
        <v>141</v>
      </c>
      <c r="CE284" s="85" t="s">
        <v>141</v>
      </c>
      <c r="CF284" s="86" t="s">
        <v>141</v>
      </c>
      <c r="CG284" s="87" t="s">
        <v>141</v>
      </c>
      <c r="CH284" s="88" t="s">
        <v>141</v>
      </c>
      <c r="CI284" s="89" t="s">
        <v>141</v>
      </c>
      <c r="CJ284" s="90" t="s">
        <v>141</v>
      </c>
      <c r="CK284" s="91" t="s">
        <v>141</v>
      </c>
      <c r="CL284" s="92" t="s">
        <v>141</v>
      </c>
      <c r="CM284" s="93" t="s">
        <v>141</v>
      </c>
      <c r="CN284" s="94" t="s">
        <v>141</v>
      </c>
      <c r="CO284" s="95" t="s">
        <v>141</v>
      </c>
      <c r="CP284" s="96" t="s">
        <v>141</v>
      </c>
      <c r="CQ284" s="97" t="s">
        <v>141</v>
      </c>
      <c r="CR284" s="98" t="s">
        <v>141</v>
      </c>
      <c r="CS284" s="99" t="s">
        <v>141</v>
      </c>
      <c r="CT284" s="100" t="s">
        <v>141</v>
      </c>
      <c r="CU284" s="101" t="s">
        <v>141</v>
      </c>
      <c r="CV284" s="102" t="s">
        <v>141</v>
      </c>
      <c r="CW284" s="103" t="s">
        <v>141</v>
      </c>
      <c r="CX284" s="104">
        <v>17</v>
      </c>
      <c r="CY284" s="105" t="s">
        <v>150</v>
      </c>
      <c r="CZ284" s="106" t="s">
        <v>200</v>
      </c>
      <c r="DA284" s="107" t="s">
        <v>152</v>
      </c>
      <c r="DB284" s="108" t="s">
        <v>153</v>
      </c>
      <c r="DC284" s="109" t="s">
        <v>201</v>
      </c>
      <c r="DD284" s="110" t="s">
        <v>201</v>
      </c>
      <c r="DE284" s="111" t="s">
        <v>1046</v>
      </c>
      <c r="DF284" s="112" t="s">
        <v>157</v>
      </c>
      <c r="DG284" s="113">
        <v>2016</v>
      </c>
      <c r="DH284" s="114" t="s">
        <v>1047</v>
      </c>
      <c r="DI284" s="227" t="str">
        <f>HYPERLINK("https://my.pitchbook.com?c=113079-07T", "View company online")</f>
        <v>View company online</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showGridLines="0" workbookViewId="0">
      <selection activeCell="A100" sqref="A100"/>
    </sheetView>
  </sheetViews>
  <sheetFormatPr baseColWidth="10" defaultColWidth="8.83203125" defaultRowHeight="15" x14ac:dyDescent="0.2"/>
  <cols>
    <col min="1" max="1" width="19.1640625" customWidth="1"/>
    <col min="2" max="2" width="23.1640625" customWidth="1"/>
    <col min="3" max="7" width="9.1640625" customWidth="1"/>
    <col min="8" max="8" width="2.83203125" customWidth="1"/>
    <col min="9" max="9" width="26.5" customWidth="1"/>
    <col min="10" max="17" width="9.1640625" customWidth="1"/>
  </cols>
  <sheetData>
    <row r="1" spans="1:9" ht="18" x14ac:dyDescent="0.2">
      <c r="A1" s="229" t="s">
        <v>112</v>
      </c>
    </row>
    <row r="3" spans="1:9" x14ac:dyDescent="0.2">
      <c r="A3" s="230" t="s">
        <v>113</v>
      </c>
    </row>
    <row r="4" spans="1:9" x14ac:dyDescent="0.2">
      <c r="A4" s="235" t="s">
        <v>114</v>
      </c>
    </row>
    <row r="6" spans="1:9" x14ac:dyDescent="0.2">
      <c r="A6" s="231" t="s">
        <v>115</v>
      </c>
      <c r="B6" s="234" t="s">
        <v>116</v>
      </c>
      <c r="C6" s="232" t="s">
        <v>117</v>
      </c>
    </row>
    <row r="8" spans="1:9" x14ac:dyDescent="0.2">
      <c r="A8" s="233" t="s">
        <v>118</v>
      </c>
      <c r="I8" s="236" t="s">
        <v>119</v>
      </c>
    </row>
    <row r="10" spans="1:9" x14ac:dyDescent="0.2">
      <c r="A10" s="237" t="s">
        <v>120</v>
      </c>
    </row>
  </sheetData>
  <sheetProtection password="C9C1" sheet="1" objects="1" scenarios="1"/>
  <hyperlinks>
    <hyperlink ref="B6" r:id="rId1" xr:uid="{00000000-0004-0000-0100-000000000000}"/>
    <hyperlink ref="A4" r:id="rId2" xr:uid="{00000000-0004-0000-0100-000001000000}"/>
    <hyperlink ref="I8"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PitchBook</dc:creator>
  <cp:lastModifiedBy>Microsoft Office User</cp:lastModifiedBy>
  <dcterms:created xsi:type="dcterms:W3CDTF">2010-12-15T16:54:07Z</dcterms:created>
  <dcterms:modified xsi:type="dcterms:W3CDTF">2020-10-21T02:41:31Z</dcterms:modified>
</cp:coreProperties>
</file>